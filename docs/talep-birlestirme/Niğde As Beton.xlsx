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skln1479\Desktop\"/>
    </mc:Choice>
  </mc:AlternateContent>
  <xr:revisionPtr revIDLastSave="0" documentId="8_{E3303712-D5DA-4F01-B909-F48FBA89B324}" xr6:coauthVersionLast="47" xr6:coauthVersionMax="47" xr10:uidLastSave="{00000000-0000-0000-0000-000000000000}"/>
  <bookViews>
    <workbookView xWindow="-120" yWindow="-120" windowWidth="29040" windowHeight="15720" xr2:uid="{6131A3F4-FD0E-4731-B466-547DA50B16E6}"/>
  </bookViews>
  <sheets>
    <sheet name="NİĞDE AS BETON" sheetId="2" r:id="rId1"/>
    <sheet name="Sayfa1" sheetId="1" r:id="rId2"/>
  </sheets>
  <definedNames>
    <definedName name="_xlnm._FilterDatabase" localSheetId="0" hidden="1">'NİĞDE AS BETON'!$A$1:$Q$746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46" i="2" l="1"/>
  <c r="E746" i="2"/>
  <c r="H746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P475" i="2"/>
  <c r="D476" i="2"/>
  <c r="D477" i="2"/>
  <c r="D478" i="2"/>
  <c r="P478" i="2" s="1"/>
  <c r="D479" i="2"/>
  <c r="P479" i="2"/>
  <c r="D480" i="2"/>
  <c r="D481" i="2"/>
  <c r="D482" i="2"/>
  <c r="P482" i="2"/>
  <c r="D483" i="2"/>
  <c r="D484" i="2"/>
  <c r="P484" i="2"/>
  <c r="D485" i="2"/>
  <c r="P485" i="2"/>
  <c r="D486" i="2"/>
  <c r="P486" i="2"/>
  <c r="D487" i="2"/>
  <c r="P487" i="2" s="1"/>
  <c r="D488" i="2"/>
  <c r="P488" i="2"/>
  <c r="D489" i="2"/>
  <c r="P489" i="2"/>
  <c r="D490" i="2"/>
  <c r="P490" i="2" s="1"/>
  <c r="D491" i="2"/>
  <c r="D492" i="2"/>
  <c r="P492" i="2" s="1"/>
  <c r="D493" i="2"/>
  <c r="D494" i="2"/>
  <c r="P494" i="2" s="1"/>
  <c r="D495" i="2"/>
  <c r="D496" i="2"/>
  <c r="D497" i="2"/>
  <c r="D498" i="2"/>
  <c r="P498" i="2"/>
  <c r="D499" i="2"/>
  <c r="D500" i="2"/>
  <c r="D501" i="2"/>
  <c r="P501" i="2" s="1"/>
  <c r="D502" i="2"/>
  <c r="D503" i="2"/>
  <c r="P503" i="2" s="1"/>
  <c r="D504" i="2"/>
  <c r="P504" i="2" s="1"/>
  <c r="D505" i="2"/>
  <c r="P505" i="2" s="1"/>
  <c r="D506" i="2"/>
  <c r="P506" i="2" s="1"/>
  <c r="D507" i="2"/>
  <c r="D508" i="2"/>
  <c r="P508" i="2" s="1"/>
  <c r="D509" i="2"/>
  <c r="D510" i="2"/>
  <c r="D511" i="2"/>
  <c r="D512" i="2"/>
  <c r="P512" i="2" s="1"/>
  <c r="D513" i="2"/>
  <c r="D514" i="2"/>
  <c r="D515" i="2"/>
  <c r="D516" i="2"/>
  <c r="P516" i="2" s="1"/>
  <c r="D517" i="2"/>
  <c r="D518" i="2"/>
  <c r="D519" i="2"/>
  <c r="P519" i="2" s="1"/>
  <c r="D520" i="2"/>
  <c r="D521" i="2"/>
  <c r="D522" i="2"/>
  <c r="P522" i="2" s="1"/>
  <c r="D523" i="2"/>
  <c r="P523" i="2" s="1"/>
  <c r="D524" i="2"/>
  <c r="D525" i="2"/>
  <c r="D526" i="2"/>
  <c r="P526" i="2" s="1"/>
  <c r="D527" i="2"/>
  <c r="P527" i="2" s="1"/>
  <c r="D528" i="2"/>
  <c r="D529" i="2"/>
  <c r="P529" i="2"/>
  <c r="D530" i="2"/>
  <c r="P530" i="2" s="1"/>
  <c r="D531" i="2"/>
  <c r="P531" i="2" s="1"/>
  <c r="D532" i="2"/>
  <c r="P532" i="2" s="1"/>
  <c r="D533" i="2"/>
  <c r="P533" i="2"/>
  <c r="D534" i="2"/>
  <c r="P534" i="2" s="1"/>
  <c r="D535" i="2"/>
  <c r="P535" i="2" s="1"/>
  <c r="D536" i="2"/>
  <c r="P536" i="2" s="1"/>
  <c r="D537" i="2"/>
  <c r="P537" i="2"/>
  <c r="D538" i="2"/>
  <c r="P538" i="2" s="1"/>
  <c r="D539" i="2"/>
  <c r="P539" i="2" s="1"/>
  <c r="D540" i="2"/>
  <c r="P540" i="2" s="1"/>
  <c r="D541" i="2"/>
  <c r="P541" i="2" s="1"/>
  <c r="D542" i="2"/>
  <c r="P542" i="2" s="1"/>
  <c r="D543" i="2"/>
  <c r="P543" i="2" s="1"/>
  <c r="D544" i="2"/>
  <c r="P544" i="2" s="1"/>
  <c r="D545" i="2"/>
  <c r="D546" i="2"/>
  <c r="P546" i="2" s="1"/>
  <c r="D547" i="2"/>
  <c r="P547" i="2" s="1"/>
  <c r="D548" i="2"/>
  <c r="P548" i="2" s="1"/>
  <c r="D549" i="2"/>
  <c r="P549" i="2" s="1"/>
  <c r="D550" i="2"/>
  <c r="P550" i="2" s="1"/>
  <c r="D551" i="2"/>
  <c r="P551" i="2" s="1"/>
  <c r="D552" i="2"/>
  <c r="P552" i="2" s="1"/>
  <c r="D553" i="2"/>
  <c r="P553" i="2" s="1"/>
  <c r="D554" i="2"/>
  <c r="P554" i="2"/>
  <c r="D555" i="2"/>
  <c r="P555" i="2" s="1"/>
  <c r="D556" i="2"/>
  <c r="P556" i="2" s="1"/>
  <c r="D557" i="2"/>
  <c r="P557" i="2"/>
  <c r="D558" i="2"/>
  <c r="P558" i="2" s="1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P697" i="2"/>
  <c r="D698" i="2"/>
  <c r="P698" i="2" s="1"/>
  <c r="D699" i="2"/>
  <c r="D700" i="2"/>
  <c r="P700" i="2" s="1"/>
  <c r="D701" i="2"/>
  <c r="P701" i="2" s="1"/>
  <c r="D702" i="2"/>
  <c r="P702" i="2" s="1"/>
  <c r="D703" i="2"/>
  <c r="P703" i="2"/>
  <c r="D704" i="2"/>
  <c r="D705" i="2"/>
  <c r="P705" i="2" s="1"/>
  <c r="D706" i="2"/>
  <c r="D707" i="2"/>
  <c r="P707" i="2" s="1"/>
  <c r="D708" i="2"/>
  <c r="P708" i="2"/>
  <c r="D709" i="2"/>
  <c r="P709" i="2" s="1"/>
  <c r="D710" i="2"/>
  <c r="D711" i="2"/>
  <c r="D712" i="2"/>
  <c r="D713" i="2"/>
  <c r="D714" i="2"/>
  <c r="P714" i="2" s="1"/>
  <c r="Q714" i="2" s="1"/>
  <c r="D715" i="2"/>
  <c r="P715" i="2" s="1"/>
  <c r="Q715" i="2" s="1"/>
  <c r="D716" i="2"/>
  <c r="D717" i="2"/>
  <c r="D718" i="2"/>
  <c r="P718" i="2" s="1"/>
  <c r="Q718" i="2" s="1"/>
  <c r="D719" i="2"/>
  <c r="P719" i="2"/>
  <c r="Q719" i="2" s="1"/>
  <c r="D720" i="2"/>
  <c r="D721" i="2"/>
  <c r="D722" i="2"/>
  <c r="D723" i="2"/>
  <c r="P723" i="2"/>
  <c r="Q723" i="2" s="1"/>
  <c r="D724" i="2"/>
  <c r="P724" i="2"/>
  <c r="Q724" i="2" s="1"/>
  <c r="D725" i="2"/>
  <c r="D726" i="2"/>
  <c r="P726" i="2" s="1"/>
  <c r="Q726" i="2" s="1"/>
  <c r="D727" i="2"/>
  <c r="P727" i="2" s="1"/>
  <c r="Q727" i="2" s="1"/>
  <c r="D728" i="2"/>
  <c r="D729" i="2"/>
  <c r="P729" i="2" s="1"/>
  <c r="Q729" i="2" s="1"/>
  <c r="D730" i="2"/>
  <c r="D731" i="2"/>
  <c r="D732" i="2"/>
  <c r="P732" i="2" s="1"/>
  <c r="D733" i="2"/>
  <c r="P733" i="2"/>
  <c r="Q733" i="2" s="1"/>
  <c r="D734" i="2"/>
  <c r="P734" i="2"/>
  <c r="Q734" i="2" s="1"/>
  <c r="D735" i="2"/>
  <c r="D736" i="2"/>
  <c r="P736" i="2" s="1"/>
  <c r="Q736" i="2" s="1"/>
  <c r="D737" i="2"/>
  <c r="P737" i="2"/>
  <c r="D738" i="2"/>
  <c r="D739" i="2"/>
  <c r="D740" i="2"/>
  <c r="P740" i="2"/>
  <c r="D741" i="2"/>
  <c r="D742" i="2"/>
  <c r="P742" i="2" s="1"/>
  <c r="Q742" i="2" s="1"/>
  <c r="D743" i="2"/>
  <c r="D744" i="2"/>
  <c r="P744" i="2"/>
  <c r="D745" i="2"/>
  <c r="P745" i="2" s="1"/>
  <c r="B746" i="2"/>
  <c r="C746" i="2"/>
  <c r="J714" i="2" l="1"/>
  <c r="I714" i="2" s="1"/>
  <c r="G714" i="2"/>
  <c r="F714" i="2" s="1"/>
  <c r="M714" i="2"/>
  <c r="L714" i="2" s="1"/>
  <c r="M715" i="2"/>
  <c r="L715" i="2" s="1"/>
  <c r="J715" i="2"/>
  <c r="I715" i="2" s="1"/>
  <c r="G715" i="2"/>
  <c r="F715" i="2" s="1"/>
  <c r="M718" i="2"/>
  <c r="L718" i="2" s="1"/>
  <c r="J718" i="2"/>
  <c r="I718" i="2" s="1"/>
  <c r="G718" i="2"/>
  <c r="F718" i="2" s="1"/>
  <c r="J719" i="2"/>
  <c r="I719" i="2" s="1"/>
  <c r="G719" i="2"/>
  <c r="F719" i="2" s="1"/>
  <c r="M719" i="2"/>
  <c r="L719" i="2" s="1"/>
  <c r="J723" i="2"/>
  <c r="I723" i="2" s="1"/>
  <c r="G723" i="2"/>
  <c r="F723" i="2" s="1"/>
  <c r="M723" i="2"/>
  <c r="L723" i="2" s="1"/>
  <c r="M724" i="2"/>
  <c r="L724" i="2" s="1"/>
  <c r="G724" i="2"/>
  <c r="F724" i="2" s="1"/>
  <c r="J724" i="2"/>
  <c r="I724" i="2" s="1"/>
  <c r="M726" i="2"/>
  <c r="L726" i="2" s="1"/>
  <c r="G726" i="2"/>
  <c r="F726" i="2" s="1"/>
  <c r="J726" i="2"/>
  <c r="I726" i="2" s="1"/>
  <c r="J727" i="2"/>
  <c r="I727" i="2" s="1"/>
  <c r="M727" i="2"/>
  <c r="L727" i="2" s="1"/>
  <c r="G727" i="2"/>
  <c r="F727" i="2" s="1"/>
  <c r="J729" i="2"/>
  <c r="I729" i="2" s="1"/>
  <c r="M729" i="2"/>
  <c r="L729" i="2" s="1"/>
  <c r="G729" i="2"/>
  <c r="F729" i="2" s="1"/>
  <c r="M733" i="2"/>
  <c r="L733" i="2" s="1"/>
  <c r="G733" i="2"/>
  <c r="F733" i="2" s="1"/>
  <c r="J733" i="2"/>
  <c r="I733" i="2" s="1"/>
  <c r="M734" i="2"/>
  <c r="L734" i="2" s="1"/>
  <c r="J734" i="2"/>
  <c r="I734" i="2" s="1"/>
  <c r="G734" i="2"/>
  <c r="F734" i="2" s="1"/>
  <c r="M736" i="2"/>
  <c r="L736" i="2" s="1"/>
  <c r="J736" i="2"/>
  <c r="I736" i="2" s="1"/>
  <c r="G736" i="2"/>
  <c r="F736" i="2" s="1"/>
  <c r="J742" i="2"/>
  <c r="I742" i="2" s="1"/>
  <c r="G742" i="2"/>
  <c r="F742" i="2" s="1"/>
  <c r="M742" i="2"/>
  <c r="L742" i="2" s="1"/>
  <c r="P612" i="2"/>
  <c r="P613" i="2"/>
  <c r="P614" i="2"/>
  <c r="P615" i="2"/>
  <c r="P622" i="2"/>
  <c r="P624" i="2"/>
  <c r="P625" i="2"/>
  <c r="P626" i="2"/>
  <c r="P2" i="2"/>
  <c r="P617" i="2"/>
  <c r="P620" i="2"/>
  <c r="P627" i="2"/>
  <c r="P628" i="2"/>
  <c r="P629" i="2"/>
  <c r="P631" i="2"/>
  <c r="P3" i="2"/>
  <c r="P15" i="2"/>
  <c r="P20" i="2"/>
  <c r="P27" i="2"/>
  <c r="P28" i="2"/>
  <c r="P30" i="2"/>
  <c r="P40" i="2"/>
  <c r="P41" i="2"/>
  <c r="P48" i="2"/>
  <c r="P56" i="2"/>
  <c r="P58" i="2"/>
  <c r="P59" i="2"/>
  <c r="P73" i="2"/>
  <c r="P78" i="2"/>
  <c r="P84" i="2"/>
  <c r="P86" i="2"/>
  <c r="P89" i="2"/>
  <c r="P90" i="2"/>
  <c r="P92" i="2"/>
  <c r="P95" i="2"/>
  <c r="P96" i="2"/>
  <c r="P100" i="2"/>
  <c r="P103" i="2"/>
  <c r="P104" i="2"/>
  <c r="P105" i="2"/>
  <c r="P106" i="2"/>
  <c r="P110" i="2"/>
  <c r="P120" i="2"/>
  <c r="P122" i="2"/>
  <c r="Q122" i="2" s="1"/>
  <c r="P124" i="2"/>
  <c r="Q124" i="2" s="1"/>
  <c r="P125" i="2"/>
  <c r="P131" i="2"/>
  <c r="P132" i="2"/>
  <c r="P136" i="2"/>
  <c r="P137" i="2"/>
  <c r="P143" i="2"/>
  <c r="P153" i="2"/>
  <c r="P162" i="2"/>
  <c r="P163" i="2"/>
  <c r="P164" i="2"/>
  <c r="P166" i="2"/>
  <c r="P177" i="2"/>
  <c r="P178" i="2"/>
  <c r="P183" i="2"/>
  <c r="P191" i="2"/>
  <c r="P196" i="2"/>
  <c r="P199" i="2"/>
  <c r="P201" i="2"/>
  <c r="P204" i="2"/>
  <c r="P291" i="2"/>
  <c r="P370" i="2"/>
  <c r="P373" i="2"/>
  <c r="P647" i="2"/>
  <c r="P657" i="2"/>
  <c r="P666" i="2"/>
  <c r="P671" i="2"/>
  <c r="P675" i="2"/>
  <c r="P680" i="2"/>
  <c r="P688" i="2"/>
  <c r="P694" i="2"/>
  <c r="P213" i="2"/>
  <c r="P220" i="2"/>
  <c r="P222" i="2"/>
  <c r="P223" i="2"/>
  <c r="P224" i="2"/>
  <c r="P230" i="2"/>
  <c r="P231" i="2"/>
  <c r="P232" i="2"/>
  <c r="P233" i="2"/>
  <c r="P234" i="2"/>
  <c r="P235" i="2"/>
  <c r="P236" i="2"/>
  <c r="P237" i="2"/>
  <c r="P238" i="2"/>
  <c r="P239" i="2"/>
  <c r="P240" i="2"/>
  <c r="P242" i="2"/>
  <c r="P243" i="2"/>
  <c r="P244" i="2"/>
  <c r="P245" i="2"/>
  <c r="P247" i="2"/>
  <c r="P248" i="2"/>
  <c r="P249" i="2"/>
  <c r="P251" i="2"/>
  <c r="P253" i="2"/>
  <c r="P255" i="2"/>
  <c r="P256" i="2"/>
  <c r="P257" i="2"/>
  <c r="P260" i="2"/>
  <c r="P262" i="2"/>
  <c r="P263" i="2"/>
  <c r="P264" i="2"/>
  <c r="P265" i="2"/>
  <c r="P266" i="2"/>
  <c r="P267" i="2"/>
  <c r="P268" i="2"/>
  <c r="P269" i="2"/>
  <c r="P270" i="2"/>
  <c r="P271" i="2"/>
  <c r="P272" i="2"/>
  <c r="P274" i="2"/>
  <c r="P276" i="2"/>
  <c r="P279" i="2"/>
  <c r="P280" i="2"/>
  <c r="P283" i="2"/>
  <c r="P285" i="2"/>
  <c r="P292" i="2"/>
  <c r="P371" i="2"/>
  <c r="Q371" i="2" s="1"/>
  <c r="P646" i="2"/>
  <c r="P655" i="2"/>
  <c r="P660" i="2"/>
  <c r="P667" i="2"/>
  <c r="P673" i="2"/>
  <c r="P677" i="2"/>
  <c r="P685" i="2"/>
  <c r="P695" i="2"/>
  <c r="P298" i="2"/>
  <c r="P299" i="2"/>
  <c r="P301" i="2"/>
  <c r="P302" i="2"/>
  <c r="P304" i="2"/>
  <c r="P306" i="2"/>
  <c r="P307" i="2"/>
  <c r="P308" i="2"/>
  <c r="P309" i="2"/>
  <c r="P310" i="2"/>
  <c r="P311" i="2"/>
  <c r="P312" i="2"/>
  <c r="P314" i="2"/>
  <c r="P315" i="2"/>
  <c r="P316" i="2"/>
  <c r="P317" i="2"/>
  <c r="P318" i="2"/>
  <c r="P319" i="2"/>
  <c r="P320" i="2"/>
  <c r="P321" i="2"/>
  <c r="P322" i="2"/>
  <c r="P325" i="2"/>
  <c r="P327" i="2"/>
  <c r="P328" i="2"/>
  <c r="P329" i="2"/>
  <c r="P330" i="2"/>
  <c r="P331" i="2"/>
  <c r="P332" i="2"/>
  <c r="P333" i="2"/>
  <c r="P334" i="2"/>
  <c r="P336" i="2"/>
  <c r="P337" i="2"/>
  <c r="P338" i="2"/>
  <c r="P339" i="2"/>
  <c r="P340" i="2"/>
  <c r="P341" i="2"/>
  <c r="P342" i="2"/>
  <c r="P344" i="2"/>
  <c r="P345" i="2"/>
  <c r="P346" i="2"/>
  <c r="P351" i="2"/>
  <c r="P352" i="2"/>
  <c r="P356" i="2"/>
  <c r="P357" i="2"/>
  <c r="P367" i="2"/>
  <c r="P369" i="2"/>
  <c r="P372" i="2"/>
  <c r="P643" i="2"/>
  <c r="P649" i="2"/>
  <c r="P654" i="2"/>
  <c r="P661" i="2"/>
  <c r="P664" i="2"/>
  <c r="P669" i="2"/>
  <c r="P679" i="2"/>
  <c r="P686" i="2"/>
  <c r="P692" i="2"/>
  <c r="P374" i="2"/>
  <c r="P378" i="2"/>
  <c r="P380" i="2"/>
  <c r="P382" i="2"/>
  <c r="P391" i="2"/>
  <c r="P392" i="2"/>
  <c r="P393" i="2"/>
  <c r="P396" i="2"/>
  <c r="P397" i="2"/>
  <c r="P402" i="2"/>
  <c r="P405" i="2"/>
  <c r="P410" i="2"/>
  <c r="P411" i="2"/>
  <c r="P412" i="2"/>
  <c r="P415" i="2"/>
  <c r="P419" i="2"/>
  <c r="P421" i="2"/>
  <c r="P423" i="2"/>
  <c r="P424" i="2"/>
  <c r="P425" i="2"/>
  <c r="P427" i="2"/>
  <c r="P428" i="2"/>
  <c r="P435" i="2"/>
  <c r="P436" i="2"/>
  <c r="P439" i="2"/>
  <c r="P440" i="2"/>
  <c r="P441" i="2"/>
  <c r="P444" i="2"/>
  <c r="P445" i="2"/>
  <c r="P446" i="2"/>
  <c r="P447" i="2"/>
  <c r="P448" i="2"/>
  <c r="P451" i="2"/>
  <c r="P452" i="2"/>
  <c r="P453" i="2"/>
  <c r="P455" i="2"/>
  <c r="P456" i="2"/>
  <c r="P645" i="2"/>
  <c r="P653" i="2"/>
  <c r="P662" i="2"/>
  <c r="P670" i="2"/>
  <c r="P674" i="2"/>
  <c r="P678" i="2"/>
  <c r="P684" i="2"/>
  <c r="P690" i="2"/>
  <c r="P696" i="2"/>
  <c r="P458" i="2"/>
  <c r="P459" i="2"/>
  <c r="P460" i="2"/>
  <c r="P462" i="2"/>
  <c r="P465" i="2"/>
  <c r="P466" i="2"/>
  <c r="P468" i="2"/>
  <c r="P469" i="2"/>
  <c r="P470" i="2"/>
  <c r="P471" i="2"/>
  <c r="P560" i="2"/>
  <c r="P561" i="2"/>
  <c r="P562" i="2"/>
  <c r="P565" i="2"/>
  <c r="P566" i="2"/>
  <c r="P567" i="2"/>
  <c r="P569" i="2"/>
  <c r="P570" i="2"/>
  <c r="P571" i="2"/>
  <c r="P572" i="2"/>
  <c r="P575" i="2"/>
  <c r="P576" i="2"/>
  <c r="P577" i="2"/>
  <c r="P578" i="2"/>
  <c r="P579" i="2"/>
  <c r="P580" i="2"/>
  <c r="P581" i="2"/>
  <c r="P582" i="2"/>
  <c r="P584" i="2"/>
  <c r="P585" i="2"/>
  <c r="P586" i="2"/>
  <c r="P588" i="2"/>
  <c r="P589" i="2"/>
  <c r="P591" i="2"/>
  <c r="P592" i="2"/>
  <c r="P593" i="2"/>
  <c r="P598" i="2"/>
  <c r="P599" i="2"/>
  <c r="P600" i="2"/>
  <c r="P602" i="2"/>
  <c r="P605" i="2"/>
  <c r="P606" i="2"/>
  <c r="P608" i="2"/>
  <c r="P609" i="2"/>
  <c r="P610" i="2"/>
  <c r="P611" i="2"/>
  <c r="P633" i="2"/>
  <c r="P634" i="2"/>
  <c r="P635" i="2"/>
  <c r="P636" i="2"/>
  <c r="P637" i="2"/>
  <c r="P639" i="2"/>
  <c r="P640" i="2"/>
  <c r="P641" i="2"/>
  <c r="P644" i="2"/>
  <c r="P648" i="2"/>
  <c r="P650" i="2"/>
  <c r="P656" i="2"/>
  <c r="P663" i="2"/>
  <c r="P668" i="2"/>
  <c r="P672" i="2"/>
  <c r="P676" i="2"/>
  <c r="P681" i="2"/>
  <c r="P689" i="2"/>
  <c r="P693" i="2"/>
  <c r="P408" i="2"/>
  <c r="P167" i="2"/>
  <c r="P175" i="2"/>
  <c r="P188" i="2"/>
  <c r="P203" i="2"/>
  <c r="P205" i="2"/>
  <c r="P209" i="2"/>
  <c r="P710" i="2"/>
  <c r="P574" i="2"/>
  <c r="O533" i="2"/>
  <c r="Q533" i="2"/>
  <c r="P474" i="2"/>
  <c r="P616" i="2"/>
  <c r="P116" i="2"/>
  <c r="P51" i="2"/>
  <c r="P52" i="2"/>
  <c r="P83" i="2"/>
  <c r="P499" i="2"/>
  <c r="P659" i="2"/>
  <c r="P241" i="2"/>
  <c r="P250" i="2"/>
  <c r="P259" i="2"/>
  <c r="P261" i="2"/>
  <c r="P278" i="2"/>
  <c r="P296" i="2"/>
  <c r="P297" i="2"/>
  <c r="P511" i="2"/>
  <c r="P682" i="2"/>
  <c r="P517" i="2"/>
  <c r="P497" i="2"/>
  <c r="Q698" i="2"/>
  <c r="O698" i="2"/>
  <c r="P699" i="2"/>
  <c r="Q701" i="2"/>
  <c r="O701" i="2"/>
  <c r="O702" i="2"/>
  <c r="Q702" i="2"/>
  <c r="Q703" i="2"/>
  <c r="O703" i="2"/>
  <c r="P704" i="2"/>
  <c r="Q705" i="2"/>
  <c r="O705" i="2"/>
  <c r="P706" i="2"/>
  <c r="O707" i="2"/>
  <c r="Q707" i="2"/>
  <c r="Q708" i="2"/>
  <c r="O708" i="2"/>
  <c r="Q709" i="2"/>
  <c r="O709" i="2"/>
  <c r="P711" i="2"/>
  <c r="P429" i="2"/>
  <c r="P502" i="2"/>
  <c r="P528" i="2"/>
  <c r="P480" i="2"/>
  <c r="P491" i="2"/>
  <c r="P495" i="2"/>
  <c r="P507" i="2"/>
  <c r="P518" i="2"/>
  <c r="P524" i="2"/>
  <c r="P76" i="2"/>
  <c r="P290" i="2"/>
  <c r="P300" i="2"/>
  <c r="P324" i="2"/>
  <c r="P493" i="2"/>
  <c r="P496" i="2"/>
  <c r="P500" i="2"/>
  <c r="P514" i="2"/>
  <c r="P515" i="2"/>
  <c r="P323" i="2"/>
  <c r="P282" i="2"/>
  <c r="P305" i="2"/>
  <c r="P303" i="2"/>
  <c r="P619" i="2"/>
  <c r="P623" i="2"/>
  <c r="P691" i="2"/>
  <c r="P618" i="2"/>
  <c r="P630" i="2"/>
  <c r="P638" i="2"/>
  <c r="P665" i="2"/>
  <c r="P687" i="2"/>
  <c r="P632" i="2"/>
  <c r="P651" i="2"/>
  <c r="P652" i="2"/>
  <c r="P683" i="2"/>
  <c r="P741" i="2"/>
  <c r="P739" i="2"/>
  <c r="P79" i="2"/>
  <c r="P277" i="2"/>
  <c r="P395" i="2"/>
  <c r="P403" i="2"/>
  <c r="O697" i="2"/>
  <c r="Q697" i="2"/>
  <c r="O700" i="2"/>
  <c r="Q700" i="2"/>
  <c r="Q478" i="2"/>
  <c r="O478" i="2"/>
  <c r="Q538" i="2"/>
  <c r="O538" i="2"/>
  <c r="O745" i="2"/>
  <c r="Q745" i="2"/>
  <c r="Q479" i="2"/>
  <c r="O479" i="2"/>
  <c r="Q482" i="2"/>
  <c r="O482" i="2"/>
  <c r="Q485" i="2"/>
  <c r="O485" i="2"/>
  <c r="O613" i="2"/>
  <c r="Q613" i="2"/>
  <c r="Q744" i="2"/>
  <c r="O744" i="2"/>
  <c r="O494" i="2"/>
  <c r="Q494" i="2"/>
  <c r="O506" i="2"/>
  <c r="Q506" i="2"/>
  <c r="Q523" i="2"/>
  <c r="O523" i="2"/>
  <c r="Q526" i="2"/>
  <c r="O526" i="2"/>
  <c r="O527" i="2"/>
  <c r="Q527" i="2"/>
  <c r="Q534" i="2"/>
  <c r="O534" i="2"/>
  <c r="Q535" i="2"/>
  <c r="O535" i="2"/>
  <c r="Q536" i="2"/>
  <c r="O536" i="2"/>
  <c r="Q537" i="2"/>
  <c r="O537" i="2"/>
  <c r="O539" i="2"/>
  <c r="Q539" i="2"/>
  <c r="O540" i="2"/>
  <c r="Q540" i="2"/>
  <c r="O542" i="2"/>
  <c r="Q542" i="2"/>
  <c r="Q546" i="2"/>
  <c r="O546" i="2"/>
  <c r="Q547" i="2"/>
  <c r="O547" i="2"/>
  <c r="Q550" i="2"/>
  <c r="O550" i="2"/>
  <c r="O551" i="2"/>
  <c r="Q551" i="2"/>
  <c r="O553" i="2"/>
  <c r="Q553" i="2"/>
  <c r="Q554" i="2"/>
  <c r="O554" i="2"/>
  <c r="Q555" i="2"/>
  <c r="O555" i="2"/>
  <c r="P621" i="2"/>
  <c r="P642" i="2"/>
  <c r="P44" i="2"/>
  <c r="P109" i="2"/>
  <c r="P119" i="2"/>
  <c r="P246" i="2"/>
  <c r="P254" i="2"/>
  <c r="P258" i="2"/>
  <c r="P313" i="2"/>
  <c r="P326" i="2"/>
  <c r="P368" i="2"/>
  <c r="P377" i="2"/>
  <c r="P509" i="2"/>
  <c r="P510" i="2"/>
  <c r="P513" i="2"/>
  <c r="P520" i="2"/>
  <c r="P521" i="2"/>
  <c r="P525" i="2"/>
  <c r="P545" i="2"/>
  <c r="P559" i="2"/>
  <c r="P563" i="2"/>
  <c r="P564" i="2"/>
  <c r="P568" i="2"/>
  <c r="P573" i="2"/>
  <c r="P658" i="2"/>
  <c r="P252" i="2"/>
  <c r="P273" i="2"/>
  <c r="P275" i="2"/>
  <c r="P281" i="2"/>
  <c r="P284" i="2"/>
  <c r="P286" i="2"/>
  <c r="P287" i="2"/>
  <c r="P288" i="2"/>
  <c r="P289" i="2"/>
  <c r="P293" i="2"/>
  <c r="P294" i="2"/>
  <c r="P295" i="2"/>
  <c r="P335" i="2"/>
  <c r="P390" i="2"/>
  <c r="P461" i="2"/>
  <c r="P463" i="2"/>
  <c r="P464" i="2"/>
  <c r="P467" i="2"/>
  <c r="P472" i="2"/>
  <c r="P473" i="2"/>
  <c r="Q475" i="2"/>
  <c r="O475" i="2"/>
  <c r="P476" i="2"/>
  <c r="P477" i="2"/>
  <c r="P481" i="2"/>
  <c r="P483" i="2"/>
  <c r="O484" i="2"/>
  <c r="Q484" i="2"/>
  <c r="Q486" i="2"/>
  <c r="O486" i="2"/>
  <c r="O487" i="2"/>
  <c r="Q487" i="2"/>
  <c r="O488" i="2"/>
  <c r="Q488" i="2"/>
  <c r="Q489" i="2"/>
  <c r="O489" i="2"/>
  <c r="P583" i="2"/>
  <c r="P587" i="2"/>
  <c r="P590" i="2"/>
  <c r="P594" i="2"/>
  <c r="P595" i="2"/>
  <c r="P596" i="2"/>
  <c r="P597" i="2"/>
  <c r="P601" i="2"/>
  <c r="P603" i="2"/>
  <c r="P604" i="2"/>
  <c r="P607" i="2"/>
  <c r="O122" i="2"/>
  <c r="O124" i="2"/>
  <c r="D746" i="2"/>
  <c r="O371" i="2"/>
  <c r="O714" i="2"/>
  <c r="O715" i="2"/>
  <c r="O718" i="2"/>
  <c r="O719" i="2"/>
  <c r="O723" i="2"/>
  <c r="O724" i="2"/>
  <c r="O726" i="2"/>
  <c r="O727" i="2"/>
  <c r="O729" i="2"/>
  <c r="O733" i="2"/>
  <c r="O734" i="2"/>
  <c r="O736" i="2"/>
  <c r="O742" i="2"/>
  <c r="O490" i="2"/>
  <c r="Q490" i="2"/>
  <c r="O492" i="2"/>
  <c r="Q492" i="2"/>
  <c r="O498" i="2"/>
  <c r="Q498" i="2"/>
  <c r="O501" i="2"/>
  <c r="Q501" i="2"/>
  <c r="O503" i="2"/>
  <c r="Q503" i="2"/>
  <c r="O504" i="2"/>
  <c r="Q504" i="2"/>
  <c r="O505" i="2"/>
  <c r="Q505" i="2"/>
  <c r="O508" i="2"/>
  <c r="Q508" i="2"/>
  <c r="O512" i="2"/>
  <c r="Q512" i="2"/>
  <c r="O516" i="2"/>
  <c r="Q516" i="2"/>
  <c r="O519" i="2"/>
  <c r="Q519" i="2"/>
  <c r="O522" i="2"/>
  <c r="Q522" i="2"/>
  <c r="O529" i="2"/>
  <c r="Q529" i="2"/>
  <c r="O530" i="2"/>
  <c r="Q530" i="2"/>
  <c r="O531" i="2"/>
  <c r="Q531" i="2"/>
  <c r="O532" i="2"/>
  <c r="Q532" i="2"/>
  <c r="O541" i="2"/>
  <c r="Q541" i="2"/>
  <c r="O543" i="2"/>
  <c r="Q543" i="2"/>
  <c r="O544" i="2"/>
  <c r="Q544" i="2"/>
  <c r="O548" i="2"/>
  <c r="Q548" i="2"/>
  <c r="O549" i="2"/>
  <c r="Q549" i="2"/>
  <c r="O552" i="2"/>
  <c r="Q552" i="2"/>
  <c r="O556" i="2"/>
  <c r="Q556" i="2"/>
  <c r="O557" i="2"/>
  <c r="Q557" i="2"/>
  <c r="O558" i="2"/>
  <c r="Q558" i="2"/>
  <c r="P4" i="2"/>
  <c r="P8" i="2"/>
  <c r="P9" i="2"/>
  <c r="P12" i="2"/>
  <c r="P16" i="2"/>
  <c r="P18" i="2"/>
  <c r="P19" i="2"/>
  <c r="P23" i="2"/>
  <c r="P25" i="2"/>
  <c r="P34" i="2"/>
  <c r="P35" i="2"/>
  <c r="P37" i="2"/>
  <c r="P39" i="2"/>
  <c r="P42" i="2"/>
  <c r="P46" i="2"/>
  <c r="P47" i="2"/>
  <c r="P53" i="2"/>
  <c r="P55" i="2"/>
  <c r="P57" i="2"/>
  <c r="P61" i="2"/>
  <c r="P62" i="2"/>
  <c r="P63" i="2"/>
  <c r="P64" i="2"/>
  <c r="P67" i="2"/>
  <c r="P68" i="2"/>
  <c r="P71" i="2"/>
  <c r="P72" i="2"/>
  <c r="P80" i="2"/>
  <c r="P99" i="2"/>
  <c r="P102" i="2"/>
  <c r="P107" i="2"/>
  <c r="P112" i="2"/>
  <c r="P123" i="2"/>
  <c r="P133" i="2"/>
  <c r="P139" i="2"/>
  <c r="P140" i="2"/>
  <c r="P142" i="2"/>
  <c r="P147" i="2"/>
  <c r="P156" i="2"/>
  <c r="P157" i="2"/>
  <c r="P158" i="2"/>
  <c r="P165" i="2"/>
  <c r="P171" i="2"/>
  <c r="P179" i="2"/>
  <c r="P181" i="2"/>
  <c r="P187" i="2"/>
  <c r="P193" i="2"/>
  <c r="P194" i="2"/>
  <c r="P197" i="2"/>
  <c r="P202" i="2"/>
  <c r="P207" i="2"/>
  <c r="P217" i="2"/>
  <c r="P221" i="2"/>
  <c r="P226" i="2"/>
  <c r="P343" i="2"/>
  <c r="P347" i="2"/>
  <c r="P349" i="2"/>
  <c r="P355" i="2"/>
  <c r="P358" i="2"/>
  <c r="P364" i="2"/>
  <c r="P381" i="2"/>
  <c r="P385" i="2"/>
  <c r="P386" i="2"/>
  <c r="P387" i="2"/>
  <c r="P399" i="2"/>
  <c r="P400" i="2"/>
  <c r="P401" i="2"/>
  <c r="P406" i="2"/>
  <c r="P418" i="2"/>
  <c r="P433" i="2"/>
  <c r="P434" i="2"/>
  <c r="P437" i="2"/>
  <c r="P442" i="2"/>
  <c r="P450" i="2"/>
  <c r="P454" i="2"/>
  <c r="P712" i="2"/>
  <c r="P713" i="2"/>
  <c r="P717" i="2"/>
  <c r="P728" i="2"/>
  <c r="P730" i="2"/>
  <c r="Q732" i="2"/>
  <c r="O732" i="2"/>
  <c r="O737" i="2"/>
  <c r="Q737" i="2"/>
  <c r="P738" i="2"/>
  <c r="O740" i="2"/>
  <c r="Q740" i="2"/>
  <c r="Q352" i="2" l="1"/>
  <c r="O352" i="2"/>
  <c r="Q356" i="2"/>
  <c r="O356" i="2"/>
  <c r="Q367" i="2"/>
  <c r="O367" i="2"/>
  <c r="Q369" i="2"/>
  <c r="O369" i="2"/>
  <c r="Q419" i="2"/>
  <c r="O419" i="2"/>
  <c r="Q421" i="2"/>
  <c r="O421" i="2"/>
  <c r="J122" i="2"/>
  <c r="I122" i="2" s="1"/>
  <c r="G122" i="2"/>
  <c r="F122" i="2" s="1"/>
  <c r="M122" i="2"/>
  <c r="L122" i="2" s="1"/>
  <c r="M124" i="2"/>
  <c r="L124" i="2" s="1"/>
  <c r="J124" i="2"/>
  <c r="I124" i="2" s="1"/>
  <c r="G124" i="2"/>
  <c r="F124" i="2" s="1"/>
  <c r="G371" i="2"/>
  <c r="F371" i="2" s="1"/>
  <c r="J371" i="2"/>
  <c r="I371" i="2" s="1"/>
  <c r="M371" i="2"/>
  <c r="L371" i="2" s="1"/>
  <c r="J352" i="2"/>
  <c r="I352" i="2" s="1"/>
  <c r="G352" i="2"/>
  <c r="F352" i="2" s="1"/>
  <c r="M352" i="2"/>
  <c r="L352" i="2" s="1"/>
  <c r="M356" i="2"/>
  <c r="L356" i="2" s="1"/>
  <c r="G356" i="2"/>
  <c r="F356" i="2" s="1"/>
  <c r="J356" i="2"/>
  <c r="I356" i="2" s="1"/>
  <c r="J367" i="2"/>
  <c r="I367" i="2" s="1"/>
  <c r="M367" i="2"/>
  <c r="L367" i="2" s="1"/>
  <c r="G367" i="2"/>
  <c r="F367" i="2" s="1"/>
  <c r="G369" i="2"/>
  <c r="F369" i="2" s="1"/>
  <c r="M369" i="2"/>
  <c r="L369" i="2" s="1"/>
  <c r="J369" i="2"/>
  <c r="I369" i="2" s="1"/>
  <c r="J419" i="2"/>
  <c r="I419" i="2" s="1"/>
  <c r="G419" i="2"/>
  <c r="F419" i="2" s="1"/>
  <c r="M419" i="2"/>
  <c r="L419" i="2" s="1"/>
  <c r="G421" i="2"/>
  <c r="F421" i="2" s="1"/>
  <c r="J421" i="2"/>
  <c r="I421" i="2" s="1"/>
  <c r="M421" i="2"/>
  <c r="L421" i="2" s="1"/>
  <c r="J533" i="2"/>
  <c r="I533" i="2" s="1"/>
  <c r="M533" i="2"/>
  <c r="L533" i="2" s="1"/>
  <c r="G533" i="2"/>
  <c r="F533" i="2" s="1"/>
  <c r="M698" i="2"/>
  <c r="L698" i="2" s="1"/>
  <c r="J698" i="2"/>
  <c r="I698" i="2" s="1"/>
  <c r="G698" i="2"/>
  <c r="F698" i="2" s="1"/>
  <c r="M701" i="2"/>
  <c r="L701" i="2" s="1"/>
  <c r="G701" i="2"/>
  <c r="F701" i="2" s="1"/>
  <c r="J701" i="2"/>
  <c r="I701" i="2" s="1"/>
  <c r="G702" i="2"/>
  <c r="F702" i="2" s="1"/>
  <c r="J702" i="2"/>
  <c r="I702" i="2" s="1"/>
  <c r="M702" i="2"/>
  <c r="L702" i="2" s="1"/>
  <c r="M703" i="2"/>
  <c r="L703" i="2" s="1"/>
  <c r="G703" i="2"/>
  <c r="F703" i="2" s="1"/>
  <c r="J703" i="2"/>
  <c r="I703" i="2" s="1"/>
  <c r="G705" i="2"/>
  <c r="F705" i="2" s="1"/>
  <c r="J705" i="2"/>
  <c r="I705" i="2" s="1"/>
  <c r="M705" i="2"/>
  <c r="L705" i="2" s="1"/>
  <c r="J707" i="2"/>
  <c r="I707" i="2" s="1"/>
  <c r="G707" i="2"/>
  <c r="F707" i="2" s="1"/>
  <c r="M707" i="2"/>
  <c r="L707" i="2" s="1"/>
  <c r="M708" i="2"/>
  <c r="L708" i="2" s="1"/>
  <c r="G708" i="2"/>
  <c r="F708" i="2" s="1"/>
  <c r="J708" i="2"/>
  <c r="I708" i="2" s="1"/>
  <c r="J709" i="2"/>
  <c r="I709" i="2" s="1"/>
  <c r="M709" i="2"/>
  <c r="L709" i="2" s="1"/>
  <c r="G709" i="2"/>
  <c r="F709" i="2" s="1"/>
  <c r="J697" i="2"/>
  <c r="I697" i="2" s="1"/>
  <c r="M697" i="2"/>
  <c r="L697" i="2" s="1"/>
  <c r="G697" i="2"/>
  <c r="F697" i="2" s="1"/>
  <c r="M700" i="2"/>
  <c r="L700" i="2" s="1"/>
  <c r="J700" i="2"/>
  <c r="I700" i="2" s="1"/>
  <c r="G700" i="2"/>
  <c r="F700" i="2" s="1"/>
  <c r="J478" i="2"/>
  <c r="I478" i="2" s="1"/>
  <c r="G478" i="2"/>
  <c r="F478" i="2" s="1"/>
  <c r="M478" i="2"/>
  <c r="L478" i="2" s="1"/>
  <c r="G538" i="2"/>
  <c r="F538" i="2" s="1"/>
  <c r="M538" i="2"/>
  <c r="L538" i="2" s="1"/>
  <c r="J538" i="2"/>
  <c r="I538" i="2" s="1"/>
  <c r="J745" i="2"/>
  <c r="I745" i="2" s="1"/>
  <c r="G745" i="2"/>
  <c r="F745" i="2" s="1"/>
  <c r="M745" i="2"/>
  <c r="L745" i="2" s="1"/>
  <c r="G479" i="2"/>
  <c r="F479" i="2" s="1"/>
  <c r="M479" i="2"/>
  <c r="L479" i="2" s="1"/>
  <c r="J479" i="2"/>
  <c r="I479" i="2" s="1"/>
  <c r="G482" i="2"/>
  <c r="F482" i="2" s="1"/>
  <c r="M482" i="2"/>
  <c r="L482" i="2" s="1"/>
  <c r="J482" i="2"/>
  <c r="I482" i="2" s="1"/>
  <c r="G485" i="2"/>
  <c r="F485" i="2" s="1"/>
  <c r="M485" i="2"/>
  <c r="L485" i="2" s="1"/>
  <c r="J485" i="2"/>
  <c r="I485" i="2" s="1"/>
  <c r="J613" i="2"/>
  <c r="I613" i="2" s="1"/>
  <c r="M613" i="2"/>
  <c r="L613" i="2" s="1"/>
  <c r="G613" i="2"/>
  <c r="F613" i="2" s="1"/>
  <c r="G744" i="2"/>
  <c r="F744" i="2" s="1"/>
  <c r="J744" i="2"/>
  <c r="I744" i="2" s="1"/>
  <c r="M744" i="2"/>
  <c r="L744" i="2" s="1"/>
  <c r="G494" i="2"/>
  <c r="F494" i="2" s="1"/>
  <c r="M494" i="2"/>
  <c r="L494" i="2" s="1"/>
  <c r="J494" i="2"/>
  <c r="I494" i="2" s="1"/>
  <c r="M506" i="2"/>
  <c r="L506" i="2" s="1"/>
  <c r="J506" i="2"/>
  <c r="I506" i="2" s="1"/>
  <c r="G506" i="2"/>
  <c r="F506" i="2" s="1"/>
  <c r="M523" i="2"/>
  <c r="L523" i="2" s="1"/>
  <c r="J523" i="2"/>
  <c r="I523" i="2" s="1"/>
  <c r="G523" i="2"/>
  <c r="F523" i="2" s="1"/>
  <c r="M526" i="2"/>
  <c r="L526" i="2" s="1"/>
  <c r="G526" i="2"/>
  <c r="F526" i="2" s="1"/>
  <c r="J526" i="2"/>
  <c r="I526" i="2" s="1"/>
  <c r="G527" i="2"/>
  <c r="F527" i="2" s="1"/>
  <c r="J527" i="2"/>
  <c r="I527" i="2" s="1"/>
  <c r="M527" i="2"/>
  <c r="L527" i="2" s="1"/>
  <c r="G534" i="2"/>
  <c r="F534" i="2" s="1"/>
  <c r="M534" i="2"/>
  <c r="L534" i="2" s="1"/>
  <c r="J534" i="2"/>
  <c r="I534" i="2" s="1"/>
  <c r="M535" i="2"/>
  <c r="L535" i="2" s="1"/>
  <c r="J535" i="2"/>
  <c r="I535" i="2" s="1"/>
  <c r="G535" i="2"/>
  <c r="F535" i="2" s="1"/>
  <c r="M536" i="2"/>
  <c r="L536" i="2" s="1"/>
  <c r="G536" i="2"/>
  <c r="F536" i="2" s="1"/>
  <c r="J536" i="2"/>
  <c r="I536" i="2" s="1"/>
  <c r="M537" i="2"/>
  <c r="L537" i="2" s="1"/>
  <c r="J537" i="2"/>
  <c r="I537" i="2" s="1"/>
  <c r="G537" i="2"/>
  <c r="F537" i="2" s="1"/>
  <c r="M539" i="2"/>
  <c r="L539" i="2" s="1"/>
  <c r="G539" i="2"/>
  <c r="F539" i="2" s="1"/>
  <c r="J539" i="2"/>
  <c r="I539" i="2" s="1"/>
  <c r="M540" i="2"/>
  <c r="L540" i="2" s="1"/>
  <c r="J540" i="2"/>
  <c r="I540" i="2" s="1"/>
  <c r="G540" i="2"/>
  <c r="F540" i="2" s="1"/>
  <c r="J542" i="2"/>
  <c r="I542" i="2" s="1"/>
  <c r="G542" i="2"/>
  <c r="F542" i="2" s="1"/>
  <c r="M542" i="2"/>
  <c r="L542" i="2" s="1"/>
  <c r="G546" i="2"/>
  <c r="F546" i="2" s="1"/>
  <c r="M546" i="2"/>
  <c r="L546" i="2" s="1"/>
  <c r="J546" i="2"/>
  <c r="I546" i="2" s="1"/>
  <c r="G547" i="2"/>
  <c r="F547" i="2" s="1"/>
  <c r="J547" i="2"/>
  <c r="I547" i="2" s="1"/>
  <c r="M547" i="2"/>
  <c r="L547" i="2" s="1"/>
  <c r="J550" i="2"/>
  <c r="I550" i="2" s="1"/>
  <c r="G550" i="2"/>
  <c r="F550" i="2" s="1"/>
  <c r="M550" i="2"/>
  <c r="L550" i="2" s="1"/>
  <c r="G551" i="2"/>
  <c r="F551" i="2" s="1"/>
  <c r="M551" i="2"/>
  <c r="L551" i="2" s="1"/>
  <c r="J551" i="2"/>
  <c r="I551" i="2" s="1"/>
  <c r="M553" i="2"/>
  <c r="L553" i="2" s="1"/>
  <c r="J553" i="2"/>
  <c r="I553" i="2" s="1"/>
  <c r="G553" i="2"/>
  <c r="F553" i="2" s="1"/>
  <c r="M554" i="2"/>
  <c r="L554" i="2" s="1"/>
  <c r="G554" i="2"/>
  <c r="F554" i="2" s="1"/>
  <c r="J554" i="2"/>
  <c r="I554" i="2" s="1"/>
  <c r="G555" i="2"/>
  <c r="F555" i="2" s="1"/>
  <c r="M555" i="2"/>
  <c r="L555" i="2" s="1"/>
  <c r="J555" i="2"/>
  <c r="I555" i="2" s="1"/>
  <c r="J475" i="2"/>
  <c r="I475" i="2" s="1"/>
  <c r="M475" i="2"/>
  <c r="L475" i="2" s="1"/>
  <c r="G475" i="2"/>
  <c r="F475" i="2" s="1"/>
  <c r="M484" i="2"/>
  <c r="L484" i="2" s="1"/>
  <c r="G484" i="2"/>
  <c r="F484" i="2" s="1"/>
  <c r="J484" i="2"/>
  <c r="I484" i="2" s="1"/>
  <c r="G486" i="2"/>
  <c r="F486" i="2" s="1"/>
  <c r="M486" i="2"/>
  <c r="L486" i="2" s="1"/>
  <c r="J486" i="2"/>
  <c r="I486" i="2" s="1"/>
  <c r="M487" i="2"/>
  <c r="L487" i="2" s="1"/>
  <c r="G487" i="2"/>
  <c r="F487" i="2" s="1"/>
  <c r="J487" i="2"/>
  <c r="I487" i="2" s="1"/>
  <c r="J488" i="2"/>
  <c r="I488" i="2" s="1"/>
  <c r="G488" i="2"/>
  <c r="F488" i="2" s="1"/>
  <c r="M488" i="2"/>
  <c r="L488" i="2" s="1"/>
  <c r="M489" i="2"/>
  <c r="L489" i="2" s="1"/>
  <c r="J489" i="2"/>
  <c r="I489" i="2" s="1"/>
  <c r="G489" i="2"/>
  <c r="F489" i="2" s="1"/>
  <c r="J490" i="2"/>
  <c r="I490" i="2" s="1"/>
  <c r="M490" i="2"/>
  <c r="L490" i="2" s="1"/>
  <c r="G490" i="2"/>
  <c r="F490" i="2" s="1"/>
  <c r="J492" i="2"/>
  <c r="I492" i="2" s="1"/>
  <c r="G492" i="2"/>
  <c r="F492" i="2" s="1"/>
  <c r="M492" i="2"/>
  <c r="L492" i="2" s="1"/>
  <c r="G498" i="2"/>
  <c r="F498" i="2" s="1"/>
  <c r="J498" i="2"/>
  <c r="I498" i="2" s="1"/>
  <c r="M498" i="2"/>
  <c r="L498" i="2" s="1"/>
  <c r="J501" i="2"/>
  <c r="I501" i="2" s="1"/>
  <c r="G501" i="2"/>
  <c r="F501" i="2" s="1"/>
  <c r="M501" i="2"/>
  <c r="L501" i="2" s="1"/>
  <c r="G503" i="2"/>
  <c r="F503" i="2" s="1"/>
  <c r="J503" i="2"/>
  <c r="I503" i="2" s="1"/>
  <c r="M503" i="2"/>
  <c r="L503" i="2" s="1"/>
  <c r="M504" i="2"/>
  <c r="L504" i="2" s="1"/>
  <c r="G504" i="2"/>
  <c r="F504" i="2" s="1"/>
  <c r="J504" i="2"/>
  <c r="I504" i="2" s="1"/>
  <c r="J505" i="2"/>
  <c r="I505" i="2" s="1"/>
  <c r="G505" i="2"/>
  <c r="F505" i="2" s="1"/>
  <c r="M505" i="2"/>
  <c r="L505" i="2" s="1"/>
  <c r="M508" i="2"/>
  <c r="L508" i="2" s="1"/>
  <c r="J508" i="2"/>
  <c r="I508" i="2" s="1"/>
  <c r="G508" i="2"/>
  <c r="F508" i="2" s="1"/>
  <c r="G512" i="2"/>
  <c r="F512" i="2" s="1"/>
  <c r="J512" i="2"/>
  <c r="I512" i="2" s="1"/>
  <c r="M512" i="2"/>
  <c r="L512" i="2" s="1"/>
  <c r="M516" i="2"/>
  <c r="L516" i="2" s="1"/>
  <c r="G516" i="2"/>
  <c r="F516" i="2" s="1"/>
  <c r="J516" i="2"/>
  <c r="I516" i="2" s="1"/>
  <c r="G519" i="2"/>
  <c r="F519" i="2" s="1"/>
  <c r="J519" i="2"/>
  <c r="I519" i="2" s="1"/>
  <c r="M519" i="2"/>
  <c r="L519" i="2" s="1"/>
  <c r="J522" i="2"/>
  <c r="I522" i="2" s="1"/>
  <c r="M522" i="2"/>
  <c r="L522" i="2" s="1"/>
  <c r="G522" i="2"/>
  <c r="F522" i="2" s="1"/>
  <c r="J529" i="2"/>
  <c r="I529" i="2" s="1"/>
  <c r="G529" i="2"/>
  <c r="F529" i="2" s="1"/>
  <c r="M529" i="2"/>
  <c r="L529" i="2" s="1"/>
  <c r="J530" i="2"/>
  <c r="I530" i="2" s="1"/>
  <c r="G530" i="2"/>
  <c r="F530" i="2" s="1"/>
  <c r="M530" i="2"/>
  <c r="L530" i="2" s="1"/>
  <c r="G531" i="2"/>
  <c r="F531" i="2" s="1"/>
  <c r="M531" i="2"/>
  <c r="L531" i="2" s="1"/>
  <c r="J531" i="2"/>
  <c r="I531" i="2" s="1"/>
  <c r="M532" i="2"/>
  <c r="L532" i="2" s="1"/>
  <c r="G532" i="2"/>
  <c r="F532" i="2" s="1"/>
  <c r="J532" i="2"/>
  <c r="I532" i="2" s="1"/>
  <c r="G541" i="2"/>
  <c r="F541" i="2" s="1"/>
  <c r="M541" i="2"/>
  <c r="L541" i="2" s="1"/>
  <c r="J541" i="2"/>
  <c r="I541" i="2" s="1"/>
  <c r="J543" i="2"/>
  <c r="I543" i="2" s="1"/>
  <c r="G543" i="2"/>
  <c r="F543" i="2" s="1"/>
  <c r="M543" i="2"/>
  <c r="L543" i="2" s="1"/>
  <c r="M544" i="2"/>
  <c r="L544" i="2" s="1"/>
  <c r="G544" i="2"/>
  <c r="F544" i="2" s="1"/>
  <c r="J544" i="2"/>
  <c r="I544" i="2" s="1"/>
  <c r="M548" i="2"/>
  <c r="L548" i="2" s="1"/>
  <c r="G548" i="2"/>
  <c r="F548" i="2" s="1"/>
  <c r="J548" i="2"/>
  <c r="I548" i="2" s="1"/>
  <c r="J549" i="2"/>
  <c r="I549" i="2" s="1"/>
  <c r="G549" i="2"/>
  <c r="F549" i="2" s="1"/>
  <c r="M549" i="2"/>
  <c r="L549" i="2" s="1"/>
  <c r="G552" i="2"/>
  <c r="F552" i="2" s="1"/>
  <c r="M552" i="2"/>
  <c r="L552" i="2" s="1"/>
  <c r="J552" i="2"/>
  <c r="I552" i="2" s="1"/>
  <c r="G556" i="2"/>
  <c r="F556" i="2" s="1"/>
  <c r="J556" i="2"/>
  <c r="I556" i="2" s="1"/>
  <c r="M556" i="2"/>
  <c r="L556" i="2" s="1"/>
  <c r="J557" i="2"/>
  <c r="I557" i="2" s="1"/>
  <c r="M557" i="2"/>
  <c r="L557" i="2" s="1"/>
  <c r="G557" i="2"/>
  <c r="F557" i="2" s="1"/>
  <c r="J558" i="2"/>
  <c r="I558" i="2" s="1"/>
  <c r="M558" i="2"/>
  <c r="L558" i="2" s="1"/>
  <c r="G558" i="2"/>
  <c r="F558" i="2" s="1"/>
  <c r="Q71" i="2"/>
  <c r="O71" i="2"/>
  <c r="M732" i="2"/>
  <c r="L732" i="2" s="1"/>
  <c r="J732" i="2"/>
  <c r="I732" i="2" s="1"/>
  <c r="G732" i="2"/>
  <c r="F732" i="2" s="1"/>
  <c r="J737" i="2"/>
  <c r="I737" i="2" s="1"/>
  <c r="M737" i="2"/>
  <c r="L737" i="2" s="1"/>
  <c r="G737" i="2"/>
  <c r="F737" i="2" s="1"/>
  <c r="M740" i="2"/>
  <c r="L740" i="2" s="1"/>
  <c r="J740" i="2"/>
  <c r="I740" i="2" s="1"/>
  <c r="G740" i="2"/>
  <c r="F740" i="2" s="1"/>
  <c r="Q710" i="2"/>
  <c r="O710" i="2"/>
  <c r="Q349" i="2"/>
  <c r="O349" i="2"/>
  <c r="O612" i="2"/>
  <c r="Q612" i="2"/>
  <c r="Q614" i="2"/>
  <c r="O614" i="2"/>
  <c r="Q615" i="2"/>
  <c r="O615" i="2"/>
  <c r="Q622" i="2"/>
  <c r="O622" i="2"/>
  <c r="O624" i="2"/>
  <c r="Q624" i="2"/>
  <c r="O625" i="2"/>
  <c r="Q625" i="2"/>
  <c r="Q626" i="2"/>
  <c r="O626" i="2"/>
  <c r="Q620" i="2"/>
  <c r="O620" i="2"/>
  <c r="Q627" i="2"/>
  <c r="O627" i="2"/>
  <c r="Q628" i="2"/>
  <c r="O628" i="2"/>
  <c r="O629" i="2"/>
  <c r="Q629" i="2"/>
  <c r="Q631" i="2"/>
  <c r="O631" i="2"/>
  <c r="Q30" i="2"/>
  <c r="O30" i="2"/>
  <c r="Q40" i="2"/>
  <c r="O40" i="2"/>
  <c r="Q48" i="2"/>
  <c r="O48" i="2"/>
  <c r="Q58" i="2"/>
  <c r="O58" i="2"/>
  <c r="Q73" i="2"/>
  <c r="O73" i="2"/>
  <c r="Q84" i="2"/>
  <c r="O84" i="2"/>
  <c r="Q86" i="2"/>
  <c r="O86" i="2"/>
  <c r="Q89" i="2"/>
  <c r="O89" i="2"/>
  <c r="Q90" i="2"/>
  <c r="O90" i="2"/>
  <c r="Q92" i="2"/>
  <c r="O92" i="2"/>
  <c r="Q95" i="2"/>
  <c r="O95" i="2"/>
  <c r="Q105" i="2"/>
  <c r="O105" i="2"/>
  <c r="O233" i="2"/>
  <c r="Q233" i="2"/>
  <c r="O234" i="2"/>
  <c r="Q234" i="2"/>
  <c r="O235" i="2"/>
  <c r="Q235" i="2"/>
  <c r="O237" i="2"/>
  <c r="Q237" i="2"/>
  <c r="O238" i="2"/>
  <c r="Q238" i="2"/>
  <c r="Q239" i="2"/>
  <c r="O239" i="2"/>
  <c r="O267" i="2"/>
  <c r="Q267" i="2"/>
  <c r="Q268" i="2"/>
  <c r="O268" i="2"/>
  <c r="Q269" i="2"/>
  <c r="O269" i="2"/>
  <c r="O270" i="2"/>
  <c r="Q270" i="2"/>
  <c r="Q271" i="2"/>
  <c r="O271" i="2"/>
  <c r="O272" i="2"/>
  <c r="Q272" i="2"/>
  <c r="Q276" i="2"/>
  <c r="O276" i="2"/>
  <c r="Q279" i="2"/>
  <c r="O279" i="2"/>
  <c r="O283" i="2"/>
  <c r="Q283" i="2"/>
  <c r="Q285" i="2"/>
  <c r="O285" i="2"/>
  <c r="O660" i="2"/>
  <c r="Q660" i="2"/>
  <c r="Q298" i="2"/>
  <c r="O298" i="2"/>
  <c r="Q301" i="2"/>
  <c r="O301" i="2"/>
  <c r="O302" i="2"/>
  <c r="Q302" i="2"/>
  <c r="O314" i="2"/>
  <c r="Q314" i="2"/>
  <c r="Q661" i="2"/>
  <c r="O661" i="2"/>
  <c r="O374" i="2"/>
  <c r="Q374" i="2"/>
  <c r="Q405" i="2"/>
  <c r="O405" i="2"/>
  <c r="Q410" i="2"/>
  <c r="O410" i="2"/>
  <c r="Q411" i="2"/>
  <c r="O411" i="2"/>
  <c r="Q412" i="2"/>
  <c r="O412" i="2"/>
  <c r="Q415" i="2"/>
  <c r="O415" i="2"/>
  <c r="Q2" i="2"/>
  <c r="O2" i="2"/>
  <c r="O15" i="2"/>
  <c r="Q15" i="2"/>
  <c r="Q20" i="2"/>
  <c r="O20" i="2"/>
  <c r="O27" i="2"/>
  <c r="Q27" i="2"/>
  <c r="Q28" i="2"/>
  <c r="O28" i="2"/>
  <c r="Q41" i="2"/>
  <c r="O41" i="2"/>
  <c r="O56" i="2"/>
  <c r="Q56" i="2"/>
  <c r="O59" i="2"/>
  <c r="Q59" i="2"/>
  <c r="Q78" i="2"/>
  <c r="O78" i="2"/>
  <c r="O103" i="2"/>
  <c r="Q103" i="2"/>
  <c r="O104" i="2"/>
  <c r="Q104" i="2"/>
  <c r="O106" i="2"/>
  <c r="Q106" i="2"/>
  <c r="Q120" i="2"/>
  <c r="O120" i="2"/>
  <c r="O125" i="2"/>
  <c r="Q125" i="2"/>
  <c r="O131" i="2"/>
  <c r="Q131" i="2"/>
  <c r="Q132" i="2"/>
  <c r="O132" i="2"/>
  <c r="O137" i="2"/>
  <c r="Q137" i="2"/>
  <c r="Q153" i="2"/>
  <c r="O153" i="2"/>
  <c r="O164" i="2"/>
  <c r="Q164" i="2"/>
  <c r="Q166" i="2"/>
  <c r="O166" i="2"/>
  <c r="Q183" i="2"/>
  <c r="O183" i="2"/>
  <c r="Q242" i="2"/>
  <c r="O242" i="2"/>
  <c r="Q243" i="2"/>
  <c r="O243" i="2"/>
  <c r="O245" i="2"/>
  <c r="Q245" i="2"/>
  <c r="Q249" i="2"/>
  <c r="O249" i="2"/>
  <c r="Q257" i="2"/>
  <c r="O257" i="2"/>
  <c r="Q260" i="2"/>
  <c r="O260" i="2"/>
  <c r="O304" i="2"/>
  <c r="Q304" i="2"/>
  <c r="O306" i="2"/>
  <c r="Q306" i="2"/>
  <c r="Q309" i="2"/>
  <c r="O309" i="2"/>
  <c r="O311" i="2"/>
  <c r="Q311" i="2"/>
  <c r="O312" i="2"/>
  <c r="Q312" i="2"/>
  <c r="Q316" i="2"/>
  <c r="O316" i="2"/>
  <c r="O317" i="2"/>
  <c r="Q317" i="2"/>
  <c r="O318" i="2"/>
  <c r="Q318" i="2"/>
  <c r="O319" i="2"/>
  <c r="Q319" i="2"/>
  <c r="O320" i="2"/>
  <c r="Q320" i="2"/>
  <c r="O322" i="2"/>
  <c r="Q322" i="2"/>
  <c r="O325" i="2"/>
  <c r="Q325" i="2"/>
  <c r="O329" i="2"/>
  <c r="Q329" i="2"/>
  <c r="O330" i="2"/>
  <c r="Q330" i="2"/>
  <c r="Q331" i="2"/>
  <c r="O331" i="2"/>
  <c r="O332" i="2"/>
  <c r="Q332" i="2"/>
  <c r="O333" i="2"/>
  <c r="Q333" i="2"/>
  <c r="O334" i="2"/>
  <c r="Q334" i="2"/>
  <c r="O336" i="2"/>
  <c r="Q336" i="2"/>
  <c r="O337" i="2"/>
  <c r="Q337" i="2"/>
  <c r="O338" i="2"/>
  <c r="Q338" i="2"/>
  <c r="O351" i="2"/>
  <c r="Q351" i="2"/>
  <c r="O560" i="2"/>
  <c r="Q560" i="2"/>
  <c r="O561" i="2"/>
  <c r="Q561" i="2"/>
  <c r="Q562" i="2"/>
  <c r="O562" i="2"/>
  <c r="Q567" i="2"/>
  <c r="O567" i="2"/>
  <c r="Q569" i="2"/>
  <c r="O569" i="2"/>
  <c r="Q570" i="2"/>
  <c r="O570" i="2"/>
  <c r="O571" i="2"/>
  <c r="Q571" i="2"/>
  <c r="O572" i="2"/>
  <c r="Q572" i="2"/>
  <c r="O617" i="2"/>
  <c r="Q617" i="2"/>
  <c r="O224" i="2"/>
  <c r="Q224" i="2"/>
  <c r="Q230" i="2"/>
  <c r="O230" i="2"/>
  <c r="O231" i="2"/>
  <c r="Q231" i="2"/>
  <c r="O232" i="2"/>
  <c r="Q232" i="2"/>
  <c r="O236" i="2"/>
  <c r="Q236" i="2"/>
  <c r="Q240" i="2"/>
  <c r="O240" i="2"/>
  <c r="O244" i="2"/>
  <c r="Q244" i="2"/>
  <c r="Q247" i="2"/>
  <c r="O247" i="2"/>
  <c r="O248" i="2"/>
  <c r="Q248" i="2"/>
  <c r="O251" i="2"/>
  <c r="Q251" i="2"/>
  <c r="Q253" i="2"/>
  <c r="O253" i="2"/>
  <c r="O255" i="2"/>
  <c r="Q255" i="2"/>
  <c r="Q256" i="2"/>
  <c r="O256" i="2"/>
  <c r="Q262" i="2"/>
  <c r="O262" i="2"/>
  <c r="Q263" i="2"/>
  <c r="O263" i="2"/>
  <c r="O264" i="2"/>
  <c r="Q264" i="2"/>
  <c r="O265" i="2"/>
  <c r="Q265" i="2"/>
  <c r="Q266" i="2"/>
  <c r="O266" i="2"/>
  <c r="O274" i="2"/>
  <c r="Q274" i="2"/>
  <c r="O280" i="2"/>
  <c r="Q280" i="2"/>
  <c r="Q292" i="2"/>
  <c r="O292" i="2"/>
  <c r="Q646" i="2"/>
  <c r="O646" i="2"/>
  <c r="O655" i="2"/>
  <c r="Q655" i="2"/>
  <c r="O667" i="2"/>
  <c r="Q667" i="2"/>
  <c r="O673" i="2"/>
  <c r="Q673" i="2"/>
  <c r="O677" i="2"/>
  <c r="Q677" i="2"/>
  <c r="O685" i="2"/>
  <c r="Q685" i="2"/>
  <c r="Q695" i="2"/>
  <c r="O695" i="2"/>
  <c r="O299" i="2"/>
  <c r="Q299" i="2"/>
  <c r="O307" i="2"/>
  <c r="Q307" i="2"/>
  <c r="Q308" i="2"/>
  <c r="O308" i="2"/>
  <c r="O310" i="2"/>
  <c r="Q310" i="2"/>
  <c r="Q315" i="2"/>
  <c r="O315" i="2"/>
  <c r="Q321" i="2"/>
  <c r="O321" i="2"/>
  <c r="O327" i="2"/>
  <c r="Q327" i="2"/>
  <c r="O328" i="2"/>
  <c r="Q328" i="2"/>
  <c r="O339" i="2"/>
  <c r="Q339" i="2"/>
  <c r="Q340" i="2"/>
  <c r="O340" i="2"/>
  <c r="Q341" i="2"/>
  <c r="O341" i="2"/>
  <c r="O342" i="2"/>
  <c r="Q342" i="2"/>
  <c r="O344" i="2"/>
  <c r="Q344" i="2"/>
  <c r="O346" i="2"/>
  <c r="Q346" i="2"/>
  <c r="Q357" i="2"/>
  <c r="O357" i="2"/>
  <c r="Q654" i="2"/>
  <c r="O654" i="2"/>
  <c r="O664" i="2"/>
  <c r="Q664" i="2"/>
  <c r="Q669" i="2"/>
  <c r="O669" i="2"/>
  <c r="O679" i="2"/>
  <c r="Q679" i="2"/>
  <c r="O686" i="2"/>
  <c r="Q686" i="2"/>
  <c r="Q692" i="2"/>
  <c r="O692" i="2"/>
  <c r="O378" i="2"/>
  <c r="Q378" i="2"/>
  <c r="O380" i="2"/>
  <c r="Q380" i="2"/>
  <c r="O382" i="2"/>
  <c r="Q382" i="2"/>
  <c r="Q392" i="2"/>
  <c r="O392" i="2"/>
  <c r="Q393" i="2"/>
  <c r="O393" i="2"/>
  <c r="Q396" i="2"/>
  <c r="O396" i="2"/>
  <c r="Q397" i="2"/>
  <c r="O397" i="2"/>
  <c r="Q402" i="2"/>
  <c r="O402" i="2"/>
  <c r="Q427" i="2"/>
  <c r="O427" i="2"/>
  <c r="Q428" i="2"/>
  <c r="O428" i="2"/>
  <c r="O435" i="2"/>
  <c r="Q435" i="2"/>
  <c r="O436" i="2"/>
  <c r="Q436" i="2"/>
  <c r="O439" i="2"/>
  <c r="Q439" i="2"/>
  <c r="O440" i="2"/>
  <c r="Q440" i="2"/>
  <c r="Q441" i="2"/>
  <c r="O441" i="2"/>
  <c r="O445" i="2"/>
  <c r="Q445" i="2"/>
  <c r="Q453" i="2"/>
  <c r="O453" i="2"/>
  <c r="O456" i="2"/>
  <c r="Q456" i="2"/>
  <c r="O653" i="2"/>
  <c r="Q653" i="2"/>
  <c r="O662" i="2"/>
  <c r="Q662" i="2"/>
  <c r="O670" i="2"/>
  <c r="Q670" i="2"/>
  <c r="Q674" i="2"/>
  <c r="O674" i="2"/>
  <c r="O458" i="2"/>
  <c r="Q458" i="2"/>
  <c r="Q459" i="2"/>
  <c r="O459" i="2"/>
  <c r="Q460" i="2"/>
  <c r="O460" i="2"/>
  <c r="Q465" i="2"/>
  <c r="O465" i="2"/>
  <c r="Q466" i="2"/>
  <c r="O466" i="2"/>
  <c r="Q468" i="2"/>
  <c r="O468" i="2"/>
  <c r="O469" i="2"/>
  <c r="Q469" i="2"/>
  <c r="O470" i="2"/>
  <c r="Q470" i="2"/>
  <c r="O471" i="2"/>
  <c r="Q471" i="2"/>
  <c r="Q575" i="2"/>
  <c r="O575" i="2"/>
  <c r="O576" i="2"/>
  <c r="Q576" i="2"/>
  <c r="Q577" i="2"/>
  <c r="O577" i="2"/>
  <c r="O580" i="2"/>
  <c r="Q580" i="2"/>
  <c r="O581" i="2"/>
  <c r="Q581" i="2"/>
  <c r="Q582" i="2"/>
  <c r="O582" i="2"/>
  <c r="O585" i="2"/>
  <c r="Q585" i="2"/>
  <c r="Q586" i="2"/>
  <c r="O586" i="2"/>
  <c r="O588" i="2"/>
  <c r="Q588" i="2"/>
  <c r="Q589" i="2"/>
  <c r="O589" i="2"/>
  <c r="Q591" i="2"/>
  <c r="O591" i="2"/>
  <c r="Q592" i="2"/>
  <c r="O592" i="2"/>
  <c r="O598" i="2"/>
  <c r="Q598" i="2"/>
  <c r="Q599" i="2"/>
  <c r="O599" i="2"/>
  <c r="O605" i="2"/>
  <c r="Q605" i="2"/>
  <c r="O608" i="2"/>
  <c r="Q608" i="2"/>
  <c r="O609" i="2"/>
  <c r="Q609" i="2"/>
  <c r="O610" i="2"/>
  <c r="Q610" i="2"/>
  <c r="O611" i="2"/>
  <c r="Q611" i="2"/>
  <c r="O633" i="2"/>
  <c r="Q633" i="2"/>
  <c r="O636" i="2"/>
  <c r="Q636" i="2"/>
  <c r="O648" i="2"/>
  <c r="Q648" i="2"/>
  <c r="O663" i="2"/>
  <c r="Q663" i="2"/>
  <c r="O672" i="2"/>
  <c r="Q672" i="2"/>
  <c r="Q676" i="2"/>
  <c r="O676" i="2"/>
  <c r="Q3" i="2"/>
  <c r="O3" i="2"/>
  <c r="Q96" i="2"/>
  <c r="O96" i="2"/>
  <c r="Q100" i="2"/>
  <c r="O100" i="2"/>
  <c r="Q110" i="2"/>
  <c r="O110" i="2"/>
  <c r="Q136" i="2"/>
  <c r="O136" i="2"/>
  <c r="Q143" i="2"/>
  <c r="O143" i="2"/>
  <c r="Q162" i="2"/>
  <c r="O162" i="2"/>
  <c r="Q163" i="2"/>
  <c r="O163" i="2"/>
  <c r="Q177" i="2"/>
  <c r="O177" i="2"/>
  <c r="Q178" i="2"/>
  <c r="O178" i="2"/>
  <c r="Q191" i="2"/>
  <c r="O191" i="2"/>
  <c r="Q196" i="2"/>
  <c r="O196" i="2"/>
  <c r="Q199" i="2"/>
  <c r="O199" i="2"/>
  <c r="Q201" i="2"/>
  <c r="O201" i="2"/>
  <c r="Q204" i="2"/>
  <c r="O204" i="2"/>
  <c r="Q291" i="2"/>
  <c r="O291" i="2"/>
  <c r="Q370" i="2"/>
  <c r="O370" i="2"/>
  <c r="Q373" i="2"/>
  <c r="O373" i="2"/>
  <c r="Q647" i="2"/>
  <c r="O647" i="2"/>
  <c r="Q657" i="2"/>
  <c r="O657" i="2"/>
  <c r="O666" i="2"/>
  <c r="Q666" i="2"/>
  <c r="O671" i="2"/>
  <c r="Q671" i="2"/>
  <c r="Q675" i="2"/>
  <c r="O675" i="2"/>
  <c r="Q680" i="2"/>
  <c r="O680" i="2"/>
  <c r="O688" i="2"/>
  <c r="Q688" i="2"/>
  <c r="O694" i="2"/>
  <c r="Q694" i="2"/>
  <c r="O213" i="2"/>
  <c r="Q213" i="2"/>
  <c r="Q220" i="2"/>
  <c r="O220" i="2"/>
  <c r="Q222" i="2"/>
  <c r="O222" i="2"/>
  <c r="O223" i="2"/>
  <c r="Q223" i="2"/>
  <c r="Q345" i="2"/>
  <c r="O345" i="2"/>
  <c r="Q372" i="2"/>
  <c r="O372" i="2"/>
  <c r="O643" i="2"/>
  <c r="Q643" i="2"/>
  <c r="O649" i="2"/>
  <c r="Q649" i="2"/>
  <c r="O391" i="2"/>
  <c r="Q391" i="2"/>
  <c r="Q423" i="2"/>
  <c r="O423" i="2"/>
  <c r="Q424" i="2"/>
  <c r="O424" i="2"/>
  <c r="Q425" i="2"/>
  <c r="O425" i="2"/>
  <c r="Q444" i="2"/>
  <c r="O444" i="2"/>
  <c r="Q446" i="2"/>
  <c r="O446" i="2"/>
  <c r="Q447" i="2"/>
  <c r="O447" i="2"/>
  <c r="Q448" i="2"/>
  <c r="O448" i="2"/>
  <c r="Q451" i="2"/>
  <c r="O451" i="2"/>
  <c r="Q452" i="2"/>
  <c r="O452" i="2"/>
  <c r="Q455" i="2"/>
  <c r="O455" i="2"/>
  <c r="Q645" i="2"/>
  <c r="O645" i="2"/>
  <c r="O678" i="2"/>
  <c r="Q678" i="2"/>
  <c r="O684" i="2"/>
  <c r="Q684" i="2"/>
  <c r="O690" i="2"/>
  <c r="Q690" i="2"/>
  <c r="Q696" i="2"/>
  <c r="O696" i="2"/>
  <c r="O462" i="2"/>
  <c r="Q462" i="2"/>
  <c r="Q565" i="2"/>
  <c r="O565" i="2"/>
  <c r="O566" i="2"/>
  <c r="Q566" i="2"/>
  <c r="O578" i="2"/>
  <c r="Q578" i="2"/>
  <c r="Q579" i="2"/>
  <c r="O579" i="2"/>
  <c r="O584" i="2"/>
  <c r="Q584" i="2"/>
  <c r="O593" i="2"/>
  <c r="Q593" i="2"/>
  <c r="O600" i="2"/>
  <c r="Q600" i="2"/>
  <c r="O602" i="2"/>
  <c r="Q602" i="2"/>
  <c r="Q606" i="2"/>
  <c r="O606" i="2"/>
  <c r="O634" i="2"/>
  <c r="Q634" i="2"/>
  <c r="O635" i="2"/>
  <c r="Q635" i="2"/>
  <c r="Q637" i="2"/>
  <c r="O637" i="2"/>
  <c r="Q639" i="2"/>
  <c r="O639" i="2"/>
  <c r="O640" i="2"/>
  <c r="Q640" i="2"/>
  <c r="O641" i="2"/>
  <c r="Q641" i="2"/>
  <c r="Q644" i="2"/>
  <c r="O644" i="2"/>
  <c r="O650" i="2"/>
  <c r="Q650" i="2"/>
  <c r="O656" i="2"/>
  <c r="Q656" i="2"/>
  <c r="O668" i="2"/>
  <c r="Q668" i="2"/>
  <c r="Q681" i="2"/>
  <c r="O681" i="2"/>
  <c r="Q689" i="2"/>
  <c r="O689" i="2"/>
  <c r="Q693" i="2"/>
  <c r="O693" i="2"/>
  <c r="O518" i="2"/>
  <c r="Q518" i="2"/>
  <c r="O493" i="2"/>
  <c r="Q493" i="2"/>
  <c r="O691" i="2"/>
  <c r="Q691" i="2"/>
  <c r="Q687" i="2"/>
  <c r="O687" i="2"/>
  <c r="O683" i="2"/>
  <c r="Q683" i="2"/>
  <c r="O408" i="2"/>
  <c r="Q408" i="2"/>
  <c r="Q205" i="2"/>
  <c r="O205" i="2"/>
  <c r="Q209" i="2"/>
  <c r="O209" i="2"/>
  <c r="O250" i="2"/>
  <c r="Q250" i="2"/>
  <c r="O259" i="2"/>
  <c r="Q259" i="2"/>
  <c r="O261" i="2"/>
  <c r="Q261" i="2"/>
  <c r="O297" i="2"/>
  <c r="Q297" i="2"/>
  <c r="Q682" i="2"/>
  <c r="O682" i="2"/>
  <c r="O517" i="2"/>
  <c r="Q517" i="2"/>
  <c r="Q167" i="2"/>
  <c r="O167" i="2"/>
  <c r="Q175" i="2"/>
  <c r="O175" i="2"/>
  <c r="Q188" i="2"/>
  <c r="O188" i="2"/>
  <c r="Q203" i="2"/>
  <c r="O203" i="2"/>
  <c r="O574" i="2"/>
  <c r="Q574" i="2"/>
  <c r="Q474" i="2"/>
  <c r="O474" i="2"/>
  <c r="Q616" i="2"/>
  <c r="O616" i="2"/>
  <c r="O116" i="2"/>
  <c r="Q116" i="2"/>
  <c r="Q51" i="2"/>
  <c r="O51" i="2"/>
  <c r="Q52" i="2"/>
  <c r="O52" i="2"/>
  <c r="Q83" i="2"/>
  <c r="O83" i="2"/>
  <c r="Q659" i="2"/>
  <c r="O659" i="2"/>
  <c r="Q241" i="2"/>
  <c r="O241" i="2"/>
  <c r="O296" i="2"/>
  <c r="Q296" i="2"/>
  <c r="O511" i="2"/>
  <c r="Q511" i="2"/>
  <c r="O497" i="2"/>
  <c r="Q497" i="2"/>
  <c r="Q429" i="2"/>
  <c r="O429" i="2"/>
  <c r="O502" i="2"/>
  <c r="Q502" i="2"/>
  <c r="O480" i="2"/>
  <c r="Q480" i="2"/>
  <c r="O491" i="2"/>
  <c r="Q491" i="2"/>
  <c r="Q524" i="2"/>
  <c r="O524" i="2"/>
  <c r="O496" i="2"/>
  <c r="Q496" i="2"/>
  <c r="O500" i="2"/>
  <c r="Q500" i="2"/>
  <c r="O514" i="2"/>
  <c r="Q514" i="2"/>
  <c r="O515" i="2"/>
  <c r="Q515" i="2"/>
  <c r="Q395" i="2"/>
  <c r="O395" i="2"/>
  <c r="Q403" i="2"/>
  <c r="O403" i="2"/>
  <c r="Q76" i="2"/>
  <c r="O76" i="2"/>
  <c r="O741" i="2"/>
  <c r="Q741" i="2"/>
  <c r="O79" i="2"/>
  <c r="Q79" i="2"/>
  <c r="O499" i="2"/>
  <c r="Q499" i="2"/>
  <c r="Q278" i="2"/>
  <c r="O278" i="2"/>
  <c r="Q282" i="2"/>
  <c r="O282" i="2"/>
  <c r="Q619" i="2"/>
  <c r="O619" i="2"/>
  <c r="Q623" i="2"/>
  <c r="O623" i="2"/>
  <c r="Q618" i="2"/>
  <c r="O618" i="2"/>
  <c r="O630" i="2"/>
  <c r="Q630" i="2"/>
  <c r="Q638" i="2"/>
  <c r="O638" i="2"/>
  <c r="Q632" i="2"/>
  <c r="O632" i="2"/>
  <c r="Q699" i="2"/>
  <c r="O699" i="2"/>
  <c r="Q704" i="2"/>
  <c r="O704" i="2"/>
  <c r="Q706" i="2"/>
  <c r="O706" i="2"/>
  <c r="Q711" i="2"/>
  <c r="O711" i="2"/>
  <c r="Q61" i="2"/>
  <c r="O61" i="2"/>
  <c r="Q64" i="2"/>
  <c r="O64" i="2"/>
  <c r="Q528" i="2"/>
  <c r="O528" i="2"/>
  <c r="O495" i="2"/>
  <c r="Q495" i="2"/>
  <c r="O507" i="2"/>
  <c r="Q507" i="2"/>
  <c r="Q290" i="2"/>
  <c r="O290" i="2"/>
  <c r="O300" i="2"/>
  <c r="Q300" i="2"/>
  <c r="O324" i="2"/>
  <c r="Q324" i="2"/>
  <c r="Q323" i="2"/>
  <c r="O323" i="2"/>
  <c r="O305" i="2"/>
  <c r="Q305" i="2"/>
  <c r="O303" i="2"/>
  <c r="Q303" i="2"/>
  <c r="Q665" i="2"/>
  <c r="O665" i="2"/>
  <c r="Q651" i="2"/>
  <c r="O651" i="2"/>
  <c r="O652" i="2"/>
  <c r="Q652" i="2"/>
  <c r="Q739" i="2"/>
  <c r="O739" i="2"/>
  <c r="O277" i="2"/>
  <c r="Q277" i="2"/>
  <c r="Q44" i="2"/>
  <c r="O44" i="2"/>
  <c r="Q368" i="2"/>
  <c r="O368" i="2"/>
  <c r="Q123" i="2"/>
  <c r="O123" i="2"/>
  <c r="Q142" i="2"/>
  <c r="O142" i="2"/>
  <c r="Q358" i="2"/>
  <c r="O358" i="2"/>
  <c r="Q621" i="2"/>
  <c r="O621" i="2"/>
  <c r="Q642" i="2"/>
  <c r="O642" i="2"/>
  <c r="Q63" i="2"/>
  <c r="O63" i="2"/>
  <c r="Q181" i="2"/>
  <c r="O181" i="2"/>
  <c r="Q202" i="2"/>
  <c r="O202" i="2"/>
  <c r="Q221" i="2"/>
  <c r="O221" i="2"/>
  <c r="Q343" i="2"/>
  <c r="O343" i="2"/>
  <c r="Q347" i="2"/>
  <c r="O347" i="2"/>
  <c r="Q252" i="2"/>
  <c r="O252" i="2"/>
  <c r="Q273" i="2"/>
  <c r="O273" i="2"/>
  <c r="Q275" i="2"/>
  <c r="O275" i="2"/>
  <c r="Q281" i="2"/>
  <c r="O281" i="2"/>
  <c r="Q284" i="2"/>
  <c r="O284" i="2"/>
  <c r="Q286" i="2"/>
  <c r="O286" i="2"/>
  <c r="Q287" i="2"/>
  <c r="O287" i="2"/>
  <c r="Q288" i="2"/>
  <c r="O288" i="2"/>
  <c r="Q289" i="2"/>
  <c r="O289" i="2"/>
  <c r="Q293" i="2"/>
  <c r="O293" i="2"/>
  <c r="Q294" i="2"/>
  <c r="O294" i="2"/>
  <c r="Q295" i="2"/>
  <c r="O295" i="2"/>
  <c r="Q335" i="2"/>
  <c r="O335" i="2"/>
  <c r="Q390" i="2"/>
  <c r="O390" i="2"/>
  <c r="Q461" i="2"/>
  <c r="O461" i="2"/>
  <c r="Q463" i="2"/>
  <c r="O463" i="2"/>
  <c r="Q464" i="2"/>
  <c r="O464" i="2"/>
  <c r="Q467" i="2"/>
  <c r="O467" i="2"/>
  <c r="Q472" i="2"/>
  <c r="O472" i="2"/>
  <c r="Q473" i="2"/>
  <c r="O473" i="2"/>
  <c r="Q476" i="2"/>
  <c r="O476" i="2"/>
  <c r="Q477" i="2"/>
  <c r="O477" i="2"/>
  <c r="Q481" i="2"/>
  <c r="O481" i="2"/>
  <c r="Q483" i="2"/>
  <c r="O483" i="2"/>
  <c r="Q583" i="2"/>
  <c r="O583" i="2"/>
  <c r="Q587" i="2"/>
  <c r="O587" i="2"/>
  <c r="Q590" i="2"/>
  <c r="O590" i="2"/>
  <c r="Q594" i="2"/>
  <c r="O594" i="2"/>
  <c r="Q595" i="2"/>
  <c r="O595" i="2"/>
  <c r="Q596" i="2"/>
  <c r="O596" i="2"/>
  <c r="Q597" i="2"/>
  <c r="O597" i="2"/>
  <c r="Q601" i="2"/>
  <c r="O601" i="2"/>
  <c r="Q603" i="2"/>
  <c r="O603" i="2"/>
  <c r="Q604" i="2"/>
  <c r="O604" i="2"/>
  <c r="Q607" i="2"/>
  <c r="O607" i="2"/>
  <c r="O109" i="2"/>
  <c r="Q109" i="2"/>
  <c r="O119" i="2"/>
  <c r="Q119" i="2"/>
  <c r="Q246" i="2"/>
  <c r="O246" i="2"/>
  <c r="Q254" i="2"/>
  <c r="O254" i="2"/>
  <c r="Q258" i="2"/>
  <c r="O258" i="2"/>
  <c r="Q313" i="2"/>
  <c r="O313" i="2"/>
  <c r="O326" i="2"/>
  <c r="Q326" i="2"/>
  <c r="Q377" i="2"/>
  <c r="O377" i="2"/>
  <c r="Q509" i="2"/>
  <c r="O509" i="2"/>
  <c r="Q510" i="2"/>
  <c r="O510" i="2"/>
  <c r="Q513" i="2"/>
  <c r="O513" i="2"/>
  <c r="Q520" i="2"/>
  <c r="O520" i="2"/>
  <c r="Q521" i="2"/>
  <c r="O521" i="2"/>
  <c r="Q525" i="2"/>
  <c r="O525" i="2"/>
  <c r="Q545" i="2"/>
  <c r="O545" i="2"/>
  <c r="Q559" i="2"/>
  <c r="O559" i="2"/>
  <c r="Q563" i="2"/>
  <c r="O563" i="2"/>
  <c r="Q564" i="2"/>
  <c r="O564" i="2"/>
  <c r="Q568" i="2"/>
  <c r="O568" i="2"/>
  <c r="Q573" i="2"/>
  <c r="O573" i="2"/>
  <c r="O658" i="2"/>
  <c r="Q658" i="2"/>
  <c r="Q226" i="2"/>
  <c r="O226" i="2"/>
  <c r="Q34" i="2"/>
  <c r="O34" i="2"/>
  <c r="Q35" i="2"/>
  <c r="O35" i="2"/>
  <c r="Q207" i="2"/>
  <c r="O207" i="2"/>
  <c r="Q406" i="2"/>
  <c r="O406" i="2"/>
  <c r="Q454" i="2"/>
  <c r="O454" i="2"/>
  <c r="N746" i="2"/>
  <c r="P5" i="2"/>
  <c r="P6" i="2"/>
  <c r="P7" i="2"/>
  <c r="P10" i="2"/>
  <c r="P11" i="2"/>
  <c r="P13" i="2"/>
  <c r="P14" i="2"/>
  <c r="P17" i="2"/>
  <c r="P21" i="2"/>
  <c r="P22" i="2"/>
  <c r="P24" i="2"/>
  <c r="P26" i="2"/>
  <c r="P29" i="2"/>
  <c r="P31" i="2"/>
  <c r="P32" i="2"/>
  <c r="P33" i="2"/>
  <c r="P36" i="2"/>
  <c r="P38" i="2"/>
  <c r="P43" i="2"/>
  <c r="P45" i="2"/>
  <c r="P49" i="2"/>
  <c r="P50" i="2"/>
  <c r="P54" i="2"/>
  <c r="P60" i="2"/>
  <c r="P65" i="2"/>
  <c r="P66" i="2"/>
  <c r="P69" i="2"/>
  <c r="P70" i="2"/>
  <c r="P74" i="2"/>
  <c r="P75" i="2"/>
  <c r="P77" i="2"/>
  <c r="P81" i="2"/>
  <c r="P82" i="2"/>
  <c r="P85" i="2"/>
  <c r="P87" i="2"/>
  <c r="P88" i="2"/>
  <c r="P91" i="2"/>
  <c r="P93" i="2"/>
  <c r="P94" i="2"/>
  <c r="P97" i="2"/>
  <c r="P98" i="2"/>
  <c r="P101" i="2"/>
  <c r="P108" i="2"/>
  <c r="P111" i="2"/>
  <c r="P113" i="2"/>
  <c r="P114" i="2"/>
  <c r="P115" i="2"/>
  <c r="P117" i="2"/>
  <c r="P118" i="2"/>
  <c r="P121" i="2"/>
  <c r="P126" i="2"/>
  <c r="P127" i="2"/>
  <c r="P128" i="2"/>
  <c r="P129" i="2"/>
  <c r="P130" i="2"/>
  <c r="P134" i="2"/>
  <c r="P135" i="2"/>
  <c r="P138" i="2"/>
  <c r="P141" i="2"/>
  <c r="P144" i="2"/>
  <c r="P145" i="2"/>
  <c r="P146" i="2"/>
  <c r="P148" i="2"/>
  <c r="P149" i="2"/>
  <c r="P150" i="2"/>
  <c r="P151" i="2"/>
  <c r="P152" i="2"/>
  <c r="P154" i="2"/>
  <c r="P155" i="2"/>
  <c r="P159" i="2"/>
  <c r="P160" i="2"/>
  <c r="P161" i="2"/>
  <c r="P168" i="2"/>
  <c r="P169" i="2"/>
  <c r="P170" i="2"/>
  <c r="P172" i="2"/>
  <c r="P173" i="2"/>
  <c r="P174" i="2"/>
  <c r="P176" i="2"/>
  <c r="P180" i="2"/>
  <c r="P182" i="2"/>
  <c r="P184" i="2"/>
  <c r="P185" i="2"/>
  <c r="P186" i="2"/>
  <c r="P189" i="2"/>
  <c r="P190" i="2"/>
  <c r="P192" i="2"/>
  <c r="P195" i="2"/>
  <c r="P198" i="2"/>
  <c r="P200" i="2"/>
  <c r="P206" i="2"/>
  <c r="P208" i="2"/>
  <c r="P210" i="2"/>
  <c r="P211" i="2"/>
  <c r="P212" i="2"/>
  <c r="P214" i="2"/>
  <c r="P215" i="2"/>
  <c r="P216" i="2"/>
  <c r="P218" i="2"/>
  <c r="P219" i="2"/>
  <c r="P225" i="2"/>
  <c r="P227" i="2"/>
  <c r="P228" i="2"/>
  <c r="P229" i="2"/>
  <c r="P348" i="2"/>
  <c r="P350" i="2"/>
  <c r="P353" i="2"/>
  <c r="P354" i="2"/>
  <c r="P359" i="2"/>
  <c r="P360" i="2"/>
  <c r="P361" i="2"/>
  <c r="P362" i="2"/>
  <c r="P363" i="2"/>
  <c r="P365" i="2"/>
  <c r="P366" i="2"/>
  <c r="P375" i="2"/>
  <c r="P376" i="2"/>
  <c r="P379" i="2"/>
  <c r="P383" i="2"/>
  <c r="P384" i="2"/>
  <c r="P388" i="2"/>
  <c r="P389" i="2"/>
  <c r="P394" i="2"/>
  <c r="P398" i="2"/>
  <c r="P404" i="2"/>
  <c r="P407" i="2"/>
  <c r="P409" i="2"/>
  <c r="P413" i="2"/>
  <c r="P414" i="2"/>
  <c r="P416" i="2"/>
  <c r="P417" i="2"/>
  <c r="P420" i="2"/>
  <c r="P422" i="2"/>
  <c r="P426" i="2"/>
  <c r="P430" i="2"/>
  <c r="P431" i="2"/>
  <c r="P432" i="2"/>
  <c r="P438" i="2"/>
  <c r="P443" i="2"/>
  <c r="P449" i="2"/>
  <c r="P457" i="2"/>
  <c r="P716" i="2"/>
  <c r="P720" i="2"/>
  <c r="P721" i="2"/>
  <c r="P722" i="2"/>
  <c r="P725" i="2"/>
  <c r="P731" i="2"/>
  <c r="P735" i="2"/>
  <c r="P743" i="2"/>
  <c r="Q4" i="2"/>
  <c r="O4" i="2"/>
  <c r="Q8" i="2"/>
  <c r="O8" i="2"/>
  <c r="Q9" i="2"/>
  <c r="O9" i="2"/>
  <c r="Q12" i="2"/>
  <c r="O12" i="2"/>
  <c r="Q16" i="2"/>
  <c r="O16" i="2"/>
  <c r="Q18" i="2"/>
  <c r="O18" i="2"/>
  <c r="Q19" i="2"/>
  <c r="O19" i="2"/>
  <c r="Q23" i="2"/>
  <c r="O23" i="2"/>
  <c r="Q25" i="2"/>
  <c r="O25" i="2"/>
  <c r="Q37" i="2"/>
  <c r="O37" i="2"/>
  <c r="Q39" i="2"/>
  <c r="O39" i="2"/>
  <c r="Q42" i="2"/>
  <c r="O42" i="2"/>
  <c r="Q46" i="2"/>
  <c r="O46" i="2"/>
  <c r="Q47" i="2"/>
  <c r="O47" i="2"/>
  <c r="Q53" i="2"/>
  <c r="O53" i="2"/>
  <c r="Q55" i="2"/>
  <c r="O55" i="2"/>
  <c r="Q57" i="2"/>
  <c r="O57" i="2"/>
  <c r="Q62" i="2"/>
  <c r="O62" i="2"/>
  <c r="Q67" i="2"/>
  <c r="O67" i="2"/>
  <c r="Q68" i="2"/>
  <c r="O68" i="2"/>
  <c r="Q72" i="2"/>
  <c r="O72" i="2"/>
  <c r="Q80" i="2"/>
  <c r="O80" i="2"/>
  <c r="Q99" i="2"/>
  <c r="O99" i="2"/>
  <c r="Q102" i="2"/>
  <c r="O102" i="2"/>
  <c r="Q107" i="2"/>
  <c r="O107" i="2"/>
  <c r="Q112" i="2"/>
  <c r="O112" i="2"/>
  <c r="Q133" i="2"/>
  <c r="O133" i="2"/>
  <c r="Q139" i="2"/>
  <c r="O139" i="2"/>
  <c r="Q140" i="2"/>
  <c r="O140" i="2"/>
  <c r="Q147" i="2"/>
  <c r="O147" i="2"/>
  <c r="Q156" i="2"/>
  <c r="O156" i="2"/>
  <c r="Q157" i="2"/>
  <c r="O157" i="2"/>
  <c r="Q158" i="2"/>
  <c r="O158" i="2"/>
  <c r="Q165" i="2"/>
  <c r="O165" i="2"/>
  <c r="Q171" i="2"/>
  <c r="O171" i="2"/>
  <c r="Q179" i="2"/>
  <c r="O179" i="2"/>
  <c r="Q187" i="2"/>
  <c r="O187" i="2"/>
  <c r="Q193" i="2"/>
  <c r="O193" i="2"/>
  <c r="Q194" i="2"/>
  <c r="O194" i="2"/>
  <c r="Q197" i="2"/>
  <c r="O197" i="2"/>
  <c r="Q217" i="2"/>
  <c r="O217" i="2"/>
  <c r="Q355" i="2"/>
  <c r="O355" i="2"/>
  <c r="Q364" i="2"/>
  <c r="O364" i="2"/>
  <c r="Q381" i="2"/>
  <c r="O381" i="2"/>
  <c r="Q385" i="2"/>
  <c r="O385" i="2"/>
  <c r="Q386" i="2"/>
  <c r="O386" i="2"/>
  <c r="Q387" i="2"/>
  <c r="O387" i="2"/>
  <c r="Q399" i="2"/>
  <c r="O399" i="2"/>
  <c r="Q400" i="2"/>
  <c r="O400" i="2"/>
  <c r="Q401" i="2"/>
  <c r="O401" i="2"/>
  <c r="Q418" i="2"/>
  <c r="O418" i="2"/>
  <c r="Q433" i="2"/>
  <c r="O433" i="2"/>
  <c r="Q434" i="2"/>
  <c r="O434" i="2"/>
  <c r="Q437" i="2"/>
  <c r="O437" i="2"/>
  <c r="Q442" i="2"/>
  <c r="O442" i="2"/>
  <c r="Q450" i="2"/>
  <c r="O450" i="2"/>
  <c r="Q712" i="2"/>
  <c r="O712" i="2"/>
  <c r="Q713" i="2"/>
  <c r="O713" i="2"/>
  <c r="Q717" i="2"/>
  <c r="O717" i="2"/>
  <c r="Q728" i="2"/>
  <c r="O728" i="2"/>
  <c r="Q730" i="2"/>
  <c r="O730" i="2"/>
  <c r="Q738" i="2"/>
  <c r="O738" i="2"/>
  <c r="J71" i="2" l="1"/>
  <c r="I71" i="2" s="1"/>
  <c r="M71" i="2"/>
  <c r="L71" i="2" s="1"/>
  <c r="G71" i="2"/>
  <c r="F71" i="2" s="1"/>
  <c r="G710" i="2"/>
  <c r="F710" i="2" s="1"/>
  <c r="M710" i="2"/>
  <c r="L710" i="2" s="1"/>
  <c r="J710" i="2"/>
  <c r="I710" i="2" s="1"/>
  <c r="G349" i="2"/>
  <c r="F349" i="2" s="1"/>
  <c r="J349" i="2"/>
  <c r="I349" i="2" s="1"/>
  <c r="M349" i="2"/>
  <c r="L349" i="2" s="1"/>
  <c r="M612" i="2"/>
  <c r="L612" i="2" s="1"/>
  <c r="G612" i="2"/>
  <c r="F612" i="2" s="1"/>
  <c r="J612" i="2"/>
  <c r="I612" i="2" s="1"/>
  <c r="G614" i="2"/>
  <c r="F614" i="2" s="1"/>
  <c r="M614" i="2"/>
  <c r="L614" i="2" s="1"/>
  <c r="J614" i="2"/>
  <c r="I614" i="2" s="1"/>
  <c r="G615" i="2"/>
  <c r="F615" i="2" s="1"/>
  <c r="M615" i="2"/>
  <c r="L615" i="2" s="1"/>
  <c r="J615" i="2"/>
  <c r="I615" i="2" s="1"/>
  <c r="M622" i="2"/>
  <c r="L622" i="2" s="1"/>
  <c r="J622" i="2"/>
  <c r="I622" i="2" s="1"/>
  <c r="G622" i="2"/>
  <c r="F622" i="2" s="1"/>
  <c r="M624" i="2"/>
  <c r="L624" i="2" s="1"/>
  <c r="J624" i="2"/>
  <c r="I624" i="2" s="1"/>
  <c r="G624" i="2"/>
  <c r="F624" i="2" s="1"/>
  <c r="M625" i="2"/>
  <c r="L625" i="2" s="1"/>
  <c r="G625" i="2"/>
  <c r="F625" i="2" s="1"/>
  <c r="J625" i="2"/>
  <c r="I625" i="2" s="1"/>
  <c r="J626" i="2"/>
  <c r="I626" i="2" s="1"/>
  <c r="M626" i="2"/>
  <c r="L626" i="2" s="1"/>
  <c r="G626" i="2"/>
  <c r="F626" i="2" s="1"/>
  <c r="J620" i="2"/>
  <c r="I620" i="2" s="1"/>
  <c r="G620" i="2"/>
  <c r="F620" i="2" s="1"/>
  <c r="M620" i="2"/>
  <c r="L620" i="2" s="1"/>
  <c r="G627" i="2"/>
  <c r="F627" i="2" s="1"/>
  <c r="M627" i="2"/>
  <c r="L627" i="2" s="1"/>
  <c r="J627" i="2"/>
  <c r="I627" i="2" s="1"/>
  <c r="J628" i="2"/>
  <c r="I628" i="2" s="1"/>
  <c r="G628" i="2"/>
  <c r="F628" i="2" s="1"/>
  <c r="M628" i="2"/>
  <c r="L628" i="2" s="1"/>
  <c r="M629" i="2"/>
  <c r="L629" i="2" s="1"/>
  <c r="J629" i="2"/>
  <c r="I629" i="2" s="1"/>
  <c r="G629" i="2"/>
  <c r="F629" i="2" s="1"/>
  <c r="M631" i="2"/>
  <c r="L631" i="2" s="1"/>
  <c r="J631" i="2"/>
  <c r="I631" i="2" s="1"/>
  <c r="G631" i="2"/>
  <c r="F631" i="2" s="1"/>
  <c r="M30" i="2"/>
  <c r="L30" i="2" s="1"/>
  <c r="G30" i="2"/>
  <c r="F30" i="2" s="1"/>
  <c r="J30" i="2"/>
  <c r="I30" i="2" s="1"/>
  <c r="J40" i="2"/>
  <c r="I40" i="2" s="1"/>
  <c r="M40" i="2"/>
  <c r="L40" i="2" s="1"/>
  <c r="G40" i="2"/>
  <c r="F40" i="2" s="1"/>
  <c r="G48" i="2"/>
  <c r="F48" i="2" s="1"/>
  <c r="M48" i="2"/>
  <c r="L48" i="2" s="1"/>
  <c r="J48" i="2"/>
  <c r="I48" i="2" s="1"/>
  <c r="G58" i="2"/>
  <c r="F58" i="2" s="1"/>
  <c r="J58" i="2"/>
  <c r="I58" i="2" s="1"/>
  <c r="M58" i="2"/>
  <c r="L58" i="2" s="1"/>
  <c r="M73" i="2"/>
  <c r="L73" i="2" s="1"/>
  <c r="J73" i="2"/>
  <c r="I73" i="2" s="1"/>
  <c r="G73" i="2"/>
  <c r="F73" i="2" s="1"/>
  <c r="J84" i="2"/>
  <c r="I84" i="2" s="1"/>
  <c r="M84" i="2"/>
  <c r="L84" i="2" s="1"/>
  <c r="G84" i="2"/>
  <c r="F84" i="2" s="1"/>
  <c r="M86" i="2"/>
  <c r="L86" i="2" s="1"/>
  <c r="G86" i="2"/>
  <c r="F86" i="2" s="1"/>
  <c r="J86" i="2"/>
  <c r="I86" i="2" s="1"/>
  <c r="M89" i="2"/>
  <c r="L89" i="2" s="1"/>
  <c r="G89" i="2"/>
  <c r="F89" i="2" s="1"/>
  <c r="J89" i="2"/>
  <c r="I89" i="2" s="1"/>
  <c r="M90" i="2"/>
  <c r="L90" i="2" s="1"/>
  <c r="G90" i="2"/>
  <c r="F90" i="2" s="1"/>
  <c r="J90" i="2"/>
  <c r="I90" i="2" s="1"/>
  <c r="G92" i="2"/>
  <c r="F92" i="2" s="1"/>
  <c r="M92" i="2"/>
  <c r="L92" i="2" s="1"/>
  <c r="J92" i="2"/>
  <c r="I92" i="2" s="1"/>
  <c r="M95" i="2"/>
  <c r="L95" i="2" s="1"/>
  <c r="G95" i="2"/>
  <c r="F95" i="2" s="1"/>
  <c r="J95" i="2"/>
  <c r="I95" i="2" s="1"/>
  <c r="M105" i="2"/>
  <c r="L105" i="2" s="1"/>
  <c r="G105" i="2"/>
  <c r="F105" i="2" s="1"/>
  <c r="J105" i="2"/>
  <c r="I105" i="2" s="1"/>
  <c r="M233" i="2"/>
  <c r="L233" i="2" s="1"/>
  <c r="J233" i="2"/>
  <c r="I233" i="2" s="1"/>
  <c r="G233" i="2"/>
  <c r="F233" i="2" s="1"/>
  <c r="G234" i="2"/>
  <c r="F234" i="2" s="1"/>
  <c r="M234" i="2"/>
  <c r="L234" i="2" s="1"/>
  <c r="J234" i="2"/>
  <c r="I234" i="2" s="1"/>
  <c r="G235" i="2"/>
  <c r="F235" i="2" s="1"/>
  <c r="M235" i="2"/>
  <c r="L235" i="2" s="1"/>
  <c r="J235" i="2"/>
  <c r="I235" i="2" s="1"/>
  <c r="G237" i="2"/>
  <c r="F237" i="2" s="1"/>
  <c r="M237" i="2"/>
  <c r="L237" i="2" s="1"/>
  <c r="J237" i="2"/>
  <c r="I237" i="2" s="1"/>
  <c r="M238" i="2"/>
  <c r="L238" i="2" s="1"/>
  <c r="G238" i="2"/>
  <c r="F238" i="2" s="1"/>
  <c r="J238" i="2"/>
  <c r="I238" i="2" s="1"/>
  <c r="G239" i="2"/>
  <c r="F239" i="2" s="1"/>
  <c r="M239" i="2"/>
  <c r="L239" i="2" s="1"/>
  <c r="J239" i="2"/>
  <c r="I239" i="2" s="1"/>
  <c r="J267" i="2"/>
  <c r="I267" i="2" s="1"/>
  <c r="G267" i="2"/>
  <c r="F267" i="2" s="1"/>
  <c r="M267" i="2"/>
  <c r="L267" i="2" s="1"/>
  <c r="G268" i="2"/>
  <c r="F268" i="2" s="1"/>
  <c r="M268" i="2"/>
  <c r="L268" i="2" s="1"/>
  <c r="J268" i="2"/>
  <c r="I268" i="2" s="1"/>
  <c r="G269" i="2"/>
  <c r="F269" i="2" s="1"/>
  <c r="M269" i="2"/>
  <c r="L269" i="2" s="1"/>
  <c r="J269" i="2"/>
  <c r="I269" i="2" s="1"/>
  <c r="M270" i="2"/>
  <c r="L270" i="2" s="1"/>
  <c r="J270" i="2"/>
  <c r="I270" i="2" s="1"/>
  <c r="G270" i="2"/>
  <c r="F270" i="2" s="1"/>
  <c r="J271" i="2"/>
  <c r="I271" i="2" s="1"/>
  <c r="M271" i="2"/>
  <c r="L271" i="2" s="1"/>
  <c r="G271" i="2"/>
  <c r="F271" i="2" s="1"/>
  <c r="J272" i="2"/>
  <c r="I272" i="2" s="1"/>
  <c r="G272" i="2"/>
  <c r="F272" i="2" s="1"/>
  <c r="M272" i="2"/>
  <c r="L272" i="2" s="1"/>
  <c r="J276" i="2"/>
  <c r="I276" i="2" s="1"/>
  <c r="M276" i="2"/>
  <c r="L276" i="2" s="1"/>
  <c r="G276" i="2"/>
  <c r="F276" i="2" s="1"/>
  <c r="M279" i="2"/>
  <c r="L279" i="2" s="1"/>
  <c r="J279" i="2"/>
  <c r="I279" i="2" s="1"/>
  <c r="G279" i="2"/>
  <c r="F279" i="2" s="1"/>
  <c r="G283" i="2"/>
  <c r="F283" i="2" s="1"/>
  <c r="M283" i="2"/>
  <c r="L283" i="2" s="1"/>
  <c r="J283" i="2"/>
  <c r="I283" i="2" s="1"/>
  <c r="M285" i="2"/>
  <c r="L285" i="2" s="1"/>
  <c r="J285" i="2"/>
  <c r="I285" i="2" s="1"/>
  <c r="G285" i="2"/>
  <c r="F285" i="2" s="1"/>
  <c r="G660" i="2"/>
  <c r="F660" i="2" s="1"/>
  <c r="J660" i="2"/>
  <c r="I660" i="2" s="1"/>
  <c r="M660" i="2"/>
  <c r="L660" i="2" s="1"/>
  <c r="J298" i="2"/>
  <c r="I298" i="2" s="1"/>
  <c r="M298" i="2"/>
  <c r="L298" i="2" s="1"/>
  <c r="G298" i="2"/>
  <c r="F298" i="2" s="1"/>
  <c r="J301" i="2"/>
  <c r="I301" i="2" s="1"/>
  <c r="M301" i="2"/>
  <c r="L301" i="2" s="1"/>
  <c r="G301" i="2"/>
  <c r="F301" i="2" s="1"/>
  <c r="J302" i="2"/>
  <c r="I302" i="2" s="1"/>
  <c r="M302" i="2"/>
  <c r="L302" i="2" s="1"/>
  <c r="G302" i="2"/>
  <c r="F302" i="2" s="1"/>
  <c r="M314" i="2"/>
  <c r="L314" i="2" s="1"/>
  <c r="G314" i="2"/>
  <c r="F314" i="2" s="1"/>
  <c r="J314" i="2"/>
  <c r="I314" i="2" s="1"/>
  <c r="J661" i="2"/>
  <c r="I661" i="2" s="1"/>
  <c r="M661" i="2"/>
  <c r="L661" i="2" s="1"/>
  <c r="G661" i="2"/>
  <c r="F661" i="2" s="1"/>
  <c r="M374" i="2"/>
  <c r="L374" i="2" s="1"/>
  <c r="G374" i="2"/>
  <c r="F374" i="2" s="1"/>
  <c r="J374" i="2"/>
  <c r="I374" i="2" s="1"/>
  <c r="J405" i="2"/>
  <c r="I405" i="2" s="1"/>
  <c r="M405" i="2"/>
  <c r="L405" i="2" s="1"/>
  <c r="G405" i="2"/>
  <c r="F405" i="2" s="1"/>
  <c r="G410" i="2"/>
  <c r="F410" i="2" s="1"/>
  <c r="J410" i="2"/>
  <c r="I410" i="2" s="1"/>
  <c r="M410" i="2"/>
  <c r="L410" i="2" s="1"/>
  <c r="M411" i="2"/>
  <c r="L411" i="2" s="1"/>
  <c r="J411" i="2"/>
  <c r="I411" i="2" s="1"/>
  <c r="G411" i="2"/>
  <c r="F411" i="2" s="1"/>
  <c r="M412" i="2"/>
  <c r="L412" i="2" s="1"/>
  <c r="J412" i="2"/>
  <c r="I412" i="2" s="1"/>
  <c r="G412" i="2"/>
  <c r="F412" i="2" s="1"/>
  <c r="G415" i="2"/>
  <c r="F415" i="2" s="1"/>
  <c r="J415" i="2"/>
  <c r="I415" i="2" s="1"/>
  <c r="M415" i="2"/>
  <c r="L415" i="2" s="1"/>
  <c r="M2" i="2"/>
  <c r="J2" i="2"/>
  <c r="G2" i="2"/>
  <c r="M15" i="2"/>
  <c r="L15" i="2" s="1"/>
  <c r="J15" i="2"/>
  <c r="I15" i="2" s="1"/>
  <c r="G15" i="2"/>
  <c r="F15" i="2" s="1"/>
  <c r="M20" i="2"/>
  <c r="L20" i="2" s="1"/>
  <c r="G20" i="2"/>
  <c r="F20" i="2" s="1"/>
  <c r="J20" i="2"/>
  <c r="I20" i="2" s="1"/>
  <c r="M27" i="2"/>
  <c r="L27" i="2" s="1"/>
  <c r="J27" i="2"/>
  <c r="I27" i="2" s="1"/>
  <c r="G27" i="2"/>
  <c r="F27" i="2" s="1"/>
  <c r="G28" i="2"/>
  <c r="F28" i="2" s="1"/>
  <c r="M28" i="2"/>
  <c r="L28" i="2" s="1"/>
  <c r="J28" i="2"/>
  <c r="I28" i="2" s="1"/>
  <c r="J41" i="2"/>
  <c r="I41" i="2" s="1"/>
  <c r="M41" i="2"/>
  <c r="L41" i="2" s="1"/>
  <c r="G41" i="2"/>
  <c r="F41" i="2" s="1"/>
  <c r="M56" i="2"/>
  <c r="L56" i="2" s="1"/>
  <c r="J56" i="2"/>
  <c r="I56" i="2" s="1"/>
  <c r="G56" i="2"/>
  <c r="F56" i="2" s="1"/>
  <c r="G59" i="2"/>
  <c r="F59" i="2" s="1"/>
  <c r="M59" i="2"/>
  <c r="L59" i="2" s="1"/>
  <c r="J59" i="2"/>
  <c r="I59" i="2" s="1"/>
  <c r="J78" i="2"/>
  <c r="I78" i="2" s="1"/>
  <c r="M78" i="2"/>
  <c r="L78" i="2" s="1"/>
  <c r="G78" i="2"/>
  <c r="F78" i="2" s="1"/>
  <c r="M103" i="2"/>
  <c r="L103" i="2" s="1"/>
  <c r="G103" i="2"/>
  <c r="F103" i="2" s="1"/>
  <c r="J103" i="2"/>
  <c r="I103" i="2" s="1"/>
  <c r="M104" i="2"/>
  <c r="L104" i="2" s="1"/>
  <c r="G104" i="2"/>
  <c r="F104" i="2" s="1"/>
  <c r="J104" i="2"/>
  <c r="I104" i="2" s="1"/>
  <c r="G106" i="2"/>
  <c r="F106" i="2" s="1"/>
  <c r="M106" i="2"/>
  <c r="L106" i="2" s="1"/>
  <c r="J106" i="2"/>
  <c r="I106" i="2" s="1"/>
  <c r="J120" i="2"/>
  <c r="I120" i="2" s="1"/>
  <c r="G120" i="2"/>
  <c r="F120" i="2" s="1"/>
  <c r="M120" i="2"/>
  <c r="L120" i="2" s="1"/>
  <c r="J125" i="2"/>
  <c r="I125" i="2" s="1"/>
  <c r="G125" i="2"/>
  <c r="F125" i="2" s="1"/>
  <c r="M125" i="2"/>
  <c r="L125" i="2" s="1"/>
  <c r="M131" i="2"/>
  <c r="L131" i="2" s="1"/>
  <c r="G131" i="2"/>
  <c r="F131" i="2" s="1"/>
  <c r="J131" i="2"/>
  <c r="I131" i="2" s="1"/>
  <c r="J132" i="2"/>
  <c r="I132" i="2" s="1"/>
  <c r="G132" i="2"/>
  <c r="F132" i="2" s="1"/>
  <c r="M132" i="2"/>
  <c r="L132" i="2" s="1"/>
  <c r="J137" i="2"/>
  <c r="I137" i="2" s="1"/>
  <c r="G137" i="2"/>
  <c r="F137" i="2" s="1"/>
  <c r="M137" i="2"/>
  <c r="L137" i="2" s="1"/>
  <c r="G153" i="2"/>
  <c r="F153" i="2" s="1"/>
  <c r="J153" i="2"/>
  <c r="I153" i="2" s="1"/>
  <c r="M153" i="2"/>
  <c r="L153" i="2" s="1"/>
  <c r="M164" i="2"/>
  <c r="L164" i="2" s="1"/>
  <c r="G164" i="2"/>
  <c r="F164" i="2" s="1"/>
  <c r="J164" i="2"/>
  <c r="I164" i="2" s="1"/>
  <c r="M166" i="2"/>
  <c r="L166" i="2" s="1"/>
  <c r="G166" i="2"/>
  <c r="F166" i="2" s="1"/>
  <c r="J166" i="2"/>
  <c r="I166" i="2" s="1"/>
  <c r="J183" i="2"/>
  <c r="I183" i="2" s="1"/>
  <c r="G183" i="2"/>
  <c r="F183" i="2" s="1"/>
  <c r="M183" i="2"/>
  <c r="L183" i="2" s="1"/>
  <c r="J242" i="2"/>
  <c r="I242" i="2" s="1"/>
  <c r="G242" i="2"/>
  <c r="F242" i="2" s="1"/>
  <c r="M242" i="2"/>
  <c r="L242" i="2" s="1"/>
  <c r="J243" i="2"/>
  <c r="I243" i="2" s="1"/>
  <c r="M243" i="2"/>
  <c r="L243" i="2" s="1"/>
  <c r="G243" i="2"/>
  <c r="F243" i="2" s="1"/>
  <c r="G245" i="2"/>
  <c r="F245" i="2" s="1"/>
  <c r="J245" i="2"/>
  <c r="I245" i="2" s="1"/>
  <c r="M245" i="2"/>
  <c r="L245" i="2" s="1"/>
  <c r="M249" i="2"/>
  <c r="L249" i="2" s="1"/>
  <c r="G249" i="2"/>
  <c r="F249" i="2" s="1"/>
  <c r="J249" i="2"/>
  <c r="I249" i="2" s="1"/>
  <c r="G257" i="2"/>
  <c r="F257" i="2" s="1"/>
  <c r="M257" i="2"/>
  <c r="L257" i="2" s="1"/>
  <c r="J257" i="2"/>
  <c r="I257" i="2" s="1"/>
  <c r="M260" i="2"/>
  <c r="L260" i="2" s="1"/>
  <c r="G260" i="2"/>
  <c r="F260" i="2" s="1"/>
  <c r="J260" i="2"/>
  <c r="I260" i="2" s="1"/>
  <c r="G304" i="2"/>
  <c r="F304" i="2" s="1"/>
  <c r="M304" i="2"/>
  <c r="L304" i="2" s="1"/>
  <c r="J304" i="2"/>
  <c r="I304" i="2" s="1"/>
  <c r="G306" i="2"/>
  <c r="F306" i="2" s="1"/>
  <c r="J306" i="2"/>
  <c r="I306" i="2" s="1"/>
  <c r="M306" i="2"/>
  <c r="L306" i="2" s="1"/>
  <c r="J309" i="2"/>
  <c r="I309" i="2" s="1"/>
  <c r="G309" i="2"/>
  <c r="F309" i="2" s="1"/>
  <c r="M309" i="2"/>
  <c r="L309" i="2" s="1"/>
  <c r="G311" i="2"/>
  <c r="F311" i="2" s="1"/>
  <c r="M311" i="2"/>
  <c r="L311" i="2" s="1"/>
  <c r="J311" i="2"/>
  <c r="I311" i="2" s="1"/>
  <c r="G312" i="2"/>
  <c r="F312" i="2" s="1"/>
  <c r="J312" i="2"/>
  <c r="I312" i="2" s="1"/>
  <c r="M312" i="2"/>
  <c r="L312" i="2" s="1"/>
  <c r="M316" i="2"/>
  <c r="L316" i="2" s="1"/>
  <c r="G316" i="2"/>
  <c r="F316" i="2" s="1"/>
  <c r="J316" i="2"/>
  <c r="I316" i="2" s="1"/>
  <c r="G317" i="2"/>
  <c r="F317" i="2" s="1"/>
  <c r="M317" i="2"/>
  <c r="L317" i="2" s="1"/>
  <c r="J317" i="2"/>
  <c r="I317" i="2" s="1"/>
  <c r="J318" i="2"/>
  <c r="I318" i="2" s="1"/>
  <c r="G318" i="2"/>
  <c r="F318" i="2" s="1"/>
  <c r="M318" i="2"/>
  <c r="L318" i="2" s="1"/>
  <c r="M319" i="2"/>
  <c r="L319" i="2" s="1"/>
  <c r="J319" i="2"/>
  <c r="I319" i="2" s="1"/>
  <c r="G319" i="2"/>
  <c r="F319" i="2" s="1"/>
  <c r="G320" i="2"/>
  <c r="F320" i="2" s="1"/>
  <c r="M320" i="2"/>
  <c r="L320" i="2" s="1"/>
  <c r="J320" i="2"/>
  <c r="I320" i="2" s="1"/>
  <c r="G322" i="2"/>
  <c r="F322" i="2" s="1"/>
  <c r="J322" i="2"/>
  <c r="I322" i="2" s="1"/>
  <c r="M322" i="2"/>
  <c r="L322" i="2" s="1"/>
  <c r="M325" i="2"/>
  <c r="L325" i="2" s="1"/>
  <c r="G325" i="2"/>
  <c r="F325" i="2" s="1"/>
  <c r="J325" i="2"/>
  <c r="I325" i="2" s="1"/>
  <c r="M329" i="2"/>
  <c r="L329" i="2" s="1"/>
  <c r="J329" i="2"/>
  <c r="I329" i="2" s="1"/>
  <c r="G329" i="2"/>
  <c r="F329" i="2" s="1"/>
  <c r="G330" i="2"/>
  <c r="F330" i="2" s="1"/>
  <c r="M330" i="2"/>
  <c r="L330" i="2" s="1"/>
  <c r="J330" i="2"/>
  <c r="I330" i="2" s="1"/>
  <c r="G331" i="2"/>
  <c r="F331" i="2" s="1"/>
  <c r="J331" i="2"/>
  <c r="I331" i="2" s="1"/>
  <c r="M331" i="2"/>
  <c r="L331" i="2" s="1"/>
  <c r="M332" i="2"/>
  <c r="L332" i="2" s="1"/>
  <c r="G332" i="2"/>
  <c r="F332" i="2" s="1"/>
  <c r="J332" i="2"/>
  <c r="I332" i="2" s="1"/>
  <c r="G333" i="2"/>
  <c r="F333" i="2" s="1"/>
  <c r="M333" i="2"/>
  <c r="L333" i="2" s="1"/>
  <c r="J333" i="2"/>
  <c r="I333" i="2" s="1"/>
  <c r="G334" i="2"/>
  <c r="F334" i="2" s="1"/>
  <c r="J334" i="2"/>
  <c r="I334" i="2" s="1"/>
  <c r="M334" i="2"/>
  <c r="L334" i="2" s="1"/>
  <c r="G336" i="2"/>
  <c r="F336" i="2" s="1"/>
  <c r="J336" i="2"/>
  <c r="I336" i="2" s="1"/>
  <c r="M336" i="2"/>
  <c r="L336" i="2" s="1"/>
  <c r="G337" i="2"/>
  <c r="F337" i="2" s="1"/>
  <c r="J337" i="2"/>
  <c r="I337" i="2" s="1"/>
  <c r="M337" i="2"/>
  <c r="L337" i="2" s="1"/>
  <c r="G338" i="2"/>
  <c r="F338" i="2" s="1"/>
  <c r="J338" i="2"/>
  <c r="I338" i="2" s="1"/>
  <c r="M338" i="2"/>
  <c r="L338" i="2" s="1"/>
  <c r="J351" i="2"/>
  <c r="I351" i="2" s="1"/>
  <c r="M351" i="2"/>
  <c r="L351" i="2" s="1"/>
  <c r="G351" i="2"/>
  <c r="F351" i="2" s="1"/>
  <c r="G560" i="2"/>
  <c r="F560" i="2" s="1"/>
  <c r="M560" i="2"/>
  <c r="L560" i="2" s="1"/>
  <c r="J560" i="2"/>
  <c r="I560" i="2" s="1"/>
  <c r="M561" i="2"/>
  <c r="L561" i="2" s="1"/>
  <c r="G561" i="2"/>
  <c r="F561" i="2" s="1"/>
  <c r="J561" i="2"/>
  <c r="I561" i="2" s="1"/>
  <c r="G562" i="2"/>
  <c r="F562" i="2" s="1"/>
  <c r="M562" i="2"/>
  <c r="L562" i="2" s="1"/>
  <c r="J562" i="2"/>
  <c r="I562" i="2" s="1"/>
  <c r="M567" i="2"/>
  <c r="L567" i="2" s="1"/>
  <c r="J567" i="2"/>
  <c r="I567" i="2" s="1"/>
  <c r="G567" i="2"/>
  <c r="F567" i="2" s="1"/>
  <c r="J569" i="2"/>
  <c r="I569" i="2" s="1"/>
  <c r="M569" i="2"/>
  <c r="L569" i="2" s="1"/>
  <c r="G569" i="2"/>
  <c r="F569" i="2" s="1"/>
  <c r="M570" i="2"/>
  <c r="L570" i="2" s="1"/>
  <c r="J570" i="2"/>
  <c r="I570" i="2" s="1"/>
  <c r="G570" i="2"/>
  <c r="F570" i="2" s="1"/>
  <c r="M571" i="2"/>
  <c r="L571" i="2" s="1"/>
  <c r="J571" i="2"/>
  <c r="I571" i="2" s="1"/>
  <c r="G571" i="2"/>
  <c r="F571" i="2" s="1"/>
  <c r="M572" i="2"/>
  <c r="L572" i="2" s="1"/>
  <c r="J572" i="2"/>
  <c r="I572" i="2" s="1"/>
  <c r="G572" i="2"/>
  <c r="F572" i="2" s="1"/>
  <c r="G617" i="2"/>
  <c r="F617" i="2" s="1"/>
  <c r="M617" i="2"/>
  <c r="L617" i="2" s="1"/>
  <c r="J617" i="2"/>
  <c r="I617" i="2" s="1"/>
  <c r="J224" i="2"/>
  <c r="I224" i="2" s="1"/>
  <c r="G224" i="2"/>
  <c r="F224" i="2" s="1"/>
  <c r="M224" i="2"/>
  <c r="L224" i="2" s="1"/>
  <c r="G230" i="2"/>
  <c r="F230" i="2" s="1"/>
  <c r="J230" i="2"/>
  <c r="I230" i="2" s="1"/>
  <c r="M230" i="2"/>
  <c r="L230" i="2" s="1"/>
  <c r="J231" i="2"/>
  <c r="I231" i="2" s="1"/>
  <c r="M231" i="2"/>
  <c r="L231" i="2" s="1"/>
  <c r="G231" i="2"/>
  <c r="F231" i="2" s="1"/>
  <c r="J232" i="2"/>
  <c r="I232" i="2" s="1"/>
  <c r="M232" i="2"/>
  <c r="L232" i="2" s="1"/>
  <c r="G232" i="2"/>
  <c r="F232" i="2" s="1"/>
  <c r="J236" i="2"/>
  <c r="I236" i="2" s="1"/>
  <c r="M236" i="2"/>
  <c r="L236" i="2" s="1"/>
  <c r="G236" i="2"/>
  <c r="F236" i="2" s="1"/>
  <c r="G240" i="2"/>
  <c r="F240" i="2" s="1"/>
  <c r="J240" i="2"/>
  <c r="I240" i="2" s="1"/>
  <c r="M240" i="2"/>
  <c r="L240" i="2" s="1"/>
  <c r="J244" i="2"/>
  <c r="I244" i="2" s="1"/>
  <c r="G244" i="2"/>
  <c r="F244" i="2" s="1"/>
  <c r="M244" i="2"/>
  <c r="L244" i="2" s="1"/>
  <c r="J247" i="2"/>
  <c r="I247" i="2" s="1"/>
  <c r="M247" i="2"/>
  <c r="L247" i="2" s="1"/>
  <c r="G247" i="2"/>
  <c r="F247" i="2" s="1"/>
  <c r="J248" i="2"/>
  <c r="I248" i="2" s="1"/>
  <c r="M248" i="2"/>
  <c r="L248" i="2" s="1"/>
  <c r="G248" i="2"/>
  <c r="F248" i="2" s="1"/>
  <c r="M251" i="2"/>
  <c r="L251" i="2" s="1"/>
  <c r="G251" i="2"/>
  <c r="F251" i="2" s="1"/>
  <c r="J251" i="2"/>
  <c r="I251" i="2" s="1"/>
  <c r="G253" i="2"/>
  <c r="F253" i="2" s="1"/>
  <c r="J253" i="2"/>
  <c r="I253" i="2" s="1"/>
  <c r="M253" i="2"/>
  <c r="L253" i="2" s="1"/>
  <c r="M255" i="2"/>
  <c r="L255" i="2" s="1"/>
  <c r="G255" i="2"/>
  <c r="F255" i="2" s="1"/>
  <c r="J255" i="2"/>
  <c r="I255" i="2" s="1"/>
  <c r="M256" i="2"/>
  <c r="L256" i="2" s="1"/>
  <c r="J256" i="2"/>
  <c r="I256" i="2" s="1"/>
  <c r="G256" i="2"/>
  <c r="F256" i="2" s="1"/>
  <c r="M262" i="2"/>
  <c r="L262" i="2" s="1"/>
  <c r="J262" i="2"/>
  <c r="I262" i="2" s="1"/>
  <c r="G262" i="2"/>
  <c r="F262" i="2" s="1"/>
  <c r="M263" i="2"/>
  <c r="L263" i="2" s="1"/>
  <c r="J263" i="2"/>
  <c r="I263" i="2" s="1"/>
  <c r="G263" i="2"/>
  <c r="F263" i="2" s="1"/>
  <c r="M264" i="2"/>
  <c r="L264" i="2" s="1"/>
  <c r="J264" i="2"/>
  <c r="I264" i="2" s="1"/>
  <c r="G264" i="2"/>
  <c r="F264" i="2" s="1"/>
  <c r="G265" i="2"/>
  <c r="F265" i="2" s="1"/>
  <c r="J265" i="2"/>
  <c r="I265" i="2" s="1"/>
  <c r="M265" i="2"/>
  <c r="L265" i="2" s="1"/>
  <c r="M266" i="2"/>
  <c r="L266" i="2" s="1"/>
  <c r="G266" i="2"/>
  <c r="F266" i="2" s="1"/>
  <c r="J266" i="2"/>
  <c r="I266" i="2" s="1"/>
  <c r="M274" i="2"/>
  <c r="L274" i="2" s="1"/>
  <c r="G274" i="2"/>
  <c r="F274" i="2" s="1"/>
  <c r="J274" i="2"/>
  <c r="I274" i="2" s="1"/>
  <c r="G280" i="2"/>
  <c r="F280" i="2" s="1"/>
  <c r="J280" i="2"/>
  <c r="I280" i="2" s="1"/>
  <c r="M280" i="2"/>
  <c r="L280" i="2" s="1"/>
  <c r="G292" i="2"/>
  <c r="F292" i="2" s="1"/>
  <c r="J292" i="2"/>
  <c r="I292" i="2" s="1"/>
  <c r="M292" i="2"/>
  <c r="L292" i="2" s="1"/>
  <c r="M646" i="2"/>
  <c r="L646" i="2" s="1"/>
  <c r="G646" i="2"/>
  <c r="F646" i="2" s="1"/>
  <c r="J646" i="2"/>
  <c r="I646" i="2" s="1"/>
  <c r="G655" i="2"/>
  <c r="F655" i="2" s="1"/>
  <c r="M655" i="2"/>
  <c r="L655" i="2" s="1"/>
  <c r="J655" i="2"/>
  <c r="I655" i="2" s="1"/>
  <c r="G667" i="2"/>
  <c r="F667" i="2" s="1"/>
  <c r="J667" i="2"/>
  <c r="I667" i="2" s="1"/>
  <c r="M667" i="2"/>
  <c r="L667" i="2" s="1"/>
  <c r="G673" i="2"/>
  <c r="F673" i="2" s="1"/>
  <c r="M673" i="2"/>
  <c r="L673" i="2" s="1"/>
  <c r="J673" i="2"/>
  <c r="I673" i="2" s="1"/>
  <c r="M677" i="2"/>
  <c r="L677" i="2" s="1"/>
  <c r="G677" i="2"/>
  <c r="F677" i="2" s="1"/>
  <c r="J677" i="2"/>
  <c r="I677" i="2" s="1"/>
  <c r="G685" i="2"/>
  <c r="F685" i="2" s="1"/>
  <c r="J685" i="2"/>
  <c r="I685" i="2" s="1"/>
  <c r="M685" i="2"/>
  <c r="L685" i="2" s="1"/>
  <c r="J695" i="2"/>
  <c r="I695" i="2" s="1"/>
  <c r="M695" i="2"/>
  <c r="L695" i="2" s="1"/>
  <c r="G695" i="2"/>
  <c r="F695" i="2" s="1"/>
  <c r="M299" i="2"/>
  <c r="L299" i="2" s="1"/>
  <c r="J299" i="2"/>
  <c r="I299" i="2" s="1"/>
  <c r="G299" i="2"/>
  <c r="F299" i="2" s="1"/>
  <c r="J307" i="2"/>
  <c r="I307" i="2" s="1"/>
  <c r="M307" i="2"/>
  <c r="L307" i="2" s="1"/>
  <c r="G307" i="2"/>
  <c r="F307" i="2" s="1"/>
  <c r="G308" i="2"/>
  <c r="F308" i="2" s="1"/>
  <c r="J308" i="2"/>
  <c r="I308" i="2" s="1"/>
  <c r="M308" i="2"/>
  <c r="L308" i="2" s="1"/>
  <c r="M310" i="2"/>
  <c r="L310" i="2" s="1"/>
  <c r="J310" i="2"/>
  <c r="I310" i="2" s="1"/>
  <c r="G310" i="2"/>
  <c r="F310" i="2" s="1"/>
  <c r="J315" i="2"/>
  <c r="I315" i="2" s="1"/>
  <c r="M315" i="2"/>
  <c r="L315" i="2" s="1"/>
  <c r="G315" i="2"/>
  <c r="F315" i="2" s="1"/>
  <c r="M321" i="2"/>
  <c r="L321" i="2" s="1"/>
  <c r="J321" i="2"/>
  <c r="I321" i="2" s="1"/>
  <c r="G321" i="2"/>
  <c r="F321" i="2" s="1"/>
  <c r="G327" i="2"/>
  <c r="F327" i="2" s="1"/>
  <c r="M327" i="2"/>
  <c r="L327" i="2" s="1"/>
  <c r="J327" i="2"/>
  <c r="I327" i="2" s="1"/>
  <c r="M328" i="2"/>
  <c r="L328" i="2" s="1"/>
  <c r="G328" i="2"/>
  <c r="F328" i="2" s="1"/>
  <c r="J328" i="2"/>
  <c r="I328" i="2" s="1"/>
  <c r="J339" i="2"/>
  <c r="I339" i="2" s="1"/>
  <c r="M339" i="2"/>
  <c r="L339" i="2" s="1"/>
  <c r="G339" i="2"/>
  <c r="F339" i="2" s="1"/>
  <c r="G340" i="2"/>
  <c r="F340" i="2" s="1"/>
  <c r="M340" i="2"/>
  <c r="L340" i="2" s="1"/>
  <c r="J340" i="2"/>
  <c r="I340" i="2" s="1"/>
  <c r="G341" i="2"/>
  <c r="F341" i="2" s="1"/>
  <c r="M341" i="2"/>
  <c r="L341" i="2" s="1"/>
  <c r="J341" i="2"/>
  <c r="I341" i="2" s="1"/>
  <c r="J342" i="2"/>
  <c r="I342" i="2" s="1"/>
  <c r="M342" i="2"/>
  <c r="L342" i="2" s="1"/>
  <c r="G342" i="2"/>
  <c r="F342" i="2" s="1"/>
  <c r="M344" i="2"/>
  <c r="L344" i="2" s="1"/>
  <c r="G344" i="2"/>
  <c r="F344" i="2" s="1"/>
  <c r="J344" i="2"/>
  <c r="I344" i="2" s="1"/>
  <c r="G346" i="2"/>
  <c r="F346" i="2" s="1"/>
  <c r="M346" i="2"/>
  <c r="L346" i="2" s="1"/>
  <c r="J346" i="2"/>
  <c r="I346" i="2" s="1"/>
  <c r="J357" i="2"/>
  <c r="I357" i="2" s="1"/>
  <c r="M357" i="2"/>
  <c r="L357" i="2" s="1"/>
  <c r="G357" i="2"/>
  <c r="F357" i="2" s="1"/>
  <c r="G654" i="2"/>
  <c r="F654" i="2" s="1"/>
  <c r="J654" i="2"/>
  <c r="I654" i="2" s="1"/>
  <c r="M654" i="2"/>
  <c r="L654" i="2" s="1"/>
  <c r="M664" i="2"/>
  <c r="L664" i="2" s="1"/>
  <c r="G664" i="2"/>
  <c r="F664" i="2" s="1"/>
  <c r="J664" i="2"/>
  <c r="I664" i="2" s="1"/>
  <c r="M669" i="2"/>
  <c r="L669" i="2" s="1"/>
  <c r="G669" i="2"/>
  <c r="F669" i="2" s="1"/>
  <c r="J669" i="2"/>
  <c r="I669" i="2" s="1"/>
  <c r="M679" i="2"/>
  <c r="L679" i="2" s="1"/>
  <c r="J679" i="2"/>
  <c r="I679" i="2" s="1"/>
  <c r="G679" i="2"/>
  <c r="F679" i="2" s="1"/>
  <c r="J686" i="2"/>
  <c r="I686" i="2" s="1"/>
  <c r="M686" i="2"/>
  <c r="L686" i="2" s="1"/>
  <c r="G686" i="2"/>
  <c r="F686" i="2" s="1"/>
  <c r="J692" i="2"/>
  <c r="I692" i="2" s="1"/>
  <c r="G692" i="2"/>
  <c r="F692" i="2" s="1"/>
  <c r="M692" i="2"/>
  <c r="L692" i="2" s="1"/>
  <c r="M378" i="2"/>
  <c r="L378" i="2" s="1"/>
  <c r="J378" i="2"/>
  <c r="I378" i="2" s="1"/>
  <c r="G378" i="2"/>
  <c r="F378" i="2" s="1"/>
  <c r="M380" i="2"/>
  <c r="L380" i="2" s="1"/>
  <c r="J380" i="2"/>
  <c r="I380" i="2" s="1"/>
  <c r="G380" i="2"/>
  <c r="F380" i="2" s="1"/>
  <c r="J382" i="2"/>
  <c r="I382" i="2" s="1"/>
  <c r="M382" i="2"/>
  <c r="L382" i="2" s="1"/>
  <c r="G382" i="2"/>
  <c r="F382" i="2" s="1"/>
  <c r="G392" i="2"/>
  <c r="F392" i="2" s="1"/>
  <c r="J392" i="2"/>
  <c r="I392" i="2" s="1"/>
  <c r="M392" i="2"/>
  <c r="L392" i="2" s="1"/>
  <c r="M393" i="2"/>
  <c r="L393" i="2" s="1"/>
  <c r="J393" i="2"/>
  <c r="I393" i="2" s="1"/>
  <c r="G393" i="2"/>
  <c r="F393" i="2" s="1"/>
  <c r="M396" i="2"/>
  <c r="L396" i="2" s="1"/>
  <c r="G396" i="2"/>
  <c r="F396" i="2" s="1"/>
  <c r="J396" i="2"/>
  <c r="I396" i="2" s="1"/>
  <c r="J397" i="2"/>
  <c r="I397" i="2" s="1"/>
  <c r="G397" i="2"/>
  <c r="F397" i="2" s="1"/>
  <c r="M397" i="2"/>
  <c r="L397" i="2" s="1"/>
  <c r="J402" i="2"/>
  <c r="I402" i="2" s="1"/>
  <c r="G402" i="2"/>
  <c r="F402" i="2" s="1"/>
  <c r="M402" i="2"/>
  <c r="L402" i="2" s="1"/>
  <c r="J427" i="2"/>
  <c r="I427" i="2" s="1"/>
  <c r="G427" i="2"/>
  <c r="F427" i="2" s="1"/>
  <c r="M427" i="2"/>
  <c r="L427" i="2" s="1"/>
  <c r="G428" i="2"/>
  <c r="F428" i="2" s="1"/>
  <c r="J428" i="2"/>
  <c r="I428" i="2" s="1"/>
  <c r="M428" i="2"/>
  <c r="L428" i="2" s="1"/>
  <c r="M435" i="2"/>
  <c r="L435" i="2" s="1"/>
  <c r="G435" i="2"/>
  <c r="F435" i="2" s="1"/>
  <c r="J435" i="2"/>
  <c r="I435" i="2" s="1"/>
  <c r="M436" i="2"/>
  <c r="L436" i="2" s="1"/>
  <c r="G436" i="2"/>
  <c r="F436" i="2" s="1"/>
  <c r="J436" i="2"/>
  <c r="I436" i="2" s="1"/>
  <c r="M439" i="2"/>
  <c r="L439" i="2" s="1"/>
  <c r="G439" i="2"/>
  <c r="F439" i="2" s="1"/>
  <c r="J439" i="2"/>
  <c r="I439" i="2" s="1"/>
  <c r="M440" i="2"/>
  <c r="L440" i="2" s="1"/>
  <c r="G440" i="2"/>
  <c r="F440" i="2" s="1"/>
  <c r="J440" i="2"/>
  <c r="I440" i="2" s="1"/>
  <c r="M441" i="2"/>
  <c r="L441" i="2" s="1"/>
  <c r="J441" i="2"/>
  <c r="I441" i="2" s="1"/>
  <c r="G441" i="2"/>
  <c r="F441" i="2" s="1"/>
  <c r="G445" i="2"/>
  <c r="F445" i="2" s="1"/>
  <c r="M445" i="2"/>
  <c r="L445" i="2" s="1"/>
  <c r="J445" i="2"/>
  <c r="I445" i="2" s="1"/>
  <c r="G453" i="2"/>
  <c r="F453" i="2" s="1"/>
  <c r="M453" i="2"/>
  <c r="L453" i="2" s="1"/>
  <c r="J453" i="2"/>
  <c r="I453" i="2" s="1"/>
  <c r="G456" i="2"/>
  <c r="F456" i="2" s="1"/>
  <c r="M456" i="2"/>
  <c r="L456" i="2" s="1"/>
  <c r="J456" i="2"/>
  <c r="I456" i="2" s="1"/>
  <c r="G653" i="2"/>
  <c r="F653" i="2" s="1"/>
  <c r="J653" i="2"/>
  <c r="I653" i="2" s="1"/>
  <c r="M653" i="2"/>
  <c r="L653" i="2" s="1"/>
  <c r="J662" i="2"/>
  <c r="I662" i="2" s="1"/>
  <c r="M662" i="2"/>
  <c r="L662" i="2" s="1"/>
  <c r="G662" i="2"/>
  <c r="F662" i="2" s="1"/>
  <c r="J670" i="2"/>
  <c r="I670" i="2" s="1"/>
  <c r="M670" i="2"/>
  <c r="L670" i="2" s="1"/>
  <c r="G670" i="2"/>
  <c r="F670" i="2" s="1"/>
  <c r="J674" i="2"/>
  <c r="I674" i="2" s="1"/>
  <c r="G674" i="2"/>
  <c r="F674" i="2" s="1"/>
  <c r="M674" i="2"/>
  <c r="L674" i="2" s="1"/>
  <c r="G458" i="2"/>
  <c r="F458" i="2" s="1"/>
  <c r="J458" i="2"/>
  <c r="I458" i="2" s="1"/>
  <c r="M458" i="2"/>
  <c r="L458" i="2" s="1"/>
  <c r="G459" i="2"/>
  <c r="F459" i="2" s="1"/>
  <c r="M459" i="2"/>
  <c r="L459" i="2" s="1"/>
  <c r="J459" i="2"/>
  <c r="I459" i="2" s="1"/>
  <c r="G460" i="2"/>
  <c r="F460" i="2" s="1"/>
  <c r="M460" i="2"/>
  <c r="L460" i="2" s="1"/>
  <c r="J460" i="2"/>
  <c r="I460" i="2" s="1"/>
  <c r="G465" i="2"/>
  <c r="F465" i="2" s="1"/>
  <c r="M465" i="2"/>
  <c r="L465" i="2" s="1"/>
  <c r="J465" i="2"/>
  <c r="I465" i="2" s="1"/>
  <c r="M466" i="2"/>
  <c r="L466" i="2" s="1"/>
  <c r="J466" i="2"/>
  <c r="I466" i="2" s="1"/>
  <c r="G466" i="2"/>
  <c r="F466" i="2" s="1"/>
  <c r="J468" i="2"/>
  <c r="I468" i="2" s="1"/>
  <c r="M468" i="2"/>
  <c r="L468" i="2" s="1"/>
  <c r="G468" i="2"/>
  <c r="F468" i="2" s="1"/>
  <c r="G469" i="2"/>
  <c r="F469" i="2" s="1"/>
  <c r="M469" i="2"/>
  <c r="L469" i="2" s="1"/>
  <c r="J469" i="2"/>
  <c r="I469" i="2" s="1"/>
  <c r="J470" i="2"/>
  <c r="I470" i="2" s="1"/>
  <c r="M470" i="2"/>
  <c r="L470" i="2" s="1"/>
  <c r="G470" i="2"/>
  <c r="F470" i="2" s="1"/>
  <c r="G471" i="2"/>
  <c r="F471" i="2" s="1"/>
  <c r="M471" i="2"/>
  <c r="L471" i="2" s="1"/>
  <c r="J471" i="2"/>
  <c r="I471" i="2" s="1"/>
  <c r="M575" i="2"/>
  <c r="L575" i="2" s="1"/>
  <c r="J575" i="2"/>
  <c r="I575" i="2" s="1"/>
  <c r="G575" i="2"/>
  <c r="F575" i="2" s="1"/>
  <c r="M576" i="2"/>
  <c r="L576" i="2" s="1"/>
  <c r="G576" i="2"/>
  <c r="F576" i="2" s="1"/>
  <c r="J576" i="2"/>
  <c r="I576" i="2" s="1"/>
  <c r="J577" i="2"/>
  <c r="I577" i="2" s="1"/>
  <c r="M577" i="2"/>
  <c r="L577" i="2" s="1"/>
  <c r="G577" i="2"/>
  <c r="F577" i="2" s="1"/>
  <c r="G580" i="2"/>
  <c r="F580" i="2" s="1"/>
  <c r="M580" i="2"/>
  <c r="L580" i="2" s="1"/>
  <c r="J580" i="2"/>
  <c r="I580" i="2" s="1"/>
  <c r="G581" i="2"/>
  <c r="F581" i="2" s="1"/>
  <c r="M581" i="2"/>
  <c r="L581" i="2" s="1"/>
  <c r="J581" i="2"/>
  <c r="I581" i="2" s="1"/>
  <c r="G582" i="2"/>
  <c r="F582" i="2" s="1"/>
  <c r="M582" i="2"/>
  <c r="L582" i="2" s="1"/>
  <c r="J582" i="2"/>
  <c r="I582" i="2" s="1"/>
  <c r="J585" i="2"/>
  <c r="I585" i="2" s="1"/>
  <c r="M585" i="2"/>
  <c r="L585" i="2" s="1"/>
  <c r="G585" i="2"/>
  <c r="F585" i="2" s="1"/>
  <c r="J586" i="2"/>
  <c r="I586" i="2" s="1"/>
  <c r="G586" i="2"/>
  <c r="F586" i="2" s="1"/>
  <c r="M586" i="2"/>
  <c r="L586" i="2" s="1"/>
  <c r="G588" i="2"/>
  <c r="F588" i="2" s="1"/>
  <c r="M588" i="2"/>
  <c r="L588" i="2" s="1"/>
  <c r="J588" i="2"/>
  <c r="I588" i="2" s="1"/>
  <c r="M589" i="2"/>
  <c r="L589" i="2" s="1"/>
  <c r="J589" i="2"/>
  <c r="I589" i="2" s="1"/>
  <c r="G589" i="2"/>
  <c r="F589" i="2" s="1"/>
  <c r="M591" i="2"/>
  <c r="L591" i="2" s="1"/>
  <c r="J591" i="2"/>
  <c r="I591" i="2" s="1"/>
  <c r="G591" i="2"/>
  <c r="F591" i="2" s="1"/>
  <c r="J592" i="2"/>
  <c r="I592" i="2" s="1"/>
  <c r="M592" i="2"/>
  <c r="L592" i="2" s="1"/>
  <c r="G592" i="2"/>
  <c r="F592" i="2" s="1"/>
  <c r="J598" i="2"/>
  <c r="I598" i="2" s="1"/>
  <c r="M598" i="2"/>
  <c r="L598" i="2" s="1"/>
  <c r="G598" i="2"/>
  <c r="F598" i="2" s="1"/>
  <c r="J599" i="2"/>
  <c r="I599" i="2" s="1"/>
  <c r="M599" i="2"/>
  <c r="L599" i="2" s="1"/>
  <c r="G599" i="2"/>
  <c r="F599" i="2" s="1"/>
  <c r="G605" i="2"/>
  <c r="F605" i="2" s="1"/>
  <c r="M605" i="2"/>
  <c r="L605" i="2" s="1"/>
  <c r="J605" i="2"/>
  <c r="I605" i="2" s="1"/>
  <c r="M608" i="2"/>
  <c r="L608" i="2" s="1"/>
  <c r="G608" i="2"/>
  <c r="F608" i="2" s="1"/>
  <c r="J608" i="2"/>
  <c r="I608" i="2" s="1"/>
  <c r="M609" i="2"/>
  <c r="L609" i="2" s="1"/>
  <c r="J609" i="2"/>
  <c r="I609" i="2" s="1"/>
  <c r="G609" i="2"/>
  <c r="F609" i="2" s="1"/>
  <c r="M610" i="2"/>
  <c r="L610" i="2" s="1"/>
  <c r="G610" i="2"/>
  <c r="F610" i="2" s="1"/>
  <c r="J610" i="2"/>
  <c r="I610" i="2" s="1"/>
  <c r="G611" i="2"/>
  <c r="F611" i="2" s="1"/>
  <c r="M611" i="2"/>
  <c r="L611" i="2" s="1"/>
  <c r="J611" i="2"/>
  <c r="I611" i="2" s="1"/>
  <c r="J633" i="2"/>
  <c r="I633" i="2" s="1"/>
  <c r="G633" i="2"/>
  <c r="F633" i="2" s="1"/>
  <c r="M633" i="2"/>
  <c r="L633" i="2" s="1"/>
  <c r="M636" i="2"/>
  <c r="L636" i="2" s="1"/>
  <c r="G636" i="2"/>
  <c r="F636" i="2" s="1"/>
  <c r="J636" i="2"/>
  <c r="I636" i="2" s="1"/>
  <c r="J648" i="2"/>
  <c r="I648" i="2" s="1"/>
  <c r="M648" i="2"/>
  <c r="L648" i="2" s="1"/>
  <c r="G648" i="2"/>
  <c r="F648" i="2" s="1"/>
  <c r="J663" i="2"/>
  <c r="I663" i="2" s="1"/>
  <c r="G663" i="2"/>
  <c r="F663" i="2" s="1"/>
  <c r="M663" i="2"/>
  <c r="L663" i="2" s="1"/>
  <c r="J672" i="2"/>
  <c r="I672" i="2" s="1"/>
  <c r="G672" i="2"/>
  <c r="F672" i="2" s="1"/>
  <c r="M672" i="2"/>
  <c r="L672" i="2" s="1"/>
  <c r="M676" i="2"/>
  <c r="L676" i="2" s="1"/>
  <c r="G676" i="2"/>
  <c r="F676" i="2" s="1"/>
  <c r="J676" i="2"/>
  <c r="I676" i="2" s="1"/>
  <c r="J3" i="2"/>
  <c r="I3" i="2" s="1"/>
  <c r="M3" i="2"/>
  <c r="L3" i="2" s="1"/>
  <c r="G3" i="2"/>
  <c r="F3" i="2" s="1"/>
  <c r="M96" i="2"/>
  <c r="L96" i="2" s="1"/>
  <c r="G96" i="2"/>
  <c r="F96" i="2" s="1"/>
  <c r="J96" i="2"/>
  <c r="I96" i="2" s="1"/>
  <c r="G100" i="2"/>
  <c r="F100" i="2" s="1"/>
  <c r="M100" i="2"/>
  <c r="L100" i="2" s="1"/>
  <c r="J100" i="2"/>
  <c r="I100" i="2" s="1"/>
  <c r="J110" i="2"/>
  <c r="I110" i="2" s="1"/>
  <c r="M110" i="2"/>
  <c r="L110" i="2" s="1"/>
  <c r="G110" i="2"/>
  <c r="F110" i="2" s="1"/>
  <c r="G136" i="2"/>
  <c r="F136" i="2" s="1"/>
  <c r="J136" i="2"/>
  <c r="I136" i="2" s="1"/>
  <c r="M136" i="2"/>
  <c r="L136" i="2" s="1"/>
  <c r="G143" i="2"/>
  <c r="F143" i="2" s="1"/>
  <c r="M143" i="2"/>
  <c r="L143" i="2" s="1"/>
  <c r="J143" i="2"/>
  <c r="I143" i="2" s="1"/>
  <c r="M162" i="2"/>
  <c r="L162" i="2" s="1"/>
  <c r="J162" i="2"/>
  <c r="I162" i="2" s="1"/>
  <c r="G162" i="2"/>
  <c r="F162" i="2" s="1"/>
  <c r="M163" i="2"/>
  <c r="L163" i="2" s="1"/>
  <c r="G163" i="2"/>
  <c r="F163" i="2" s="1"/>
  <c r="J163" i="2"/>
  <c r="I163" i="2" s="1"/>
  <c r="M177" i="2"/>
  <c r="L177" i="2" s="1"/>
  <c r="J177" i="2"/>
  <c r="I177" i="2" s="1"/>
  <c r="G177" i="2"/>
  <c r="F177" i="2" s="1"/>
  <c r="J178" i="2"/>
  <c r="I178" i="2" s="1"/>
  <c r="G178" i="2"/>
  <c r="F178" i="2" s="1"/>
  <c r="M178" i="2"/>
  <c r="L178" i="2" s="1"/>
  <c r="G191" i="2"/>
  <c r="F191" i="2" s="1"/>
  <c r="M191" i="2"/>
  <c r="L191" i="2" s="1"/>
  <c r="J191" i="2"/>
  <c r="I191" i="2" s="1"/>
  <c r="G196" i="2"/>
  <c r="F196" i="2" s="1"/>
  <c r="M196" i="2"/>
  <c r="L196" i="2" s="1"/>
  <c r="J196" i="2"/>
  <c r="I196" i="2" s="1"/>
  <c r="J199" i="2"/>
  <c r="I199" i="2" s="1"/>
  <c r="M199" i="2"/>
  <c r="L199" i="2" s="1"/>
  <c r="G199" i="2"/>
  <c r="F199" i="2" s="1"/>
  <c r="M201" i="2"/>
  <c r="L201" i="2" s="1"/>
  <c r="G201" i="2"/>
  <c r="F201" i="2" s="1"/>
  <c r="J201" i="2"/>
  <c r="I201" i="2" s="1"/>
  <c r="G204" i="2"/>
  <c r="F204" i="2" s="1"/>
  <c r="M204" i="2"/>
  <c r="L204" i="2" s="1"/>
  <c r="J204" i="2"/>
  <c r="I204" i="2" s="1"/>
  <c r="M291" i="2"/>
  <c r="L291" i="2" s="1"/>
  <c r="G291" i="2"/>
  <c r="F291" i="2" s="1"/>
  <c r="J291" i="2"/>
  <c r="I291" i="2" s="1"/>
  <c r="G370" i="2"/>
  <c r="F370" i="2" s="1"/>
  <c r="J370" i="2"/>
  <c r="I370" i="2" s="1"/>
  <c r="M370" i="2"/>
  <c r="L370" i="2" s="1"/>
  <c r="M373" i="2"/>
  <c r="L373" i="2" s="1"/>
  <c r="G373" i="2"/>
  <c r="F373" i="2" s="1"/>
  <c r="J373" i="2"/>
  <c r="I373" i="2" s="1"/>
  <c r="M647" i="2"/>
  <c r="L647" i="2" s="1"/>
  <c r="J647" i="2"/>
  <c r="I647" i="2" s="1"/>
  <c r="G647" i="2"/>
  <c r="F647" i="2" s="1"/>
  <c r="M657" i="2"/>
  <c r="L657" i="2" s="1"/>
  <c r="J657" i="2"/>
  <c r="I657" i="2" s="1"/>
  <c r="G657" i="2"/>
  <c r="F657" i="2" s="1"/>
  <c r="J666" i="2"/>
  <c r="I666" i="2" s="1"/>
  <c r="G666" i="2"/>
  <c r="F666" i="2" s="1"/>
  <c r="M666" i="2"/>
  <c r="L666" i="2" s="1"/>
  <c r="J671" i="2"/>
  <c r="I671" i="2" s="1"/>
  <c r="G671" i="2"/>
  <c r="F671" i="2" s="1"/>
  <c r="M671" i="2"/>
  <c r="L671" i="2" s="1"/>
  <c r="J675" i="2"/>
  <c r="I675" i="2" s="1"/>
  <c r="G675" i="2"/>
  <c r="F675" i="2" s="1"/>
  <c r="M675" i="2"/>
  <c r="L675" i="2" s="1"/>
  <c r="J680" i="2"/>
  <c r="I680" i="2" s="1"/>
  <c r="G680" i="2"/>
  <c r="F680" i="2" s="1"/>
  <c r="M680" i="2"/>
  <c r="L680" i="2" s="1"/>
  <c r="G688" i="2"/>
  <c r="F688" i="2" s="1"/>
  <c r="M688" i="2"/>
  <c r="L688" i="2" s="1"/>
  <c r="J688" i="2"/>
  <c r="I688" i="2" s="1"/>
  <c r="J694" i="2"/>
  <c r="I694" i="2" s="1"/>
  <c r="M694" i="2"/>
  <c r="L694" i="2" s="1"/>
  <c r="G694" i="2"/>
  <c r="F694" i="2" s="1"/>
  <c r="J213" i="2"/>
  <c r="I213" i="2" s="1"/>
  <c r="M213" i="2"/>
  <c r="L213" i="2" s="1"/>
  <c r="G213" i="2"/>
  <c r="F213" i="2" s="1"/>
  <c r="J220" i="2"/>
  <c r="I220" i="2" s="1"/>
  <c r="M220" i="2"/>
  <c r="L220" i="2" s="1"/>
  <c r="G220" i="2"/>
  <c r="F220" i="2" s="1"/>
  <c r="G222" i="2"/>
  <c r="F222" i="2" s="1"/>
  <c r="J222" i="2"/>
  <c r="I222" i="2" s="1"/>
  <c r="M222" i="2"/>
  <c r="L222" i="2" s="1"/>
  <c r="M223" i="2"/>
  <c r="L223" i="2" s="1"/>
  <c r="J223" i="2"/>
  <c r="I223" i="2" s="1"/>
  <c r="G223" i="2"/>
  <c r="F223" i="2" s="1"/>
  <c r="J345" i="2"/>
  <c r="I345" i="2" s="1"/>
  <c r="M345" i="2"/>
  <c r="L345" i="2" s="1"/>
  <c r="G345" i="2"/>
  <c r="F345" i="2" s="1"/>
  <c r="M372" i="2"/>
  <c r="L372" i="2" s="1"/>
  <c r="J372" i="2"/>
  <c r="I372" i="2" s="1"/>
  <c r="G372" i="2"/>
  <c r="F372" i="2" s="1"/>
  <c r="G643" i="2"/>
  <c r="F643" i="2" s="1"/>
  <c r="M643" i="2"/>
  <c r="L643" i="2" s="1"/>
  <c r="J643" i="2"/>
  <c r="I643" i="2" s="1"/>
  <c r="M649" i="2"/>
  <c r="L649" i="2" s="1"/>
  <c r="J649" i="2"/>
  <c r="I649" i="2" s="1"/>
  <c r="G649" i="2"/>
  <c r="F649" i="2" s="1"/>
  <c r="J391" i="2"/>
  <c r="I391" i="2" s="1"/>
  <c r="M391" i="2"/>
  <c r="L391" i="2" s="1"/>
  <c r="G391" i="2"/>
  <c r="F391" i="2" s="1"/>
  <c r="J423" i="2"/>
  <c r="I423" i="2" s="1"/>
  <c r="M423" i="2"/>
  <c r="L423" i="2" s="1"/>
  <c r="G423" i="2"/>
  <c r="F423" i="2" s="1"/>
  <c r="M424" i="2"/>
  <c r="L424" i="2" s="1"/>
  <c r="G424" i="2"/>
  <c r="F424" i="2" s="1"/>
  <c r="J424" i="2"/>
  <c r="I424" i="2" s="1"/>
  <c r="G425" i="2"/>
  <c r="F425" i="2" s="1"/>
  <c r="M425" i="2"/>
  <c r="L425" i="2" s="1"/>
  <c r="J425" i="2"/>
  <c r="I425" i="2" s="1"/>
  <c r="G444" i="2"/>
  <c r="F444" i="2" s="1"/>
  <c r="J444" i="2"/>
  <c r="I444" i="2" s="1"/>
  <c r="M444" i="2"/>
  <c r="L444" i="2" s="1"/>
  <c r="M446" i="2"/>
  <c r="L446" i="2" s="1"/>
  <c r="J446" i="2"/>
  <c r="I446" i="2" s="1"/>
  <c r="G446" i="2"/>
  <c r="F446" i="2" s="1"/>
  <c r="J447" i="2"/>
  <c r="I447" i="2" s="1"/>
  <c r="G447" i="2"/>
  <c r="F447" i="2" s="1"/>
  <c r="M447" i="2"/>
  <c r="L447" i="2" s="1"/>
  <c r="M448" i="2"/>
  <c r="L448" i="2" s="1"/>
  <c r="J448" i="2"/>
  <c r="I448" i="2" s="1"/>
  <c r="G448" i="2"/>
  <c r="F448" i="2" s="1"/>
  <c r="J451" i="2"/>
  <c r="I451" i="2" s="1"/>
  <c r="G451" i="2"/>
  <c r="F451" i="2" s="1"/>
  <c r="M451" i="2"/>
  <c r="L451" i="2" s="1"/>
  <c r="G452" i="2"/>
  <c r="F452" i="2" s="1"/>
  <c r="M452" i="2"/>
  <c r="L452" i="2" s="1"/>
  <c r="J452" i="2"/>
  <c r="I452" i="2" s="1"/>
  <c r="M455" i="2"/>
  <c r="L455" i="2" s="1"/>
  <c r="G455" i="2"/>
  <c r="F455" i="2" s="1"/>
  <c r="J455" i="2"/>
  <c r="I455" i="2" s="1"/>
  <c r="M645" i="2"/>
  <c r="L645" i="2" s="1"/>
  <c r="G645" i="2"/>
  <c r="F645" i="2" s="1"/>
  <c r="J645" i="2"/>
  <c r="I645" i="2" s="1"/>
  <c r="J678" i="2"/>
  <c r="I678" i="2" s="1"/>
  <c r="G678" i="2"/>
  <c r="F678" i="2" s="1"/>
  <c r="M678" i="2"/>
  <c r="L678" i="2" s="1"/>
  <c r="M684" i="2"/>
  <c r="L684" i="2" s="1"/>
  <c r="J684" i="2"/>
  <c r="I684" i="2" s="1"/>
  <c r="G684" i="2"/>
  <c r="F684" i="2" s="1"/>
  <c r="G690" i="2"/>
  <c r="F690" i="2" s="1"/>
  <c r="J690" i="2"/>
  <c r="I690" i="2" s="1"/>
  <c r="M690" i="2"/>
  <c r="L690" i="2" s="1"/>
  <c r="M696" i="2"/>
  <c r="L696" i="2" s="1"/>
  <c r="G696" i="2"/>
  <c r="F696" i="2" s="1"/>
  <c r="J696" i="2"/>
  <c r="I696" i="2" s="1"/>
  <c r="M462" i="2"/>
  <c r="L462" i="2" s="1"/>
  <c r="J462" i="2"/>
  <c r="I462" i="2" s="1"/>
  <c r="G462" i="2"/>
  <c r="F462" i="2" s="1"/>
  <c r="G565" i="2"/>
  <c r="F565" i="2" s="1"/>
  <c r="M565" i="2"/>
  <c r="L565" i="2" s="1"/>
  <c r="J565" i="2"/>
  <c r="I565" i="2" s="1"/>
  <c r="M566" i="2"/>
  <c r="L566" i="2" s="1"/>
  <c r="G566" i="2"/>
  <c r="F566" i="2" s="1"/>
  <c r="J566" i="2"/>
  <c r="I566" i="2" s="1"/>
  <c r="J578" i="2"/>
  <c r="I578" i="2" s="1"/>
  <c r="M578" i="2"/>
  <c r="L578" i="2" s="1"/>
  <c r="G578" i="2"/>
  <c r="F578" i="2" s="1"/>
  <c r="G579" i="2"/>
  <c r="F579" i="2" s="1"/>
  <c r="M579" i="2"/>
  <c r="L579" i="2" s="1"/>
  <c r="J579" i="2"/>
  <c r="I579" i="2" s="1"/>
  <c r="G584" i="2"/>
  <c r="F584" i="2" s="1"/>
  <c r="J584" i="2"/>
  <c r="I584" i="2" s="1"/>
  <c r="M584" i="2"/>
  <c r="L584" i="2" s="1"/>
  <c r="G593" i="2"/>
  <c r="F593" i="2" s="1"/>
  <c r="J593" i="2"/>
  <c r="I593" i="2" s="1"/>
  <c r="M593" i="2"/>
  <c r="L593" i="2" s="1"/>
  <c r="J600" i="2"/>
  <c r="I600" i="2" s="1"/>
  <c r="M600" i="2"/>
  <c r="L600" i="2" s="1"/>
  <c r="G600" i="2"/>
  <c r="F600" i="2" s="1"/>
  <c r="M602" i="2"/>
  <c r="L602" i="2" s="1"/>
  <c r="G602" i="2"/>
  <c r="F602" i="2" s="1"/>
  <c r="J602" i="2"/>
  <c r="I602" i="2" s="1"/>
  <c r="J606" i="2"/>
  <c r="I606" i="2" s="1"/>
  <c r="M606" i="2"/>
  <c r="L606" i="2" s="1"/>
  <c r="G606" i="2"/>
  <c r="F606" i="2" s="1"/>
  <c r="M634" i="2"/>
  <c r="L634" i="2" s="1"/>
  <c r="J634" i="2"/>
  <c r="I634" i="2" s="1"/>
  <c r="G634" i="2"/>
  <c r="F634" i="2" s="1"/>
  <c r="M635" i="2"/>
  <c r="L635" i="2" s="1"/>
  <c r="G635" i="2"/>
  <c r="F635" i="2" s="1"/>
  <c r="J635" i="2"/>
  <c r="I635" i="2" s="1"/>
  <c r="J637" i="2"/>
  <c r="I637" i="2" s="1"/>
  <c r="M637" i="2"/>
  <c r="L637" i="2" s="1"/>
  <c r="G637" i="2"/>
  <c r="F637" i="2" s="1"/>
  <c r="M639" i="2"/>
  <c r="L639" i="2" s="1"/>
  <c r="G639" i="2"/>
  <c r="F639" i="2" s="1"/>
  <c r="J639" i="2"/>
  <c r="I639" i="2" s="1"/>
  <c r="G640" i="2"/>
  <c r="F640" i="2" s="1"/>
  <c r="J640" i="2"/>
  <c r="I640" i="2" s="1"/>
  <c r="M640" i="2"/>
  <c r="L640" i="2" s="1"/>
  <c r="G641" i="2"/>
  <c r="F641" i="2" s="1"/>
  <c r="M641" i="2"/>
  <c r="L641" i="2" s="1"/>
  <c r="J641" i="2"/>
  <c r="I641" i="2" s="1"/>
  <c r="J644" i="2"/>
  <c r="I644" i="2" s="1"/>
  <c r="G644" i="2"/>
  <c r="F644" i="2" s="1"/>
  <c r="M644" i="2"/>
  <c r="L644" i="2" s="1"/>
  <c r="G650" i="2"/>
  <c r="F650" i="2" s="1"/>
  <c r="M650" i="2"/>
  <c r="L650" i="2" s="1"/>
  <c r="J650" i="2"/>
  <c r="I650" i="2" s="1"/>
  <c r="J656" i="2"/>
  <c r="I656" i="2" s="1"/>
  <c r="G656" i="2"/>
  <c r="F656" i="2" s="1"/>
  <c r="M656" i="2"/>
  <c r="L656" i="2" s="1"/>
  <c r="J668" i="2"/>
  <c r="I668" i="2" s="1"/>
  <c r="G668" i="2"/>
  <c r="F668" i="2" s="1"/>
  <c r="M668" i="2"/>
  <c r="L668" i="2" s="1"/>
  <c r="G681" i="2"/>
  <c r="F681" i="2" s="1"/>
  <c r="J681" i="2"/>
  <c r="I681" i="2" s="1"/>
  <c r="M681" i="2"/>
  <c r="L681" i="2" s="1"/>
  <c r="J689" i="2"/>
  <c r="I689" i="2" s="1"/>
  <c r="M689" i="2"/>
  <c r="L689" i="2" s="1"/>
  <c r="G689" i="2"/>
  <c r="F689" i="2" s="1"/>
  <c r="M693" i="2"/>
  <c r="L693" i="2" s="1"/>
  <c r="J693" i="2"/>
  <c r="I693" i="2" s="1"/>
  <c r="G693" i="2"/>
  <c r="F693" i="2" s="1"/>
  <c r="M518" i="2"/>
  <c r="L518" i="2" s="1"/>
  <c r="J518" i="2"/>
  <c r="I518" i="2" s="1"/>
  <c r="G518" i="2"/>
  <c r="F518" i="2" s="1"/>
  <c r="J493" i="2"/>
  <c r="I493" i="2" s="1"/>
  <c r="M493" i="2"/>
  <c r="L493" i="2" s="1"/>
  <c r="G493" i="2"/>
  <c r="F493" i="2" s="1"/>
  <c r="M691" i="2"/>
  <c r="L691" i="2" s="1"/>
  <c r="J691" i="2"/>
  <c r="I691" i="2" s="1"/>
  <c r="G691" i="2"/>
  <c r="F691" i="2" s="1"/>
  <c r="J687" i="2"/>
  <c r="I687" i="2" s="1"/>
  <c r="G687" i="2"/>
  <c r="F687" i="2" s="1"/>
  <c r="M687" i="2"/>
  <c r="L687" i="2" s="1"/>
  <c r="M683" i="2"/>
  <c r="L683" i="2" s="1"/>
  <c r="G683" i="2"/>
  <c r="F683" i="2" s="1"/>
  <c r="J683" i="2"/>
  <c r="I683" i="2" s="1"/>
  <c r="G408" i="2"/>
  <c r="F408" i="2" s="1"/>
  <c r="J408" i="2"/>
  <c r="I408" i="2" s="1"/>
  <c r="M408" i="2"/>
  <c r="L408" i="2" s="1"/>
  <c r="G205" i="2"/>
  <c r="F205" i="2" s="1"/>
  <c r="J205" i="2"/>
  <c r="I205" i="2" s="1"/>
  <c r="M205" i="2"/>
  <c r="L205" i="2" s="1"/>
  <c r="G209" i="2"/>
  <c r="F209" i="2" s="1"/>
  <c r="M209" i="2"/>
  <c r="L209" i="2" s="1"/>
  <c r="J209" i="2"/>
  <c r="I209" i="2" s="1"/>
  <c r="M250" i="2"/>
  <c r="L250" i="2" s="1"/>
  <c r="G250" i="2"/>
  <c r="F250" i="2" s="1"/>
  <c r="J250" i="2"/>
  <c r="I250" i="2" s="1"/>
  <c r="M259" i="2"/>
  <c r="L259" i="2" s="1"/>
  <c r="J259" i="2"/>
  <c r="I259" i="2" s="1"/>
  <c r="G259" i="2"/>
  <c r="F259" i="2" s="1"/>
  <c r="M261" i="2"/>
  <c r="L261" i="2" s="1"/>
  <c r="J261" i="2"/>
  <c r="I261" i="2" s="1"/>
  <c r="G261" i="2"/>
  <c r="F261" i="2" s="1"/>
  <c r="G297" i="2"/>
  <c r="F297" i="2" s="1"/>
  <c r="J297" i="2"/>
  <c r="I297" i="2" s="1"/>
  <c r="M297" i="2"/>
  <c r="L297" i="2" s="1"/>
  <c r="M682" i="2"/>
  <c r="L682" i="2" s="1"/>
  <c r="J682" i="2"/>
  <c r="I682" i="2" s="1"/>
  <c r="G682" i="2"/>
  <c r="F682" i="2" s="1"/>
  <c r="J517" i="2"/>
  <c r="I517" i="2" s="1"/>
  <c r="G517" i="2"/>
  <c r="F517" i="2" s="1"/>
  <c r="M517" i="2"/>
  <c r="L517" i="2" s="1"/>
  <c r="M167" i="2"/>
  <c r="L167" i="2" s="1"/>
  <c r="J167" i="2"/>
  <c r="I167" i="2" s="1"/>
  <c r="G167" i="2"/>
  <c r="F167" i="2" s="1"/>
  <c r="J175" i="2"/>
  <c r="I175" i="2" s="1"/>
  <c r="G175" i="2"/>
  <c r="F175" i="2" s="1"/>
  <c r="M175" i="2"/>
  <c r="L175" i="2" s="1"/>
  <c r="G188" i="2"/>
  <c r="F188" i="2" s="1"/>
  <c r="M188" i="2"/>
  <c r="L188" i="2" s="1"/>
  <c r="J188" i="2"/>
  <c r="I188" i="2" s="1"/>
  <c r="G203" i="2"/>
  <c r="F203" i="2" s="1"/>
  <c r="J203" i="2"/>
  <c r="I203" i="2" s="1"/>
  <c r="M203" i="2"/>
  <c r="L203" i="2" s="1"/>
  <c r="G574" i="2"/>
  <c r="F574" i="2" s="1"/>
  <c r="M574" i="2"/>
  <c r="L574" i="2" s="1"/>
  <c r="J574" i="2"/>
  <c r="I574" i="2" s="1"/>
  <c r="M474" i="2"/>
  <c r="L474" i="2" s="1"/>
  <c r="J474" i="2"/>
  <c r="I474" i="2" s="1"/>
  <c r="G474" i="2"/>
  <c r="F474" i="2" s="1"/>
  <c r="M616" i="2"/>
  <c r="L616" i="2" s="1"/>
  <c r="G616" i="2"/>
  <c r="F616" i="2" s="1"/>
  <c r="J616" i="2"/>
  <c r="I616" i="2" s="1"/>
  <c r="G116" i="2"/>
  <c r="F116" i="2" s="1"/>
  <c r="M116" i="2"/>
  <c r="L116" i="2" s="1"/>
  <c r="J116" i="2"/>
  <c r="I116" i="2" s="1"/>
  <c r="G51" i="2"/>
  <c r="F51" i="2" s="1"/>
  <c r="M51" i="2"/>
  <c r="L51" i="2" s="1"/>
  <c r="J51" i="2"/>
  <c r="I51" i="2" s="1"/>
  <c r="G52" i="2"/>
  <c r="F52" i="2" s="1"/>
  <c r="M52" i="2"/>
  <c r="L52" i="2" s="1"/>
  <c r="J52" i="2"/>
  <c r="I52" i="2" s="1"/>
  <c r="J83" i="2"/>
  <c r="I83" i="2" s="1"/>
  <c r="G83" i="2"/>
  <c r="F83" i="2" s="1"/>
  <c r="M83" i="2"/>
  <c r="L83" i="2" s="1"/>
  <c r="M659" i="2"/>
  <c r="L659" i="2" s="1"/>
  <c r="G659" i="2"/>
  <c r="F659" i="2" s="1"/>
  <c r="J659" i="2"/>
  <c r="I659" i="2" s="1"/>
  <c r="G241" i="2"/>
  <c r="F241" i="2" s="1"/>
  <c r="M241" i="2"/>
  <c r="L241" i="2" s="1"/>
  <c r="J241" i="2"/>
  <c r="I241" i="2" s="1"/>
  <c r="M296" i="2"/>
  <c r="L296" i="2" s="1"/>
  <c r="J296" i="2"/>
  <c r="I296" i="2" s="1"/>
  <c r="G296" i="2"/>
  <c r="F296" i="2" s="1"/>
  <c r="J511" i="2"/>
  <c r="I511" i="2" s="1"/>
  <c r="M511" i="2"/>
  <c r="L511" i="2" s="1"/>
  <c r="G511" i="2"/>
  <c r="F511" i="2" s="1"/>
  <c r="G497" i="2"/>
  <c r="F497" i="2" s="1"/>
  <c r="M497" i="2"/>
  <c r="L497" i="2" s="1"/>
  <c r="J497" i="2"/>
  <c r="I497" i="2" s="1"/>
  <c r="G429" i="2"/>
  <c r="F429" i="2" s="1"/>
  <c r="M429" i="2"/>
  <c r="L429" i="2" s="1"/>
  <c r="J429" i="2"/>
  <c r="I429" i="2" s="1"/>
  <c r="M502" i="2"/>
  <c r="L502" i="2" s="1"/>
  <c r="J502" i="2"/>
  <c r="I502" i="2" s="1"/>
  <c r="G502" i="2"/>
  <c r="F502" i="2" s="1"/>
  <c r="G480" i="2"/>
  <c r="F480" i="2" s="1"/>
  <c r="M480" i="2"/>
  <c r="L480" i="2" s="1"/>
  <c r="J480" i="2"/>
  <c r="I480" i="2" s="1"/>
  <c r="M491" i="2"/>
  <c r="L491" i="2" s="1"/>
  <c r="G491" i="2"/>
  <c r="F491" i="2" s="1"/>
  <c r="J491" i="2"/>
  <c r="I491" i="2" s="1"/>
  <c r="G524" i="2"/>
  <c r="F524" i="2" s="1"/>
  <c r="M524" i="2"/>
  <c r="L524" i="2" s="1"/>
  <c r="J524" i="2"/>
  <c r="I524" i="2" s="1"/>
  <c r="M496" i="2"/>
  <c r="L496" i="2" s="1"/>
  <c r="J496" i="2"/>
  <c r="I496" i="2" s="1"/>
  <c r="G496" i="2"/>
  <c r="F496" i="2" s="1"/>
  <c r="J500" i="2"/>
  <c r="I500" i="2" s="1"/>
  <c r="G500" i="2"/>
  <c r="F500" i="2" s="1"/>
  <c r="M500" i="2"/>
  <c r="L500" i="2" s="1"/>
  <c r="G514" i="2"/>
  <c r="F514" i="2" s="1"/>
  <c r="J514" i="2"/>
  <c r="I514" i="2" s="1"/>
  <c r="M514" i="2"/>
  <c r="L514" i="2" s="1"/>
  <c r="J515" i="2"/>
  <c r="I515" i="2" s="1"/>
  <c r="M515" i="2"/>
  <c r="L515" i="2" s="1"/>
  <c r="G515" i="2"/>
  <c r="F515" i="2" s="1"/>
  <c r="J395" i="2"/>
  <c r="I395" i="2" s="1"/>
  <c r="M395" i="2"/>
  <c r="L395" i="2" s="1"/>
  <c r="G395" i="2"/>
  <c r="F395" i="2" s="1"/>
  <c r="M403" i="2"/>
  <c r="L403" i="2" s="1"/>
  <c r="G403" i="2"/>
  <c r="F403" i="2" s="1"/>
  <c r="J403" i="2"/>
  <c r="I403" i="2" s="1"/>
  <c r="M76" i="2"/>
  <c r="L76" i="2" s="1"/>
  <c r="G76" i="2"/>
  <c r="F76" i="2" s="1"/>
  <c r="J76" i="2"/>
  <c r="I76" i="2" s="1"/>
  <c r="J741" i="2"/>
  <c r="I741" i="2" s="1"/>
  <c r="M741" i="2"/>
  <c r="L741" i="2" s="1"/>
  <c r="G741" i="2"/>
  <c r="F741" i="2" s="1"/>
  <c r="J79" i="2"/>
  <c r="I79" i="2" s="1"/>
  <c r="M79" i="2"/>
  <c r="L79" i="2" s="1"/>
  <c r="G79" i="2"/>
  <c r="F79" i="2" s="1"/>
  <c r="G499" i="2"/>
  <c r="F499" i="2" s="1"/>
  <c r="J499" i="2"/>
  <c r="I499" i="2" s="1"/>
  <c r="M499" i="2"/>
  <c r="L499" i="2" s="1"/>
  <c r="M278" i="2"/>
  <c r="L278" i="2" s="1"/>
  <c r="J278" i="2"/>
  <c r="I278" i="2" s="1"/>
  <c r="G278" i="2"/>
  <c r="F278" i="2" s="1"/>
  <c r="J282" i="2"/>
  <c r="I282" i="2" s="1"/>
  <c r="M282" i="2"/>
  <c r="L282" i="2" s="1"/>
  <c r="G282" i="2"/>
  <c r="F282" i="2" s="1"/>
  <c r="G619" i="2"/>
  <c r="F619" i="2" s="1"/>
  <c r="J619" i="2"/>
  <c r="I619" i="2" s="1"/>
  <c r="M619" i="2"/>
  <c r="L619" i="2" s="1"/>
  <c r="G623" i="2"/>
  <c r="F623" i="2" s="1"/>
  <c r="J623" i="2"/>
  <c r="I623" i="2" s="1"/>
  <c r="M623" i="2"/>
  <c r="L623" i="2" s="1"/>
  <c r="M618" i="2"/>
  <c r="L618" i="2" s="1"/>
  <c r="G618" i="2"/>
  <c r="F618" i="2" s="1"/>
  <c r="J618" i="2"/>
  <c r="I618" i="2" s="1"/>
  <c r="M630" i="2"/>
  <c r="L630" i="2" s="1"/>
  <c r="G630" i="2"/>
  <c r="F630" i="2" s="1"/>
  <c r="J630" i="2"/>
  <c r="I630" i="2" s="1"/>
  <c r="M638" i="2"/>
  <c r="L638" i="2" s="1"/>
  <c r="J638" i="2"/>
  <c r="I638" i="2" s="1"/>
  <c r="G638" i="2"/>
  <c r="F638" i="2" s="1"/>
  <c r="M632" i="2"/>
  <c r="L632" i="2" s="1"/>
  <c r="J632" i="2"/>
  <c r="I632" i="2" s="1"/>
  <c r="G632" i="2"/>
  <c r="F632" i="2" s="1"/>
  <c r="M699" i="2"/>
  <c r="L699" i="2" s="1"/>
  <c r="J699" i="2"/>
  <c r="I699" i="2" s="1"/>
  <c r="G699" i="2"/>
  <c r="F699" i="2" s="1"/>
  <c r="M704" i="2"/>
  <c r="L704" i="2" s="1"/>
  <c r="J704" i="2"/>
  <c r="I704" i="2" s="1"/>
  <c r="G704" i="2"/>
  <c r="F704" i="2" s="1"/>
  <c r="J706" i="2"/>
  <c r="I706" i="2" s="1"/>
  <c r="M706" i="2"/>
  <c r="L706" i="2" s="1"/>
  <c r="G706" i="2"/>
  <c r="F706" i="2" s="1"/>
  <c r="G711" i="2"/>
  <c r="F711" i="2" s="1"/>
  <c r="J711" i="2"/>
  <c r="I711" i="2" s="1"/>
  <c r="M711" i="2"/>
  <c r="L711" i="2" s="1"/>
  <c r="J61" i="2"/>
  <c r="I61" i="2" s="1"/>
  <c r="G61" i="2"/>
  <c r="F61" i="2" s="1"/>
  <c r="M61" i="2"/>
  <c r="L61" i="2" s="1"/>
  <c r="G64" i="2"/>
  <c r="F64" i="2" s="1"/>
  <c r="M64" i="2"/>
  <c r="L64" i="2" s="1"/>
  <c r="J64" i="2"/>
  <c r="I64" i="2" s="1"/>
  <c r="M528" i="2"/>
  <c r="L528" i="2" s="1"/>
  <c r="G528" i="2"/>
  <c r="F528" i="2" s="1"/>
  <c r="J528" i="2"/>
  <c r="I528" i="2" s="1"/>
  <c r="J495" i="2"/>
  <c r="I495" i="2" s="1"/>
  <c r="G495" i="2"/>
  <c r="F495" i="2" s="1"/>
  <c r="M495" i="2"/>
  <c r="L495" i="2" s="1"/>
  <c r="M507" i="2"/>
  <c r="L507" i="2" s="1"/>
  <c r="G507" i="2"/>
  <c r="F507" i="2" s="1"/>
  <c r="J507" i="2"/>
  <c r="I507" i="2" s="1"/>
  <c r="G290" i="2"/>
  <c r="F290" i="2" s="1"/>
  <c r="M290" i="2"/>
  <c r="L290" i="2" s="1"/>
  <c r="J290" i="2"/>
  <c r="I290" i="2" s="1"/>
  <c r="M300" i="2"/>
  <c r="L300" i="2" s="1"/>
  <c r="G300" i="2"/>
  <c r="F300" i="2" s="1"/>
  <c r="J300" i="2"/>
  <c r="I300" i="2" s="1"/>
  <c r="J324" i="2"/>
  <c r="I324" i="2" s="1"/>
  <c r="G324" i="2"/>
  <c r="F324" i="2" s="1"/>
  <c r="M324" i="2"/>
  <c r="L324" i="2" s="1"/>
  <c r="J323" i="2"/>
  <c r="I323" i="2" s="1"/>
  <c r="M323" i="2"/>
  <c r="L323" i="2" s="1"/>
  <c r="G323" i="2"/>
  <c r="F323" i="2" s="1"/>
  <c r="M305" i="2"/>
  <c r="L305" i="2" s="1"/>
  <c r="J305" i="2"/>
  <c r="I305" i="2" s="1"/>
  <c r="G305" i="2"/>
  <c r="F305" i="2" s="1"/>
  <c r="J303" i="2"/>
  <c r="I303" i="2" s="1"/>
  <c r="M303" i="2"/>
  <c r="L303" i="2" s="1"/>
  <c r="G303" i="2"/>
  <c r="F303" i="2" s="1"/>
  <c r="M665" i="2"/>
  <c r="L665" i="2" s="1"/>
  <c r="G665" i="2"/>
  <c r="F665" i="2" s="1"/>
  <c r="J665" i="2"/>
  <c r="I665" i="2" s="1"/>
  <c r="G651" i="2"/>
  <c r="F651" i="2" s="1"/>
  <c r="M651" i="2"/>
  <c r="L651" i="2" s="1"/>
  <c r="J651" i="2"/>
  <c r="I651" i="2" s="1"/>
  <c r="J652" i="2"/>
  <c r="I652" i="2" s="1"/>
  <c r="G652" i="2"/>
  <c r="F652" i="2" s="1"/>
  <c r="M652" i="2"/>
  <c r="L652" i="2" s="1"/>
  <c r="M739" i="2"/>
  <c r="L739" i="2" s="1"/>
  <c r="J739" i="2"/>
  <c r="I739" i="2" s="1"/>
  <c r="G739" i="2"/>
  <c r="F739" i="2" s="1"/>
  <c r="G277" i="2"/>
  <c r="F277" i="2" s="1"/>
  <c r="M277" i="2"/>
  <c r="L277" i="2" s="1"/>
  <c r="J277" i="2"/>
  <c r="I277" i="2" s="1"/>
  <c r="M44" i="2"/>
  <c r="L44" i="2" s="1"/>
  <c r="G44" i="2"/>
  <c r="F44" i="2" s="1"/>
  <c r="J44" i="2"/>
  <c r="I44" i="2" s="1"/>
  <c r="M368" i="2"/>
  <c r="L368" i="2" s="1"/>
  <c r="G368" i="2"/>
  <c r="F368" i="2" s="1"/>
  <c r="J368" i="2"/>
  <c r="I368" i="2" s="1"/>
  <c r="M123" i="2"/>
  <c r="L123" i="2" s="1"/>
  <c r="J123" i="2"/>
  <c r="I123" i="2" s="1"/>
  <c r="G123" i="2"/>
  <c r="F123" i="2" s="1"/>
  <c r="M142" i="2"/>
  <c r="L142" i="2" s="1"/>
  <c r="G142" i="2"/>
  <c r="F142" i="2" s="1"/>
  <c r="J142" i="2"/>
  <c r="I142" i="2" s="1"/>
  <c r="M358" i="2"/>
  <c r="L358" i="2" s="1"/>
  <c r="J358" i="2"/>
  <c r="I358" i="2" s="1"/>
  <c r="G358" i="2"/>
  <c r="F358" i="2" s="1"/>
  <c r="J621" i="2"/>
  <c r="I621" i="2" s="1"/>
  <c r="M621" i="2"/>
  <c r="L621" i="2" s="1"/>
  <c r="G621" i="2"/>
  <c r="F621" i="2" s="1"/>
  <c r="G642" i="2"/>
  <c r="F642" i="2" s="1"/>
  <c r="J642" i="2"/>
  <c r="I642" i="2" s="1"/>
  <c r="M642" i="2"/>
  <c r="L642" i="2" s="1"/>
  <c r="J63" i="2"/>
  <c r="I63" i="2" s="1"/>
  <c r="G63" i="2"/>
  <c r="F63" i="2" s="1"/>
  <c r="M63" i="2"/>
  <c r="L63" i="2" s="1"/>
  <c r="M181" i="2"/>
  <c r="L181" i="2" s="1"/>
  <c r="G181" i="2"/>
  <c r="F181" i="2" s="1"/>
  <c r="J181" i="2"/>
  <c r="I181" i="2" s="1"/>
  <c r="J202" i="2"/>
  <c r="I202" i="2" s="1"/>
  <c r="M202" i="2"/>
  <c r="L202" i="2" s="1"/>
  <c r="G202" i="2"/>
  <c r="F202" i="2" s="1"/>
  <c r="M221" i="2"/>
  <c r="L221" i="2" s="1"/>
  <c r="G221" i="2"/>
  <c r="F221" i="2" s="1"/>
  <c r="J221" i="2"/>
  <c r="I221" i="2" s="1"/>
  <c r="M343" i="2"/>
  <c r="L343" i="2" s="1"/>
  <c r="J343" i="2"/>
  <c r="I343" i="2" s="1"/>
  <c r="G343" i="2"/>
  <c r="F343" i="2" s="1"/>
  <c r="J347" i="2"/>
  <c r="I347" i="2" s="1"/>
  <c r="G347" i="2"/>
  <c r="F347" i="2" s="1"/>
  <c r="M347" i="2"/>
  <c r="L347" i="2" s="1"/>
  <c r="M252" i="2"/>
  <c r="L252" i="2" s="1"/>
  <c r="G252" i="2"/>
  <c r="F252" i="2" s="1"/>
  <c r="J252" i="2"/>
  <c r="I252" i="2" s="1"/>
  <c r="J273" i="2"/>
  <c r="I273" i="2" s="1"/>
  <c r="G273" i="2"/>
  <c r="F273" i="2" s="1"/>
  <c r="M273" i="2"/>
  <c r="L273" i="2" s="1"/>
  <c r="J275" i="2"/>
  <c r="I275" i="2" s="1"/>
  <c r="M275" i="2"/>
  <c r="L275" i="2" s="1"/>
  <c r="G275" i="2"/>
  <c r="F275" i="2" s="1"/>
  <c r="J281" i="2"/>
  <c r="I281" i="2" s="1"/>
  <c r="M281" i="2"/>
  <c r="L281" i="2" s="1"/>
  <c r="G281" i="2"/>
  <c r="F281" i="2" s="1"/>
  <c r="J284" i="2"/>
  <c r="I284" i="2" s="1"/>
  <c r="G284" i="2"/>
  <c r="F284" i="2" s="1"/>
  <c r="M284" i="2"/>
  <c r="L284" i="2" s="1"/>
  <c r="G286" i="2"/>
  <c r="F286" i="2" s="1"/>
  <c r="M286" i="2"/>
  <c r="L286" i="2" s="1"/>
  <c r="J286" i="2"/>
  <c r="I286" i="2" s="1"/>
  <c r="J287" i="2"/>
  <c r="I287" i="2" s="1"/>
  <c r="G287" i="2"/>
  <c r="F287" i="2" s="1"/>
  <c r="M287" i="2"/>
  <c r="L287" i="2" s="1"/>
  <c r="G288" i="2"/>
  <c r="F288" i="2" s="1"/>
  <c r="J288" i="2"/>
  <c r="I288" i="2" s="1"/>
  <c r="M288" i="2"/>
  <c r="L288" i="2" s="1"/>
  <c r="G289" i="2"/>
  <c r="F289" i="2" s="1"/>
  <c r="M289" i="2"/>
  <c r="L289" i="2" s="1"/>
  <c r="J289" i="2"/>
  <c r="I289" i="2" s="1"/>
  <c r="G293" i="2"/>
  <c r="F293" i="2" s="1"/>
  <c r="M293" i="2"/>
  <c r="L293" i="2" s="1"/>
  <c r="J293" i="2"/>
  <c r="I293" i="2" s="1"/>
  <c r="J294" i="2"/>
  <c r="I294" i="2" s="1"/>
  <c r="M294" i="2"/>
  <c r="L294" i="2" s="1"/>
  <c r="G294" i="2"/>
  <c r="F294" i="2" s="1"/>
  <c r="J295" i="2"/>
  <c r="I295" i="2" s="1"/>
  <c r="M295" i="2"/>
  <c r="L295" i="2" s="1"/>
  <c r="G295" i="2"/>
  <c r="F295" i="2" s="1"/>
  <c r="M335" i="2"/>
  <c r="L335" i="2" s="1"/>
  <c r="G335" i="2"/>
  <c r="F335" i="2" s="1"/>
  <c r="J335" i="2"/>
  <c r="I335" i="2" s="1"/>
  <c r="J390" i="2"/>
  <c r="I390" i="2" s="1"/>
  <c r="G390" i="2"/>
  <c r="F390" i="2" s="1"/>
  <c r="M390" i="2"/>
  <c r="L390" i="2" s="1"/>
  <c r="G461" i="2"/>
  <c r="F461" i="2" s="1"/>
  <c r="J461" i="2"/>
  <c r="I461" i="2" s="1"/>
  <c r="M461" i="2"/>
  <c r="L461" i="2" s="1"/>
  <c r="G463" i="2"/>
  <c r="F463" i="2" s="1"/>
  <c r="J463" i="2"/>
  <c r="I463" i="2" s="1"/>
  <c r="M463" i="2"/>
  <c r="L463" i="2" s="1"/>
  <c r="M464" i="2"/>
  <c r="L464" i="2" s="1"/>
  <c r="G464" i="2"/>
  <c r="F464" i="2" s="1"/>
  <c r="J464" i="2"/>
  <c r="I464" i="2" s="1"/>
  <c r="G467" i="2"/>
  <c r="F467" i="2" s="1"/>
  <c r="J467" i="2"/>
  <c r="I467" i="2" s="1"/>
  <c r="M467" i="2"/>
  <c r="L467" i="2" s="1"/>
  <c r="G472" i="2"/>
  <c r="F472" i="2" s="1"/>
  <c r="J472" i="2"/>
  <c r="I472" i="2" s="1"/>
  <c r="M472" i="2"/>
  <c r="L472" i="2" s="1"/>
  <c r="G473" i="2"/>
  <c r="F473" i="2" s="1"/>
  <c r="J473" i="2"/>
  <c r="I473" i="2" s="1"/>
  <c r="M473" i="2"/>
  <c r="L473" i="2" s="1"/>
  <c r="M476" i="2"/>
  <c r="L476" i="2" s="1"/>
  <c r="G476" i="2"/>
  <c r="F476" i="2" s="1"/>
  <c r="J476" i="2"/>
  <c r="I476" i="2" s="1"/>
  <c r="J477" i="2"/>
  <c r="I477" i="2" s="1"/>
  <c r="G477" i="2"/>
  <c r="F477" i="2" s="1"/>
  <c r="M477" i="2"/>
  <c r="L477" i="2" s="1"/>
  <c r="G481" i="2"/>
  <c r="F481" i="2" s="1"/>
  <c r="M481" i="2"/>
  <c r="L481" i="2" s="1"/>
  <c r="J481" i="2"/>
  <c r="I481" i="2" s="1"/>
  <c r="M483" i="2"/>
  <c r="L483" i="2" s="1"/>
  <c r="G483" i="2"/>
  <c r="F483" i="2" s="1"/>
  <c r="J483" i="2"/>
  <c r="I483" i="2" s="1"/>
  <c r="M583" i="2"/>
  <c r="L583" i="2" s="1"/>
  <c r="G583" i="2"/>
  <c r="F583" i="2" s="1"/>
  <c r="J583" i="2"/>
  <c r="I583" i="2" s="1"/>
  <c r="G587" i="2"/>
  <c r="F587" i="2" s="1"/>
  <c r="M587" i="2"/>
  <c r="L587" i="2" s="1"/>
  <c r="J587" i="2"/>
  <c r="I587" i="2" s="1"/>
  <c r="J590" i="2"/>
  <c r="I590" i="2" s="1"/>
  <c r="G590" i="2"/>
  <c r="F590" i="2" s="1"/>
  <c r="M590" i="2"/>
  <c r="L590" i="2" s="1"/>
  <c r="J594" i="2"/>
  <c r="I594" i="2" s="1"/>
  <c r="M594" i="2"/>
  <c r="L594" i="2" s="1"/>
  <c r="G594" i="2"/>
  <c r="F594" i="2" s="1"/>
  <c r="J595" i="2"/>
  <c r="I595" i="2" s="1"/>
  <c r="G595" i="2"/>
  <c r="F595" i="2" s="1"/>
  <c r="M595" i="2"/>
  <c r="L595" i="2" s="1"/>
  <c r="J596" i="2"/>
  <c r="I596" i="2" s="1"/>
  <c r="G596" i="2"/>
  <c r="F596" i="2" s="1"/>
  <c r="M596" i="2"/>
  <c r="L596" i="2" s="1"/>
  <c r="G597" i="2"/>
  <c r="F597" i="2" s="1"/>
  <c r="J597" i="2"/>
  <c r="I597" i="2" s="1"/>
  <c r="M597" i="2"/>
  <c r="L597" i="2" s="1"/>
  <c r="J601" i="2"/>
  <c r="I601" i="2" s="1"/>
  <c r="G601" i="2"/>
  <c r="F601" i="2" s="1"/>
  <c r="M601" i="2"/>
  <c r="L601" i="2" s="1"/>
  <c r="J603" i="2"/>
  <c r="I603" i="2" s="1"/>
  <c r="M603" i="2"/>
  <c r="L603" i="2" s="1"/>
  <c r="G603" i="2"/>
  <c r="F603" i="2" s="1"/>
  <c r="J604" i="2"/>
  <c r="I604" i="2" s="1"/>
  <c r="G604" i="2"/>
  <c r="F604" i="2" s="1"/>
  <c r="M604" i="2"/>
  <c r="L604" i="2" s="1"/>
  <c r="J607" i="2"/>
  <c r="I607" i="2" s="1"/>
  <c r="G607" i="2"/>
  <c r="F607" i="2" s="1"/>
  <c r="M607" i="2"/>
  <c r="L607" i="2" s="1"/>
  <c r="G109" i="2"/>
  <c r="F109" i="2" s="1"/>
  <c r="M109" i="2"/>
  <c r="L109" i="2" s="1"/>
  <c r="J109" i="2"/>
  <c r="I109" i="2" s="1"/>
  <c r="M119" i="2"/>
  <c r="L119" i="2" s="1"/>
  <c r="G119" i="2"/>
  <c r="F119" i="2" s="1"/>
  <c r="J119" i="2"/>
  <c r="I119" i="2" s="1"/>
  <c r="M246" i="2"/>
  <c r="L246" i="2" s="1"/>
  <c r="G246" i="2"/>
  <c r="F246" i="2" s="1"/>
  <c r="J246" i="2"/>
  <c r="I246" i="2" s="1"/>
  <c r="G254" i="2"/>
  <c r="F254" i="2" s="1"/>
  <c r="M254" i="2"/>
  <c r="L254" i="2" s="1"/>
  <c r="J254" i="2"/>
  <c r="I254" i="2" s="1"/>
  <c r="J258" i="2"/>
  <c r="I258" i="2" s="1"/>
  <c r="G258" i="2"/>
  <c r="F258" i="2" s="1"/>
  <c r="M258" i="2"/>
  <c r="L258" i="2" s="1"/>
  <c r="G313" i="2"/>
  <c r="F313" i="2" s="1"/>
  <c r="J313" i="2"/>
  <c r="I313" i="2" s="1"/>
  <c r="M313" i="2"/>
  <c r="L313" i="2" s="1"/>
  <c r="J326" i="2"/>
  <c r="I326" i="2" s="1"/>
  <c r="G326" i="2"/>
  <c r="F326" i="2" s="1"/>
  <c r="M326" i="2"/>
  <c r="L326" i="2" s="1"/>
  <c r="J377" i="2"/>
  <c r="I377" i="2" s="1"/>
  <c r="G377" i="2"/>
  <c r="F377" i="2" s="1"/>
  <c r="M377" i="2"/>
  <c r="L377" i="2" s="1"/>
  <c r="G509" i="2"/>
  <c r="F509" i="2" s="1"/>
  <c r="M509" i="2"/>
  <c r="L509" i="2" s="1"/>
  <c r="J509" i="2"/>
  <c r="I509" i="2" s="1"/>
  <c r="J510" i="2"/>
  <c r="I510" i="2" s="1"/>
  <c r="M510" i="2"/>
  <c r="L510" i="2" s="1"/>
  <c r="G510" i="2"/>
  <c r="F510" i="2" s="1"/>
  <c r="J513" i="2"/>
  <c r="I513" i="2" s="1"/>
  <c r="M513" i="2"/>
  <c r="L513" i="2" s="1"/>
  <c r="G513" i="2"/>
  <c r="F513" i="2" s="1"/>
  <c r="M520" i="2"/>
  <c r="L520" i="2" s="1"/>
  <c r="G520" i="2"/>
  <c r="F520" i="2" s="1"/>
  <c r="J520" i="2"/>
  <c r="I520" i="2" s="1"/>
  <c r="G521" i="2"/>
  <c r="F521" i="2" s="1"/>
  <c r="M521" i="2"/>
  <c r="L521" i="2" s="1"/>
  <c r="J521" i="2"/>
  <c r="I521" i="2" s="1"/>
  <c r="J525" i="2"/>
  <c r="I525" i="2" s="1"/>
  <c r="G525" i="2"/>
  <c r="F525" i="2" s="1"/>
  <c r="M525" i="2"/>
  <c r="L525" i="2" s="1"/>
  <c r="J545" i="2"/>
  <c r="I545" i="2" s="1"/>
  <c r="G545" i="2"/>
  <c r="F545" i="2" s="1"/>
  <c r="M545" i="2"/>
  <c r="L545" i="2" s="1"/>
  <c r="G559" i="2"/>
  <c r="F559" i="2" s="1"/>
  <c r="M559" i="2"/>
  <c r="L559" i="2" s="1"/>
  <c r="J559" i="2"/>
  <c r="I559" i="2" s="1"/>
  <c r="J563" i="2"/>
  <c r="I563" i="2" s="1"/>
  <c r="G563" i="2"/>
  <c r="F563" i="2" s="1"/>
  <c r="M563" i="2"/>
  <c r="L563" i="2" s="1"/>
  <c r="J564" i="2"/>
  <c r="I564" i="2" s="1"/>
  <c r="G564" i="2"/>
  <c r="F564" i="2" s="1"/>
  <c r="M564" i="2"/>
  <c r="L564" i="2" s="1"/>
  <c r="M568" i="2"/>
  <c r="L568" i="2" s="1"/>
  <c r="G568" i="2"/>
  <c r="F568" i="2" s="1"/>
  <c r="J568" i="2"/>
  <c r="I568" i="2" s="1"/>
  <c r="G573" i="2"/>
  <c r="F573" i="2" s="1"/>
  <c r="J573" i="2"/>
  <c r="I573" i="2" s="1"/>
  <c r="M573" i="2"/>
  <c r="L573" i="2" s="1"/>
  <c r="M658" i="2"/>
  <c r="L658" i="2" s="1"/>
  <c r="J658" i="2"/>
  <c r="I658" i="2" s="1"/>
  <c r="G658" i="2"/>
  <c r="F658" i="2" s="1"/>
  <c r="G226" i="2"/>
  <c r="F226" i="2" s="1"/>
  <c r="J226" i="2"/>
  <c r="I226" i="2" s="1"/>
  <c r="M226" i="2"/>
  <c r="L226" i="2" s="1"/>
  <c r="J34" i="2"/>
  <c r="I34" i="2" s="1"/>
  <c r="M34" i="2"/>
  <c r="L34" i="2" s="1"/>
  <c r="G34" i="2"/>
  <c r="F34" i="2" s="1"/>
  <c r="M35" i="2"/>
  <c r="L35" i="2" s="1"/>
  <c r="G35" i="2"/>
  <c r="F35" i="2" s="1"/>
  <c r="J35" i="2"/>
  <c r="I35" i="2" s="1"/>
  <c r="M207" i="2"/>
  <c r="L207" i="2" s="1"/>
  <c r="J207" i="2"/>
  <c r="I207" i="2" s="1"/>
  <c r="G207" i="2"/>
  <c r="F207" i="2" s="1"/>
  <c r="J406" i="2"/>
  <c r="I406" i="2" s="1"/>
  <c r="M406" i="2"/>
  <c r="L406" i="2" s="1"/>
  <c r="G406" i="2"/>
  <c r="F406" i="2" s="1"/>
  <c r="M454" i="2"/>
  <c r="L454" i="2" s="1"/>
  <c r="J454" i="2"/>
  <c r="I454" i="2" s="1"/>
  <c r="G454" i="2"/>
  <c r="F454" i="2" s="1"/>
  <c r="G4" i="2"/>
  <c r="F4" i="2" s="1"/>
  <c r="J4" i="2"/>
  <c r="I4" i="2" s="1"/>
  <c r="M4" i="2"/>
  <c r="L4" i="2" s="1"/>
  <c r="J8" i="2"/>
  <c r="I8" i="2" s="1"/>
  <c r="M8" i="2"/>
  <c r="L8" i="2" s="1"/>
  <c r="G8" i="2"/>
  <c r="F8" i="2" s="1"/>
  <c r="G9" i="2"/>
  <c r="F9" i="2" s="1"/>
  <c r="J9" i="2"/>
  <c r="I9" i="2" s="1"/>
  <c r="M9" i="2"/>
  <c r="L9" i="2" s="1"/>
  <c r="M12" i="2"/>
  <c r="L12" i="2" s="1"/>
  <c r="J12" i="2"/>
  <c r="I12" i="2" s="1"/>
  <c r="G12" i="2"/>
  <c r="F12" i="2" s="1"/>
  <c r="M16" i="2"/>
  <c r="L16" i="2" s="1"/>
  <c r="J16" i="2"/>
  <c r="I16" i="2" s="1"/>
  <c r="G16" i="2"/>
  <c r="F16" i="2" s="1"/>
  <c r="M18" i="2"/>
  <c r="L18" i="2" s="1"/>
  <c r="J18" i="2"/>
  <c r="I18" i="2" s="1"/>
  <c r="G18" i="2"/>
  <c r="F18" i="2" s="1"/>
  <c r="J19" i="2"/>
  <c r="I19" i="2" s="1"/>
  <c r="G19" i="2"/>
  <c r="F19" i="2" s="1"/>
  <c r="M19" i="2"/>
  <c r="L19" i="2" s="1"/>
  <c r="G23" i="2"/>
  <c r="F23" i="2" s="1"/>
  <c r="M23" i="2"/>
  <c r="L23" i="2" s="1"/>
  <c r="J23" i="2"/>
  <c r="I23" i="2" s="1"/>
  <c r="M25" i="2"/>
  <c r="L25" i="2" s="1"/>
  <c r="G25" i="2"/>
  <c r="F25" i="2" s="1"/>
  <c r="J25" i="2"/>
  <c r="I25" i="2" s="1"/>
  <c r="M37" i="2"/>
  <c r="L37" i="2" s="1"/>
  <c r="J37" i="2"/>
  <c r="I37" i="2" s="1"/>
  <c r="G37" i="2"/>
  <c r="F37" i="2" s="1"/>
  <c r="M39" i="2"/>
  <c r="L39" i="2" s="1"/>
  <c r="G39" i="2"/>
  <c r="F39" i="2" s="1"/>
  <c r="J39" i="2"/>
  <c r="I39" i="2" s="1"/>
  <c r="M42" i="2"/>
  <c r="L42" i="2" s="1"/>
  <c r="G42" i="2"/>
  <c r="F42" i="2" s="1"/>
  <c r="J42" i="2"/>
  <c r="I42" i="2" s="1"/>
  <c r="M46" i="2"/>
  <c r="L46" i="2" s="1"/>
  <c r="G46" i="2"/>
  <c r="F46" i="2" s="1"/>
  <c r="J46" i="2"/>
  <c r="I46" i="2" s="1"/>
  <c r="J47" i="2"/>
  <c r="I47" i="2" s="1"/>
  <c r="G47" i="2"/>
  <c r="F47" i="2" s="1"/>
  <c r="M47" i="2"/>
  <c r="L47" i="2" s="1"/>
  <c r="J53" i="2"/>
  <c r="I53" i="2" s="1"/>
  <c r="G53" i="2"/>
  <c r="F53" i="2" s="1"/>
  <c r="M53" i="2"/>
  <c r="L53" i="2" s="1"/>
  <c r="J55" i="2"/>
  <c r="I55" i="2" s="1"/>
  <c r="M55" i="2"/>
  <c r="L55" i="2" s="1"/>
  <c r="G55" i="2"/>
  <c r="F55" i="2" s="1"/>
  <c r="M57" i="2"/>
  <c r="L57" i="2" s="1"/>
  <c r="G57" i="2"/>
  <c r="F57" i="2" s="1"/>
  <c r="J57" i="2"/>
  <c r="I57" i="2" s="1"/>
  <c r="M62" i="2"/>
  <c r="L62" i="2" s="1"/>
  <c r="G62" i="2"/>
  <c r="F62" i="2" s="1"/>
  <c r="J62" i="2"/>
  <c r="I62" i="2" s="1"/>
  <c r="M67" i="2"/>
  <c r="L67" i="2" s="1"/>
  <c r="J67" i="2"/>
  <c r="I67" i="2" s="1"/>
  <c r="G67" i="2"/>
  <c r="F67" i="2" s="1"/>
  <c r="G68" i="2"/>
  <c r="F68" i="2" s="1"/>
  <c r="M68" i="2"/>
  <c r="L68" i="2" s="1"/>
  <c r="J68" i="2"/>
  <c r="I68" i="2" s="1"/>
  <c r="M72" i="2"/>
  <c r="L72" i="2" s="1"/>
  <c r="G72" i="2"/>
  <c r="F72" i="2" s="1"/>
  <c r="J72" i="2"/>
  <c r="I72" i="2" s="1"/>
  <c r="J80" i="2"/>
  <c r="I80" i="2" s="1"/>
  <c r="M80" i="2"/>
  <c r="L80" i="2" s="1"/>
  <c r="G80" i="2"/>
  <c r="F80" i="2" s="1"/>
  <c r="M99" i="2"/>
  <c r="L99" i="2" s="1"/>
  <c r="J99" i="2"/>
  <c r="I99" i="2" s="1"/>
  <c r="G99" i="2"/>
  <c r="F99" i="2" s="1"/>
  <c r="M102" i="2"/>
  <c r="L102" i="2" s="1"/>
  <c r="G102" i="2"/>
  <c r="F102" i="2" s="1"/>
  <c r="J102" i="2"/>
  <c r="I102" i="2" s="1"/>
  <c r="J107" i="2"/>
  <c r="I107" i="2" s="1"/>
  <c r="M107" i="2"/>
  <c r="L107" i="2" s="1"/>
  <c r="G107" i="2"/>
  <c r="F107" i="2" s="1"/>
  <c r="J112" i="2"/>
  <c r="I112" i="2" s="1"/>
  <c r="G112" i="2"/>
  <c r="F112" i="2" s="1"/>
  <c r="M112" i="2"/>
  <c r="L112" i="2" s="1"/>
  <c r="G133" i="2"/>
  <c r="F133" i="2" s="1"/>
  <c r="M133" i="2"/>
  <c r="L133" i="2" s="1"/>
  <c r="J133" i="2"/>
  <c r="I133" i="2" s="1"/>
  <c r="G139" i="2"/>
  <c r="F139" i="2" s="1"/>
  <c r="M139" i="2"/>
  <c r="L139" i="2" s="1"/>
  <c r="J139" i="2"/>
  <c r="I139" i="2" s="1"/>
  <c r="J140" i="2"/>
  <c r="I140" i="2" s="1"/>
  <c r="M140" i="2"/>
  <c r="L140" i="2" s="1"/>
  <c r="G140" i="2"/>
  <c r="F140" i="2" s="1"/>
  <c r="M147" i="2"/>
  <c r="L147" i="2" s="1"/>
  <c r="G147" i="2"/>
  <c r="F147" i="2" s="1"/>
  <c r="J147" i="2"/>
  <c r="I147" i="2" s="1"/>
  <c r="J156" i="2"/>
  <c r="I156" i="2" s="1"/>
  <c r="M156" i="2"/>
  <c r="L156" i="2" s="1"/>
  <c r="G156" i="2"/>
  <c r="F156" i="2" s="1"/>
  <c r="G157" i="2"/>
  <c r="F157" i="2" s="1"/>
  <c r="M157" i="2"/>
  <c r="L157" i="2" s="1"/>
  <c r="J157" i="2"/>
  <c r="I157" i="2" s="1"/>
  <c r="M158" i="2"/>
  <c r="L158" i="2" s="1"/>
  <c r="J158" i="2"/>
  <c r="I158" i="2" s="1"/>
  <c r="G158" i="2"/>
  <c r="F158" i="2" s="1"/>
  <c r="M165" i="2"/>
  <c r="L165" i="2" s="1"/>
  <c r="J165" i="2"/>
  <c r="I165" i="2" s="1"/>
  <c r="G165" i="2"/>
  <c r="F165" i="2" s="1"/>
  <c r="M171" i="2"/>
  <c r="L171" i="2" s="1"/>
  <c r="J171" i="2"/>
  <c r="I171" i="2" s="1"/>
  <c r="G171" i="2"/>
  <c r="F171" i="2" s="1"/>
  <c r="J179" i="2"/>
  <c r="I179" i="2" s="1"/>
  <c r="M179" i="2"/>
  <c r="L179" i="2" s="1"/>
  <c r="G179" i="2"/>
  <c r="F179" i="2" s="1"/>
  <c r="M187" i="2"/>
  <c r="L187" i="2" s="1"/>
  <c r="G187" i="2"/>
  <c r="F187" i="2" s="1"/>
  <c r="J187" i="2"/>
  <c r="I187" i="2" s="1"/>
  <c r="J193" i="2"/>
  <c r="I193" i="2" s="1"/>
  <c r="M193" i="2"/>
  <c r="L193" i="2" s="1"/>
  <c r="G193" i="2"/>
  <c r="F193" i="2" s="1"/>
  <c r="M194" i="2"/>
  <c r="L194" i="2" s="1"/>
  <c r="J194" i="2"/>
  <c r="I194" i="2" s="1"/>
  <c r="G194" i="2"/>
  <c r="F194" i="2" s="1"/>
  <c r="J197" i="2"/>
  <c r="I197" i="2" s="1"/>
  <c r="M197" i="2"/>
  <c r="L197" i="2" s="1"/>
  <c r="G197" i="2"/>
  <c r="F197" i="2" s="1"/>
  <c r="G217" i="2"/>
  <c r="F217" i="2" s="1"/>
  <c r="M217" i="2"/>
  <c r="L217" i="2" s="1"/>
  <c r="J217" i="2"/>
  <c r="I217" i="2" s="1"/>
  <c r="G355" i="2"/>
  <c r="F355" i="2" s="1"/>
  <c r="M355" i="2"/>
  <c r="L355" i="2" s="1"/>
  <c r="J355" i="2"/>
  <c r="I355" i="2" s="1"/>
  <c r="J364" i="2"/>
  <c r="I364" i="2" s="1"/>
  <c r="G364" i="2"/>
  <c r="F364" i="2" s="1"/>
  <c r="M364" i="2"/>
  <c r="L364" i="2" s="1"/>
  <c r="J381" i="2"/>
  <c r="I381" i="2" s="1"/>
  <c r="M381" i="2"/>
  <c r="L381" i="2" s="1"/>
  <c r="G381" i="2"/>
  <c r="F381" i="2" s="1"/>
  <c r="J385" i="2"/>
  <c r="I385" i="2" s="1"/>
  <c r="G385" i="2"/>
  <c r="F385" i="2" s="1"/>
  <c r="M385" i="2"/>
  <c r="L385" i="2" s="1"/>
  <c r="G386" i="2"/>
  <c r="F386" i="2" s="1"/>
  <c r="M386" i="2"/>
  <c r="L386" i="2" s="1"/>
  <c r="J386" i="2"/>
  <c r="I386" i="2" s="1"/>
  <c r="J387" i="2"/>
  <c r="I387" i="2" s="1"/>
  <c r="M387" i="2"/>
  <c r="L387" i="2" s="1"/>
  <c r="G387" i="2"/>
  <c r="F387" i="2" s="1"/>
  <c r="M399" i="2"/>
  <c r="L399" i="2" s="1"/>
  <c r="G399" i="2"/>
  <c r="F399" i="2" s="1"/>
  <c r="J399" i="2"/>
  <c r="I399" i="2" s="1"/>
  <c r="M400" i="2"/>
  <c r="L400" i="2" s="1"/>
  <c r="G400" i="2"/>
  <c r="F400" i="2" s="1"/>
  <c r="J400" i="2"/>
  <c r="I400" i="2" s="1"/>
  <c r="J401" i="2"/>
  <c r="I401" i="2" s="1"/>
  <c r="G401" i="2"/>
  <c r="F401" i="2" s="1"/>
  <c r="M401" i="2"/>
  <c r="L401" i="2" s="1"/>
  <c r="M418" i="2"/>
  <c r="L418" i="2" s="1"/>
  <c r="J418" i="2"/>
  <c r="I418" i="2" s="1"/>
  <c r="G418" i="2"/>
  <c r="F418" i="2" s="1"/>
  <c r="G433" i="2"/>
  <c r="F433" i="2" s="1"/>
  <c r="M433" i="2"/>
  <c r="L433" i="2" s="1"/>
  <c r="J433" i="2"/>
  <c r="I433" i="2" s="1"/>
  <c r="G434" i="2"/>
  <c r="F434" i="2" s="1"/>
  <c r="M434" i="2"/>
  <c r="L434" i="2" s="1"/>
  <c r="J434" i="2"/>
  <c r="I434" i="2" s="1"/>
  <c r="J437" i="2"/>
  <c r="I437" i="2" s="1"/>
  <c r="G437" i="2"/>
  <c r="F437" i="2" s="1"/>
  <c r="M437" i="2"/>
  <c r="L437" i="2" s="1"/>
  <c r="J442" i="2"/>
  <c r="I442" i="2" s="1"/>
  <c r="G442" i="2"/>
  <c r="F442" i="2" s="1"/>
  <c r="M442" i="2"/>
  <c r="L442" i="2" s="1"/>
  <c r="M450" i="2"/>
  <c r="L450" i="2" s="1"/>
  <c r="J450" i="2"/>
  <c r="I450" i="2" s="1"/>
  <c r="G450" i="2"/>
  <c r="F450" i="2" s="1"/>
  <c r="M712" i="2"/>
  <c r="L712" i="2" s="1"/>
  <c r="J712" i="2"/>
  <c r="I712" i="2" s="1"/>
  <c r="G712" i="2"/>
  <c r="F712" i="2" s="1"/>
  <c r="M713" i="2"/>
  <c r="L713" i="2" s="1"/>
  <c r="J713" i="2"/>
  <c r="I713" i="2" s="1"/>
  <c r="G713" i="2"/>
  <c r="F713" i="2" s="1"/>
  <c r="J717" i="2"/>
  <c r="I717" i="2" s="1"/>
  <c r="G717" i="2"/>
  <c r="F717" i="2" s="1"/>
  <c r="M717" i="2"/>
  <c r="L717" i="2" s="1"/>
  <c r="J728" i="2"/>
  <c r="I728" i="2" s="1"/>
  <c r="M728" i="2"/>
  <c r="L728" i="2" s="1"/>
  <c r="G728" i="2"/>
  <c r="F728" i="2" s="1"/>
  <c r="J730" i="2"/>
  <c r="I730" i="2" s="1"/>
  <c r="G730" i="2"/>
  <c r="F730" i="2" s="1"/>
  <c r="M730" i="2"/>
  <c r="L730" i="2" s="1"/>
  <c r="M738" i="2"/>
  <c r="L738" i="2" s="1"/>
  <c r="J738" i="2"/>
  <c r="I738" i="2" s="1"/>
  <c r="G738" i="2"/>
  <c r="F738" i="2" s="1"/>
  <c r="Q151" i="2"/>
  <c r="O151" i="2"/>
  <c r="Q5" i="2"/>
  <c r="O5" i="2"/>
  <c r="Q225" i="2"/>
  <c r="O225" i="2"/>
  <c r="Q432" i="2"/>
  <c r="O432" i="2"/>
  <c r="Q65" i="2"/>
  <c r="O65" i="2"/>
  <c r="Q200" i="2"/>
  <c r="O200" i="2"/>
  <c r="Q409" i="2"/>
  <c r="O409" i="2"/>
  <c r="Q135" i="2"/>
  <c r="O135" i="2"/>
  <c r="Q168" i="2"/>
  <c r="O168" i="2"/>
  <c r="Q184" i="2"/>
  <c r="O184" i="2"/>
  <c r="Q190" i="2"/>
  <c r="O190" i="2"/>
  <c r="Q417" i="2"/>
  <c r="O417" i="2"/>
  <c r="Q14" i="2"/>
  <c r="O14" i="2"/>
  <c r="Q216" i="2"/>
  <c r="O216" i="2"/>
  <c r="Q725" i="2"/>
  <c r="O725" i="2"/>
  <c r="Q431" i="2"/>
  <c r="O431" i="2"/>
  <c r="Q735" i="2"/>
  <c r="O735" i="2"/>
  <c r="Q743" i="2"/>
  <c r="O743" i="2"/>
  <c r="Q36" i="2"/>
  <c r="O36" i="2"/>
  <c r="Q77" i="2"/>
  <c r="O77" i="2"/>
  <c r="Q93" i="2"/>
  <c r="O93" i="2"/>
  <c r="Q145" i="2"/>
  <c r="O145" i="2"/>
  <c r="Q146" i="2"/>
  <c r="O146" i="2"/>
  <c r="Q198" i="2"/>
  <c r="O198" i="2"/>
  <c r="Q722" i="2"/>
  <c r="O722" i="2"/>
  <c r="Q7" i="2"/>
  <c r="O7" i="2"/>
  <c r="Q13" i="2"/>
  <c r="O13" i="2"/>
  <c r="Q118" i="2"/>
  <c r="O118" i="2"/>
  <c r="Q126" i="2"/>
  <c r="O126" i="2"/>
  <c r="Q134" i="2"/>
  <c r="O134" i="2"/>
  <c r="Q141" i="2"/>
  <c r="O141" i="2"/>
  <c r="Q149" i="2"/>
  <c r="O149" i="2"/>
  <c r="Q155" i="2"/>
  <c r="O155" i="2"/>
  <c r="Q160" i="2"/>
  <c r="O160" i="2"/>
  <c r="Q169" i="2"/>
  <c r="O169" i="2"/>
  <c r="Q170" i="2"/>
  <c r="O170" i="2"/>
  <c r="Q172" i="2"/>
  <c r="O172" i="2"/>
  <c r="Q186" i="2"/>
  <c r="O186" i="2"/>
  <c r="Q192" i="2"/>
  <c r="O192" i="2"/>
  <c r="Q195" i="2"/>
  <c r="O195" i="2"/>
  <c r="Q206" i="2"/>
  <c r="O206" i="2"/>
  <c r="Q211" i="2"/>
  <c r="O211" i="2"/>
  <c r="Q227" i="2"/>
  <c r="O227" i="2"/>
  <c r="Q229" i="2"/>
  <c r="O229" i="2"/>
  <c r="Q348" i="2"/>
  <c r="O348" i="2"/>
  <c r="Q350" i="2"/>
  <c r="O350" i="2"/>
  <c r="Q353" i="2"/>
  <c r="O353" i="2"/>
  <c r="Q359" i="2"/>
  <c r="O359" i="2"/>
  <c r="Q362" i="2"/>
  <c r="O362" i="2"/>
  <c r="Q363" i="2"/>
  <c r="O363" i="2"/>
  <c r="Q365" i="2"/>
  <c r="O365" i="2"/>
  <c r="Q366" i="2"/>
  <c r="O366" i="2"/>
  <c r="Q383" i="2"/>
  <c r="O383" i="2"/>
  <c r="Q384" i="2"/>
  <c r="O384" i="2"/>
  <c r="Q398" i="2"/>
  <c r="O398" i="2"/>
  <c r="Q407" i="2"/>
  <c r="O407" i="2"/>
  <c r="Q422" i="2"/>
  <c r="O422" i="2"/>
  <c r="Q449" i="2"/>
  <c r="O449" i="2"/>
  <c r="Q6" i="2"/>
  <c r="O6" i="2"/>
  <c r="Q10" i="2"/>
  <c r="O10" i="2"/>
  <c r="Q11" i="2"/>
  <c r="O11" i="2"/>
  <c r="Q17" i="2"/>
  <c r="O17" i="2"/>
  <c r="Q21" i="2"/>
  <c r="O21" i="2"/>
  <c r="Q22" i="2"/>
  <c r="O22" i="2"/>
  <c r="Q24" i="2"/>
  <c r="O24" i="2"/>
  <c r="Q26" i="2"/>
  <c r="O26" i="2"/>
  <c r="Q29" i="2"/>
  <c r="O29" i="2"/>
  <c r="P746" i="2"/>
  <c r="Q31" i="2"/>
  <c r="O31" i="2"/>
  <c r="Q32" i="2"/>
  <c r="O32" i="2"/>
  <c r="Q33" i="2"/>
  <c r="O33" i="2"/>
  <c r="Q38" i="2"/>
  <c r="O38" i="2"/>
  <c r="Q43" i="2"/>
  <c r="O43" i="2"/>
  <c r="Q45" i="2"/>
  <c r="O45" i="2"/>
  <c r="Q49" i="2"/>
  <c r="O49" i="2"/>
  <c r="Q50" i="2"/>
  <c r="O50" i="2"/>
  <c r="Q54" i="2"/>
  <c r="O54" i="2"/>
  <c r="Q60" i="2"/>
  <c r="O60" i="2"/>
  <c r="Q66" i="2"/>
  <c r="O66" i="2"/>
  <c r="Q69" i="2"/>
  <c r="O69" i="2"/>
  <c r="Q70" i="2"/>
  <c r="O70" i="2"/>
  <c r="Q74" i="2"/>
  <c r="O74" i="2"/>
  <c r="Q75" i="2"/>
  <c r="O75" i="2"/>
  <c r="Q81" i="2"/>
  <c r="O81" i="2"/>
  <c r="Q82" i="2"/>
  <c r="O82" i="2"/>
  <c r="Q85" i="2"/>
  <c r="O85" i="2"/>
  <c r="Q87" i="2"/>
  <c r="O87" i="2"/>
  <c r="Q88" i="2"/>
  <c r="O88" i="2"/>
  <c r="Q91" i="2"/>
  <c r="O91" i="2"/>
  <c r="Q94" i="2"/>
  <c r="O94" i="2"/>
  <c r="Q97" i="2"/>
  <c r="O97" i="2"/>
  <c r="Q98" i="2"/>
  <c r="O98" i="2"/>
  <c r="Q101" i="2"/>
  <c r="O101" i="2"/>
  <c r="Q108" i="2"/>
  <c r="O108" i="2"/>
  <c r="Q111" i="2"/>
  <c r="O111" i="2"/>
  <c r="Q113" i="2"/>
  <c r="O113" i="2"/>
  <c r="Q114" i="2"/>
  <c r="O114" i="2"/>
  <c r="Q115" i="2"/>
  <c r="O115" i="2"/>
  <c r="Q117" i="2"/>
  <c r="O117" i="2"/>
  <c r="Q121" i="2"/>
  <c r="O121" i="2"/>
  <c r="Q127" i="2"/>
  <c r="O127" i="2"/>
  <c r="Q128" i="2"/>
  <c r="O128" i="2"/>
  <c r="Q129" i="2"/>
  <c r="O129" i="2"/>
  <c r="Q130" i="2"/>
  <c r="O130" i="2"/>
  <c r="Q138" i="2"/>
  <c r="O138" i="2"/>
  <c r="Q144" i="2"/>
  <c r="O144" i="2"/>
  <c r="Q148" i="2"/>
  <c r="O148" i="2"/>
  <c r="Q150" i="2"/>
  <c r="O150" i="2"/>
  <c r="Q152" i="2"/>
  <c r="O152" i="2"/>
  <c r="Q154" i="2"/>
  <c r="O154" i="2"/>
  <c r="Q159" i="2"/>
  <c r="O159" i="2"/>
  <c r="Q161" i="2"/>
  <c r="O161" i="2"/>
  <c r="Q173" i="2"/>
  <c r="O173" i="2"/>
  <c r="Q174" i="2"/>
  <c r="O174" i="2"/>
  <c r="Q176" i="2"/>
  <c r="O176" i="2"/>
  <c r="Q180" i="2"/>
  <c r="O180" i="2"/>
  <c r="Q182" i="2"/>
  <c r="O182" i="2"/>
  <c r="Q185" i="2"/>
  <c r="O185" i="2"/>
  <c r="Q189" i="2"/>
  <c r="O189" i="2"/>
  <c r="Q208" i="2"/>
  <c r="O208" i="2"/>
  <c r="Q210" i="2"/>
  <c r="O210" i="2"/>
  <c r="Q212" i="2"/>
  <c r="O212" i="2"/>
  <c r="Q214" i="2"/>
  <c r="O214" i="2"/>
  <c r="Q215" i="2"/>
  <c r="O215" i="2"/>
  <c r="Q218" i="2"/>
  <c r="O218" i="2"/>
  <c r="Q219" i="2"/>
  <c r="O219" i="2"/>
  <c r="Q228" i="2"/>
  <c r="O228" i="2"/>
  <c r="Q354" i="2"/>
  <c r="O354" i="2"/>
  <c r="Q360" i="2"/>
  <c r="O360" i="2"/>
  <c r="Q361" i="2"/>
  <c r="O361" i="2"/>
  <c r="Q375" i="2"/>
  <c r="O375" i="2"/>
  <c r="Q376" i="2"/>
  <c r="O376" i="2"/>
  <c r="Q379" i="2"/>
  <c r="O379" i="2"/>
  <c r="Q388" i="2"/>
  <c r="O388" i="2"/>
  <c r="Q389" i="2"/>
  <c r="O389" i="2"/>
  <c r="Q394" i="2"/>
  <c r="O394" i="2"/>
  <c r="Q404" i="2"/>
  <c r="O404" i="2"/>
  <c r="Q413" i="2"/>
  <c r="O413" i="2"/>
  <c r="Q414" i="2"/>
  <c r="O414" i="2"/>
  <c r="Q416" i="2"/>
  <c r="O416" i="2"/>
  <c r="Q420" i="2"/>
  <c r="O420" i="2"/>
  <c r="Q426" i="2"/>
  <c r="O426" i="2"/>
  <c r="Q430" i="2"/>
  <c r="O430" i="2"/>
  <c r="Q438" i="2"/>
  <c r="O438" i="2"/>
  <c r="Q443" i="2"/>
  <c r="O443" i="2"/>
  <c r="Q457" i="2"/>
  <c r="O457" i="2"/>
  <c r="Q716" i="2"/>
  <c r="O716" i="2"/>
  <c r="Q720" i="2"/>
  <c r="O720" i="2"/>
  <c r="Q721" i="2"/>
  <c r="O721" i="2"/>
  <c r="Q731" i="2"/>
  <c r="O731" i="2"/>
  <c r="L2" i="2" l="1"/>
  <c r="I2" i="2"/>
  <c r="F2" i="2"/>
  <c r="J151" i="2"/>
  <c r="I151" i="2" s="1"/>
  <c r="G151" i="2"/>
  <c r="F151" i="2" s="1"/>
  <c r="M151" i="2"/>
  <c r="L151" i="2" s="1"/>
  <c r="M5" i="2"/>
  <c r="J5" i="2"/>
  <c r="G5" i="2"/>
  <c r="G225" i="2"/>
  <c r="F225" i="2" s="1"/>
  <c r="M225" i="2"/>
  <c r="L225" i="2" s="1"/>
  <c r="J225" i="2"/>
  <c r="I225" i="2" s="1"/>
  <c r="J432" i="2"/>
  <c r="I432" i="2" s="1"/>
  <c r="M432" i="2"/>
  <c r="L432" i="2" s="1"/>
  <c r="G432" i="2"/>
  <c r="F432" i="2" s="1"/>
  <c r="G65" i="2"/>
  <c r="F65" i="2" s="1"/>
  <c r="J65" i="2"/>
  <c r="I65" i="2" s="1"/>
  <c r="M65" i="2"/>
  <c r="L65" i="2" s="1"/>
  <c r="G200" i="2"/>
  <c r="F200" i="2" s="1"/>
  <c r="J200" i="2"/>
  <c r="I200" i="2" s="1"/>
  <c r="M200" i="2"/>
  <c r="L200" i="2" s="1"/>
  <c r="M409" i="2"/>
  <c r="L409" i="2" s="1"/>
  <c r="J409" i="2"/>
  <c r="I409" i="2" s="1"/>
  <c r="G409" i="2"/>
  <c r="F409" i="2" s="1"/>
  <c r="G135" i="2"/>
  <c r="F135" i="2" s="1"/>
  <c r="J135" i="2"/>
  <c r="I135" i="2" s="1"/>
  <c r="M135" i="2"/>
  <c r="L135" i="2" s="1"/>
  <c r="G168" i="2"/>
  <c r="F168" i="2" s="1"/>
  <c r="J168" i="2"/>
  <c r="I168" i="2" s="1"/>
  <c r="M168" i="2"/>
  <c r="L168" i="2" s="1"/>
  <c r="G184" i="2"/>
  <c r="F184" i="2" s="1"/>
  <c r="M184" i="2"/>
  <c r="L184" i="2" s="1"/>
  <c r="J184" i="2"/>
  <c r="I184" i="2" s="1"/>
  <c r="M190" i="2"/>
  <c r="L190" i="2" s="1"/>
  <c r="J190" i="2"/>
  <c r="I190" i="2" s="1"/>
  <c r="G190" i="2"/>
  <c r="F190" i="2" s="1"/>
  <c r="J417" i="2"/>
  <c r="I417" i="2" s="1"/>
  <c r="G417" i="2"/>
  <c r="F417" i="2" s="1"/>
  <c r="M417" i="2"/>
  <c r="L417" i="2" s="1"/>
  <c r="M14" i="2"/>
  <c r="L14" i="2" s="1"/>
  <c r="G14" i="2"/>
  <c r="F14" i="2" s="1"/>
  <c r="J14" i="2"/>
  <c r="I14" i="2" s="1"/>
  <c r="M216" i="2"/>
  <c r="L216" i="2" s="1"/>
  <c r="J216" i="2"/>
  <c r="I216" i="2" s="1"/>
  <c r="G216" i="2"/>
  <c r="F216" i="2" s="1"/>
  <c r="M725" i="2"/>
  <c r="L725" i="2" s="1"/>
  <c r="J725" i="2"/>
  <c r="I725" i="2" s="1"/>
  <c r="G725" i="2"/>
  <c r="F725" i="2" s="1"/>
  <c r="G431" i="2"/>
  <c r="F431" i="2" s="1"/>
  <c r="J431" i="2"/>
  <c r="I431" i="2" s="1"/>
  <c r="M431" i="2"/>
  <c r="L431" i="2" s="1"/>
  <c r="G735" i="2"/>
  <c r="F735" i="2" s="1"/>
  <c r="M735" i="2"/>
  <c r="L735" i="2" s="1"/>
  <c r="J735" i="2"/>
  <c r="I735" i="2" s="1"/>
  <c r="M743" i="2"/>
  <c r="L743" i="2" s="1"/>
  <c r="G743" i="2"/>
  <c r="F743" i="2" s="1"/>
  <c r="J743" i="2"/>
  <c r="I743" i="2" s="1"/>
  <c r="G36" i="2"/>
  <c r="F36" i="2" s="1"/>
  <c r="J36" i="2"/>
  <c r="I36" i="2" s="1"/>
  <c r="M36" i="2"/>
  <c r="L36" i="2" s="1"/>
  <c r="M77" i="2"/>
  <c r="L77" i="2" s="1"/>
  <c r="J77" i="2"/>
  <c r="I77" i="2" s="1"/>
  <c r="G77" i="2"/>
  <c r="F77" i="2" s="1"/>
  <c r="M93" i="2"/>
  <c r="L93" i="2" s="1"/>
  <c r="J93" i="2"/>
  <c r="I93" i="2" s="1"/>
  <c r="G93" i="2"/>
  <c r="F93" i="2" s="1"/>
  <c r="M145" i="2"/>
  <c r="L145" i="2" s="1"/>
  <c r="G145" i="2"/>
  <c r="F145" i="2" s="1"/>
  <c r="J145" i="2"/>
  <c r="I145" i="2" s="1"/>
  <c r="M146" i="2"/>
  <c r="L146" i="2" s="1"/>
  <c r="G146" i="2"/>
  <c r="F146" i="2" s="1"/>
  <c r="J146" i="2"/>
  <c r="I146" i="2" s="1"/>
  <c r="M198" i="2"/>
  <c r="L198" i="2" s="1"/>
  <c r="G198" i="2"/>
  <c r="F198" i="2" s="1"/>
  <c r="J198" i="2"/>
  <c r="I198" i="2" s="1"/>
  <c r="G722" i="2"/>
  <c r="F722" i="2" s="1"/>
  <c r="M722" i="2"/>
  <c r="L722" i="2" s="1"/>
  <c r="J722" i="2"/>
  <c r="I722" i="2" s="1"/>
  <c r="J7" i="2"/>
  <c r="I7" i="2" s="1"/>
  <c r="M7" i="2"/>
  <c r="L7" i="2" s="1"/>
  <c r="G7" i="2"/>
  <c r="F7" i="2" s="1"/>
  <c r="J13" i="2"/>
  <c r="I13" i="2" s="1"/>
  <c r="M13" i="2"/>
  <c r="L13" i="2" s="1"/>
  <c r="G13" i="2"/>
  <c r="F13" i="2" s="1"/>
  <c r="G118" i="2"/>
  <c r="F118" i="2" s="1"/>
  <c r="J118" i="2"/>
  <c r="I118" i="2" s="1"/>
  <c r="M118" i="2"/>
  <c r="L118" i="2" s="1"/>
  <c r="J126" i="2"/>
  <c r="I126" i="2" s="1"/>
  <c r="M126" i="2"/>
  <c r="L126" i="2" s="1"/>
  <c r="G126" i="2"/>
  <c r="F126" i="2" s="1"/>
  <c r="J134" i="2"/>
  <c r="I134" i="2" s="1"/>
  <c r="M134" i="2"/>
  <c r="L134" i="2" s="1"/>
  <c r="G134" i="2"/>
  <c r="F134" i="2" s="1"/>
  <c r="M141" i="2"/>
  <c r="L141" i="2" s="1"/>
  <c r="J141" i="2"/>
  <c r="I141" i="2" s="1"/>
  <c r="G141" i="2"/>
  <c r="F141" i="2" s="1"/>
  <c r="J149" i="2"/>
  <c r="I149" i="2" s="1"/>
  <c r="G149" i="2"/>
  <c r="F149" i="2" s="1"/>
  <c r="M149" i="2"/>
  <c r="L149" i="2" s="1"/>
  <c r="G155" i="2"/>
  <c r="F155" i="2" s="1"/>
  <c r="M155" i="2"/>
  <c r="L155" i="2" s="1"/>
  <c r="J155" i="2"/>
  <c r="I155" i="2" s="1"/>
  <c r="J160" i="2"/>
  <c r="I160" i="2" s="1"/>
  <c r="G160" i="2"/>
  <c r="F160" i="2" s="1"/>
  <c r="M160" i="2"/>
  <c r="L160" i="2" s="1"/>
  <c r="J169" i="2"/>
  <c r="I169" i="2" s="1"/>
  <c r="M169" i="2"/>
  <c r="L169" i="2" s="1"/>
  <c r="G169" i="2"/>
  <c r="F169" i="2" s="1"/>
  <c r="J170" i="2"/>
  <c r="I170" i="2" s="1"/>
  <c r="G170" i="2"/>
  <c r="F170" i="2" s="1"/>
  <c r="M170" i="2"/>
  <c r="L170" i="2" s="1"/>
  <c r="G172" i="2"/>
  <c r="F172" i="2" s="1"/>
  <c r="M172" i="2"/>
  <c r="L172" i="2" s="1"/>
  <c r="J172" i="2"/>
  <c r="I172" i="2" s="1"/>
  <c r="M186" i="2"/>
  <c r="L186" i="2" s="1"/>
  <c r="G186" i="2"/>
  <c r="F186" i="2" s="1"/>
  <c r="J186" i="2"/>
  <c r="I186" i="2" s="1"/>
  <c r="J192" i="2"/>
  <c r="I192" i="2" s="1"/>
  <c r="G192" i="2"/>
  <c r="F192" i="2" s="1"/>
  <c r="M192" i="2"/>
  <c r="L192" i="2" s="1"/>
  <c r="J195" i="2"/>
  <c r="I195" i="2" s="1"/>
  <c r="G195" i="2"/>
  <c r="F195" i="2" s="1"/>
  <c r="M195" i="2"/>
  <c r="L195" i="2" s="1"/>
  <c r="G206" i="2"/>
  <c r="F206" i="2" s="1"/>
  <c r="J206" i="2"/>
  <c r="I206" i="2" s="1"/>
  <c r="M206" i="2"/>
  <c r="L206" i="2" s="1"/>
  <c r="G211" i="2"/>
  <c r="F211" i="2" s="1"/>
  <c r="M211" i="2"/>
  <c r="L211" i="2" s="1"/>
  <c r="J211" i="2"/>
  <c r="I211" i="2" s="1"/>
  <c r="M227" i="2"/>
  <c r="L227" i="2" s="1"/>
  <c r="J227" i="2"/>
  <c r="I227" i="2" s="1"/>
  <c r="G227" i="2"/>
  <c r="F227" i="2" s="1"/>
  <c r="M229" i="2"/>
  <c r="L229" i="2" s="1"/>
  <c r="J229" i="2"/>
  <c r="I229" i="2" s="1"/>
  <c r="G229" i="2"/>
  <c r="F229" i="2" s="1"/>
  <c r="M348" i="2"/>
  <c r="L348" i="2" s="1"/>
  <c r="G348" i="2"/>
  <c r="F348" i="2" s="1"/>
  <c r="J348" i="2"/>
  <c r="I348" i="2" s="1"/>
  <c r="G350" i="2"/>
  <c r="F350" i="2" s="1"/>
  <c r="J350" i="2"/>
  <c r="I350" i="2" s="1"/>
  <c r="M350" i="2"/>
  <c r="L350" i="2" s="1"/>
  <c r="M353" i="2"/>
  <c r="L353" i="2" s="1"/>
  <c r="G353" i="2"/>
  <c r="F353" i="2" s="1"/>
  <c r="J353" i="2"/>
  <c r="I353" i="2" s="1"/>
  <c r="M359" i="2"/>
  <c r="L359" i="2" s="1"/>
  <c r="J359" i="2"/>
  <c r="I359" i="2" s="1"/>
  <c r="G359" i="2"/>
  <c r="F359" i="2" s="1"/>
  <c r="M362" i="2"/>
  <c r="L362" i="2" s="1"/>
  <c r="J362" i="2"/>
  <c r="I362" i="2" s="1"/>
  <c r="G362" i="2"/>
  <c r="F362" i="2" s="1"/>
  <c r="G363" i="2"/>
  <c r="F363" i="2" s="1"/>
  <c r="M363" i="2"/>
  <c r="L363" i="2" s="1"/>
  <c r="J363" i="2"/>
  <c r="I363" i="2" s="1"/>
  <c r="M365" i="2"/>
  <c r="L365" i="2" s="1"/>
  <c r="J365" i="2"/>
  <c r="I365" i="2" s="1"/>
  <c r="G365" i="2"/>
  <c r="F365" i="2" s="1"/>
  <c r="M366" i="2"/>
  <c r="L366" i="2" s="1"/>
  <c r="J366" i="2"/>
  <c r="I366" i="2" s="1"/>
  <c r="G366" i="2"/>
  <c r="F366" i="2" s="1"/>
  <c r="G383" i="2"/>
  <c r="F383" i="2" s="1"/>
  <c r="J383" i="2"/>
  <c r="I383" i="2" s="1"/>
  <c r="M383" i="2"/>
  <c r="L383" i="2" s="1"/>
  <c r="G384" i="2"/>
  <c r="F384" i="2" s="1"/>
  <c r="M384" i="2"/>
  <c r="L384" i="2" s="1"/>
  <c r="J384" i="2"/>
  <c r="I384" i="2" s="1"/>
  <c r="J398" i="2"/>
  <c r="I398" i="2" s="1"/>
  <c r="G398" i="2"/>
  <c r="F398" i="2" s="1"/>
  <c r="M398" i="2"/>
  <c r="L398" i="2" s="1"/>
  <c r="G407" i="2"/>
  <c r="F407" i="2" s="1"/>
  <c r="M407" i="2"/>
  <c r="L407" i="2" s="1"/>
  <c r="J407" i="2"/>
  <c r="I407" i="2" s="1"/>
  <c r="G422" i="2"/>
  <c r="F422" i="2" s="1"/>
  <c r="M422" i="2"/>
  <c r="L422" i="2" s="1"/>
  <c r="J422" i="2"/>
  <c r="I422" i="2" s="1"/>
  <c r="J449" i="2"/>
  <c r="I449" i="2" s="1"/>
  <c r="M449" i="2"/>
  <c r="L449" i="2" s="1"/>
  <c r="G449" i="2"/>
  <c r="F449" i="2" s="1"/>
  <c r="G6" i="2"/>
  <c r="F6" i="2" s="1"/>
  <c r="J6" i="2"/>
  <c r="I6" i="2" s="1"/>
  <c r="M6" i="2"/>
  <c r="L6" i="2" s="1"/>
  <c r="M10" i="2"/>
  <c r="L10" i="2" s="1"/>
  <c r="G10" i="2"/>
  <c r="F10" i="2" s="1"/>
  <c r="J10" i="2"/>
  <c r="I10" i="2" s="1"/>
  <c r="G11" i="2"/>
  <c r="F11" i="2" s="1"/>
  <c r="M11" i="2"/>
  <c r="L11" i="2" s="1"/>
  <c r="J11" i="2"/>
  <c r="I11" i="2" s="1"/>
  <c r="M17" i="2"/>
  <c r="L17" i="2" s="1"/>
  <c r="J17" i="2"/>
  <c r="I17" i="2" s="1"/>
  <c r="G17" i="2"/>
  <c r="F17" i="2" s="1"/>
  <c r="M21" i="2"/>
  <c r="L21" i="2" s="1"/>
  <c r="J21" i="2"/>
  <c r="I21" i="2" s="1"/>
  <c r="G21" i="2"/>
  <c r="F21" i="2" s="1"/>
  <c r="J22" i="2"/>
  <c r="I22" i="2" s="1"/>
  <c r="M22" i="2"/>
  <c r="L22" i="2" s="1"/>
  <c r="G22" i="2"/>
  <c r="F22" i="2" s="1"/>
  <c r="J24" i="2"/>
  <c r="I24" i="2" s="1"/>
  <c r="M24" i="2"/>
  <c r="L24" i="2" s="1"/>
  <c r="G24" i="2"/>
  <c r="F24" i="2" s="1"/>
  <c r="J26" i="2"/>
  <c r="I26" i="2" s="1"/>
  <c r="M26" i="2"/>
  <c r="L26" i="2" s="1"/>
  <c r="G26" i="2"/>
  <c r="F26" i="2" s="1"/>
  <c r="G29" i="2"/>
  <c r="F29" i="2" s="1"/>
  <c r="M29" i="2"/>
  <c r="L29" i="2" s="1"/>
  <c r="J29" i="2"/>
  <c r="I29" i="2" s="1"/>
  <c r="G31" i="2"/>
  <c r="F31" i="2" s="1"/>
  <c r="M31" i="2"/>
  <c r="L31" i="2" s="1"/>
  <c r="J31" i="2"/>
  <c r="I31" i="2" s="1"/>
  <c r="G32" i="2"/>
  <c r="F32" i="2" s="1"/>
  <c r="J32" i="2"/>
  <c r="I32" i="2" s="1"/>
  <c r="M32" i="2"/>
  <c r="L32" i="2" s="1"/>
  <c r="G33" i="2"/>
  <c r="F33" i="2" s="1"/>
  <c r="M33" i="2"/>
  <c r="L33" i="2" s="1"/>
  <c r="J33" i="2"/>
  <c r="I33" i="2" s="1"/>
  <c r="G38" i="2"/>
  <c r="F38" i="2" s="1"/>
  <c r="J38" i="2"/>
  <c r="I38" i="2" s="1"/>
  <c r="M38" i="2"/>
  <c r="L38" i="2" s="1"/>
  <c r="M43" i="2"/>
  <c r="L43" i="2" s="1"/>
  <c r="G43" i="2"/>
  <c r="F43" i="2" s="1"/>
  <c r="J43" i="2"/>
  <c r="I43" i="2" s="1"/>
  <c r="M45" i="2"/>
  <c r="L45" i="2" s="1"/>
  <c r="J45" i="2"/>
  <c r="I45" i="2" s="1"/>
  <c r="G45" i="2"/>
  <c r="F45" i="2" s="1"/>
  <c r="J49" i="2"/>
  <c r="I49" i="2" s="1"/>
  <c r="G49" i="2"/>
  <c r="F49" i="2" s="1"/>
  <c r="M49" i="2"/>
  <c r="L49" i="2" s="1"/>
  <c r="J50" i="2"/>
  <c r="I50" i="2" s="1"/>
  <c r="M50" i="2"/>
  <c r="L50" i="2" s="1"/>
  <c r="G50" i="2"/>
  <c r="F50" i="2" s="1"/>
  <c r="J54" i="2"/>
  <c r="I54" i="2" s="1"/>
  <c r="G54" i="2"/>
  <c r="F54" i="2" s="1"/>
  <c r="M54" i="2"/>
  <c r="L54" i="2" s="1"/>
  <c r="G60" i="2"/>
  <c r="F60" i="2" s="1"/>
  <c r="J60" i="2"/>
  <c r="I60" i="2" s="1"/>
  <c r="M60" i="2"/>
  <c r="L60" i="2" s="1"/>
  <c r="M66" i="2"/>
  <c r="L66" i="2" s="1"/>
  <c r="J66" i="2"/>
  <c r="I66" i="2" s="1"/>
  <c r="G66" i="2"/>
  <c r="F66" i="2" s="1"/>
  <c r="M69" i="2"/>
  <c r="L69" i="2" s="1"/>
  <c r="J69" i="2"/>
  <c r="I69" i="2" s="1"/>
  <c r="G69" i="2"/>
  <c r="F69" i="2" s="1"/>
  <c r="M70" i="2"/>
  <c r="L70" i="2" s="1"/>
  <c r="G70" i="2"/>
  <c r="F70" i="2" s="1"/>
  <c r="J70" i="2"/>
  <c r="I70" i="2" s="1"/>
  <c r="M74" i="2"/>
  <c r="L74" i="2" s="1"/>
  <c r="G74" i="2"/>
  <c r="F74" i="2" s="1"/>
  <c r="J74" i="2"/>
  <c r="I74" i="2" s="1"/>
  <c r="J75" i="2"/>
  <c r="I75" i="2" s="1"/>
  <c r="M75" i="2"/>
  <c r="L75" i="2" s="1"/>
  <c r="G75" i="2"/>
  <c r="F75" i="2" s="1"/>
  <c r="J81" i="2"/>
  <c r="I81" i="2" s="1"/>
  <c r="G81" i="2"/>
  <c r="F81" i="2" s="1"/>
  <c r="M81" i="2"/>
  <c r="L81" i="2" s="1"/>
  <c r="J82" i="2"/>
  <c r="I82" i="2" s="1"/>
  <c r="M82" i="2"/>
  <c r="L82" i="2" s="1"/>
  <c r="G82" i="2"/>
  <c r="F82" i="2" s="1"/>
  <c r="J85" i="2"/>
  <c r="I85" i="2" s="1"/>
  <c r="M85" i="2"/>
  <c r="L85" i="2" s="1"/>
  <c r="G85" i="2"/>
  <c r="F85" i="2" s="1"/>
  <c r="J87" i="2"/>
  <c r="I87" i="2" s="1"/>
  <c r="M87" i="2"/>
  <c r="L87" i="2" s="1"/>
  <c r="G87" i="2"/>
  <c r="F87" i="2" s="1"/>
  <c r="G88" i="2"/>
  <c r="F88" i="2" s="1"/>
  <c r="J88" i="2"/>
  <c r="I88" i="2" s="1"/>
  <c r="M88" i="2"/>
  <c r="L88" i="2" s="1"/>
  <c r="M91" i="2"/>
  <c r="L91" i="2" s="1"/>
  <c r="G91" i="2"/>
  <c r="F91" i="2" s="1"/>
  <c r="J91" i="2"/>
  <c r="I91" i="2" s="1"/>
  <c r="M94" i="2"/>
  <c r="L94" i="2" s="1"/>
  <c r="G94" i="2"/>
  <c r="F94" i="2" s="1"/>
  <c r="J94" i="2"/>
  <c r="I94" i="2" s="1"/>
  <c r="M97" i="2"/>
  <c r="L97" i="2" s="1"/>
  <c r="J97" i="2"/>
  <c r="I97" i="2" s="1"/>
  <c r="G97" i="2"/>
  <c r="F97" i="2" s="1"/>
  <c r="M98" i="2"/>
  <c r="L98" i="2" s="1"/>
  <c r="J98" i="2"/>
  <c r="I98" i="2" s="1"/>
  <c r="G98" i="2"/>
  <c r="F98" i="2" s="1"/>
  <c r="J101" i="2"/>
  <c r="I101" i="2" s="1"/>
  <c r="M101" i="2"/>
  <c r="L101" i="2" s="1"/>
  <c r="G101" i="2"/>
  <c r="F101" i="2" s="1"/>
  <c r="J108" i="2"/>
  <c r="I108" i="2" s="1"/>
  <c r="G108" i="2"/>
  <c r="F108" i="2" s="1"/>
  <c r="M108" i="2"/>
  <c r="L108" i="2" s="1"/>
  <c r="M111" i="2"/>
  <c r="L111" i="2" s="1"/>
  <c r="G111" i="2"/>
  <c r="F111" i="2" s="1"/>
  <c r="J111" i="2"/>
  <c r="I111" i="2" s="1"/>
  <c r="M113" i="2"/>
  <c r="L113" i="2" s="1"/>
  <c r="J113" i="2"/>
  <c r="I113" i="2" s="1"/>
  <c r="G113" i="2"/>
  <c r="F113" i="2" s="1"/>
  <c r="M114" i="2"/>
  <c r="L114" i="2" s="1"/>
  <c r="G114" i="2"/>
  <c r="F114" i="2" s="1"/>
  <c r="J114" i="2"/>
  <c r="I114" i="2" s="1"/>
  <c r="G115" i="2"/>
  <c r="F115" i="2" s="1"/>
  <c r="M115" i="2"/>
  <c r="L115" i="2" s="1"/>
  <c r="J115" i="2"/>
  <c r="I115" i="2" s="1"/>
  <c r="J117" i="2"/>
  <c r="I117" i="2" s="1"/>
  <c r="M117" i="2"/>
  <c r="L117" i="2" s="1"/>
  <c r="G117" i="2"/>
  <c r="F117" i="2" s="1"/>
  <c r="M121" i="2"/>
  <c r="L121" i="2" s="1"/>
  <c r="J121" i="2"/>
  <c r="I121" i="2" s="1"/>
  <c r="G121" i="2"/>
  <c r="F121" i="2" s="1"/>
  <c r="M127" i="2"/>
  <c r="L127" i="2" s="1"/>
  <c r="G127" i="2"/>
  <c r="F127" i="2" s="1"/>
  <c r="J127" i="2"/>
  <c r="I127" i="2" s="1"/>
  <c r="M128" i="2"/>
  <c r="L128" i="2" s="1"/>
  <c r="G128" i="2"/>
  <c r="F128" i="2" s="1"/>
  <c r="J128" i="2"/>
  <c r="I128" i="2" s="1"/>
  <c r="M129" i="2"/>
  <c r="L129" i="2" s="1"/>
  <c r="G129" i="2"/>
  <c r="F129" i="2" s="1"/>
  <c r="J129" i="2"/>
  <c r="I129" i="2" s="1"/>
  <c r="G130" i="2"/>
  <c r="F130" i="2" s="1"/>
  <c r="J130" i="2"/>
  <c r="I130" i="2" s="1"/>
  <c r="M130" i="2"/>
  <c r="L130" i="2" s="1"/>
  <c r="M138" i="2"/>
  <c r="L138" i="2" s="1"/>
  <c r="G138" i="2"/>
  <c r="F138" i="2" s="1"/>
  <c r="J138" i="2"/>
  <c r="I138" i="2" s="1"/>
  <c r="M144" i="2"/>
  <c r="L144" i="2" s="1"/>
  <c r="J144" i="2"/>
  <c r="I144" i="2" s="1"/>
  <c r="G144" i="2"/>
  <c r="F144" i="2" s="1"/>
  <c r="M148" i="2"/>
  <c r="L148" i="2" s="1"/>
  <c r="J148" i="2"/>
  <c r="I148" i="2" s="1"/>
  <c r="G148" i="2"/>
  <c r="F148" i="2" s="1"/>
  <c r="M150" i="2"/>
  <c r="L150" i="2" s="1"/>
  <c r="G150" i="2"/>
  <c r="F150" i="2" s="1"/>
  <c r="J150" i="2"/>
  <c r="I150" i="2" s="1"/>
  <c r="G152" i="2"/>
  <c r="F152" i="2" s="1"/>
  <c r="M152" i="2"/>
  <c r="L152" i="2" s="1"/>
  <c r="J152" i="2"/>
  <c r="I152" i="2" s="1"/>
  <c r="M154" i="2"/>
  <c r="L154" i="2" s="1"/>
  <c r="J154" i="2"/>
  <c r="I154" i="2" s="1"/>
  <c r="G154" i="2"/>
  <c r="F154" i="2" s="1"/>
  <c r="M159" i="2"/>
  <c r="L159" i="2" s="1"/>
  <c r="G159" i="2"/>
  <c r="F159" i="2" s="1"/>
  <c r="J159" i="2"/>
  <c r="I159" i="2" s="1"/>
  <c r="M161" i="2"/>
  <c r="L161" i="2" s="1"/>
  <c r="J161" i="2"/>
  <c r="I161" i="2" s="1"/>
  <c r="G161" i="2"/>
  <c r="F161" i="2" s="1"/>
  <c r="J173" i="2"/>
  <c r="I173" i="2" s="1"/>
  <c r="G173" i="2"/>
  <c r="F173" i="2" s="1"/>
  <c r="M173" i="2"/>
  <c r="L173" i="2" s="1"/>
  <c r="J174" i="2"/>
  <c r="I174" i="2" s="1"/>
  <c r="M174" i="2"/>
  <c r="L174" i="2" s="1"/>
  <c r="G174" i="2"/>
  <c r="F174" i="2" s="1"/>
  <c r="M176" i="2"/>
  <c r="L176" i="2" s="1"/>
  <c r="G176" i="2"/>
  <c r="F176" i="2" s="1"/>
  <c r="J176" i="2"/>
  <c r="I176" i="2" s="1"/>
  <c r="G180" i="2"/>
  <c r="F180" i="2" s="1"/>
  <c r="M180" i="2"/>
  <c r="L180" i="2" s="1"/>
  <c r="J180" i="2"/>
  <c r="I180" i="2" s="1"/>
  <c r="J182" i="2"/>
  <c r="I182" i="2" s="1"/>
  <c r="G182" i="2"/>
  <c r="F182" i="2" s="1"/>
  <c r="M182" i="2"/>
  <c r="L182" i="2" s="1"/>
  <c r="G185" i="2"/>
  <c r="F185" i="2" s="1"/>
  <c r="M185" i="2"/>
  <c r="L185" i="2" s="1"/>
  <c r="J185" i="2"/>
  <c r="I185" i="2" s="1"/>
  <c r="G189" i="2"/>
  <c r="F189" i="2" s="1"/>
  <c r="M189" i="2"/>
  <c r="L189" i="2" s="1"/>
  <c r="J189" i="2"/>
  <c r="I189" i="2" s="1"/>
  <c r="M208" i="2"/>
  <c r="L208" i="2" s="1"/>
  <c r="G208" i="2"/>
  <c r="F208" i="2" s="1"/>
  <c r="J208" i="2"/>
  <c r="I208" i="2" s="1"/>
  <c r="M210" i="2"/>
  <c r="L210" i="2" s="1"/>
  <c r="G210" i="2"/>
  <c r="F210" i="2" s="1"/>
  <c r="J210" i="2"/>
  <c r="I210" i="2" s="1"/>
  <c r="J212" i="2"/>
  <c r="I212" i="2" s="1"/>
  <c r="G212" i="2"/>
  <c r="F212" i="2" s="1"/>
  <c r="M212" i="2"/>
  <c r="L212" i="2" s="1"/>
  <c r="G214" i="2"/>
  <c r="F214" i="2" s="1"/>
  <c r="J214" i="2"/>
  <c r="I214" i="2" s="1"/>
  <c r="M214" i="2"/>
  <c r="L214" i="2" s="1"/>
  <c r="M215" i="2"/>
  <c r="L215" i="2" s="1"/>
  <c r="G215" i="2"/>
  <c r="F215" i="2" s="1"/>
  <c r="J215" i="2"/>
  <c r="I215" i="2" s="1"/>
  <c r="G218" i="2"/>
  <c r="F218" i="2" s="1"/>
  <c r="J218" i="2"/>
  <c r="I218" i="2" s="1"/>
  <c r="M218" i="2"/>
  <c r="L218" i="2" s="1"/>
  <c r="G219" i="2"/>
  <c r="F219" i="2" s="1"/>
  <c r="J219" i="2"/>
  <c r="I219" i="2" s="1"/>
  <c r="M219" i="2"/>
  <c r="L219" i="2" s="1"/>
  <c r="G228" i="2"/>
  <c r="F228" i="2" s="1"/>
  <c r="J228" i="2"/>
  <c r="I228" i="2" s="1"/>
  <c r="M228" i="2"/>
  <c r="L228" i="2" s="1"/>
  <c r="J354" i="2"/>
  <c r="I354" i="2" s="1"/>
  <c r="G354" i="2"/>
  <c r="F354" i="2" s="1"/>
  <c r="M354" i="2"/>
  <c r="L354" i="2" s="1"/>
  <c r="J360" i="2"/>
  <c r="I360" i="2" s="1"/>
  <c r="M360" i="2"/>
  <c r="L360" i="2" s="1"/>
  <c r="G360" i="2"/>
  <c r="F360" i="2" s="1"/>
  <c r="M361" i="2"/>
  <c r="L361" i="2" s="1"/>
  <c r="G361" i="2"/>
  <c r="F361" i="2" s="1"/>
  <c r="J361" i="2"/>
  <c r="I361" i="2" s="1"/>
  <c r="G375" i="2"/>
  <c r="F375" i="2" s="1"/>
  <c r="J375" i="2"/>
  <c r="I375" i="2" s="1"/>
  <c r="M375" i="2"/>
  <c r="L375" i="2" s="1"/>
  <c r="M376" i="2"/>
  <c r="L376" i="2" s="1"/>
  <c r="J376" i="2"/>
  <c r="I376" i="2" s="1"/>
  <c r="G376" i="2"/>
  <c r="F376" i="2" s="1"/>
  <c r="G379" i="2"/>
  <c r="F379" i="2" s="1"/>
  <c r="M379" i="2"/>
  <c r="L379" i="2" s="1"/>
  <c r="J379" i="2"/>
  <c r="I379" i="2" s="1"/>
  <c r="G388" i="2"/>
  <c r="F388" i="2" s="1"/>
  <c r="J388" i="2"/>
  <c r="I388" i="2" s="1"/>
  <c r="M388" i="2"/>
  <c r="L388" i="2" s="1"/>
  <c r="J389" i="2"/>
  <c r="I389" i="2" s="1"/>
  <c r="G389" i="2"/>
  <c r="F389" i="2" s="1"/>
  <c r="M389" i="2"/>
  <c r="L389" i="2" s="1"/>
  <c r="M394" i="2"/>
  <c r="L394" i="2" s="1"/>
  <c r="J394" i="2"/>
  <c r="I394" i="2" s="1"/>
  <c r="G394" i="2"/>
  <c r="F394" i="2" s="1"/>
  <c r="J404" i="2"/>
  <c r="I404" i="2" s="1"/>
  <c r="G404" i="2"/>
  <c r="F404" i="2" s="1"/>
  <c r="M404" i="2"/>
  <c r="L404" i="2" s="1"/>
  <c r="J413" i="2"/>
  <c r="I413" i="2" s="1"/>
  <c r="M413" i="2"/>
  <c r="L413" i="2" s="1"/>
  <c r="G413" i="2"/>
  <c r="F413" i="2" s="1"/>
  <c r="J414" i="2"/>
  <c r="I414" i="2" s="1"/>
  <c r="G414" i="2"/>
  <c r="F414" i="2" s="1"/>
  <c r="M414" i="2"/>
  <c r="L414" i="2" s="1"/>
  <c r="M416" i="2"/>
  <c r="L416" i="2" s="1"/>
  <c r="J416" i="2"/>
  <c r="I416" i="2" s="1"/>
  <c r="G416" i="2"/>
  <c r="F416" i="2" s="1"/>
  <c r="G420" i="2"/>
  <c r="F420" i="2" s="1"/>
  <c r="J420" i="2"/>
  <c r="I420" i="2" s="1"/>
  <c r="M420" i="2"/>
  <c r="L420" i="2" s="1"/>
  <c r="M426" i="2"/>
  <c r="L426" i="2" s="1"/>
  <c r="J426" i="2"/>
  <c r="I426" i="2" s="1"/>
  <c r="G426" i="2"/>
  <c r="F426" i="2" s="1"/>
  <c r="J430" i="2"/>
  <c r="I430" i="2" s="1"/>
  <c r="G430" i="2"/>
  <c r="F430" i="2" s="1"/>
  <c r="M430" i="2"/>
  <c r="L430" i="2" s="1"/>
  <c r="J438" i="2"/>
  <c r="I438" i="2" s="1"/>
  <c r="G438" i="2"/>
  <c r="F438" i="2" s="1"/>
  <c r="M438" i="2"/>
  <c r="L438" i="2" s="1"/>
  <c r="M443" i="2"/>
  <c r="L443" i="2" s="1"/>
  <c r="G443" i="2"/>
  <c r="F443" i="2" s="1"/>
  <c r="J443" i="2"/>
  <c r="I443" i="2" s="1"/>
  <c r="M457" i="2"/>
  <c r="L457" i="2" s="1"/>
  <c r="G457" i="2"/>
  <c r="F457" i="2" s="1"/>
  <c r="J457" i="2"/>
  <c r="I457" i="2" s="1"/>
  <c r="J716" i="2"/>
  <c r="I716" i="2" s="1"/>
  <c r="G716" i="2"/>
  <c r="F716" i="2" s="1"/>
  <c r="M716" i="2"/>
  <c r="L716" i="2" s="1"/>
  <c r="M720" i="2"/>
  <c r="L720" i="2" s="1"/>
  <c r="J720" i="2"/>
  <c r="I720" i="2" s="1"/>
  <c r="G720" i="2"/>
  <c r="F720" i="2" s="1"/>
  <c r="J721" i="2"/>
  <c r="I721" i="2" s="1"/>
  <c r="M721" i="2"/>
  <c r="L721" i="2" s="1"/>
  <c r="G721" i="2"/>
  <c r="F721" i="2" s="1"/>
  <c r="J731" i="2"/>
  <c r="I731" i="2" s="1"/>
  <c r="M731" i="2"/>
  <c r="L731" i="2" s="1"/>
  <c r="G731" i="2"/>
  <c r="F731" i="2" s="1"/>
  <c r="Q746" i="2"/>
  <c r="O746" i="2"/>
  <c r="L5" i="2" l="1"/>
  <c r="L746" i="2" s="1"/>
  <c r="M746" i="2"/>
  <c r="I5" i="2"/>
  <c r="I746" i="2" s="1"/>
  <c r="J746" i="2"/>
  <c r="F5" i="2"/>
  <c r="F746" i="2" s="1"/>
  <c r="G746" i="2"/>
</calcChain>
</file>

<file path=xl/sharedStrings.xml><?xml version="1.0" encoding="utf-8"?>
<sst xmlns="http://schemas.openxmlformats.org/spreadsheetml/2006/main" count="17" uniqueCount="17">
  <si>
    <t>Oran</t>
  </si>
  <si>
    <t>Net Tüketim</t>
  </si>
  <si>
    <t>Mahsup</t>
  </si>
  <si>
    <t>Toplam Tüketim</t>
  </si>
  <si>
    <t>Toplam Veriş</t>
  </si>
  <si>
    <t>Tarih Saat</t>
  </si>
  <si>
    <t>10128583 Veriş</t>
  </si>
  <si>
    <t>10126953 Veriş</t>
  </si>
  <si>
    <t>10128583 Çekiş</t>
  </si>
  <si>
    <t>10126953 Çekiş</t>
  </si>
  <si>
    <t>9062757 Çekiş</t>
  </si>
  <si>
    <t>10128583 Mahsup</t>
  </si>
  <si>
    <t>10128583 Net</t>
  </si>
  <si>
    <t>10126953 Mahsup</t>
  </si>
  <si>
    <t>10126953 Net</t>
  </si>
  <si>
    <t>9062757 Mahsup</t>
  </si>
  <si>
    <t>9062757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</si>
</sst>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"/>
    <numFmt numFmtId="165" formatCode="dd\.mm\.yyyy\ hh:mm"/>
    <numFmt numFmtId="166" formatCode="_-* #,##0.000_-;\-* #,##0.000_-;_-* &quot;-&quot;??_-;_-@_-"/>
    <numFmt numFmtId="169" formatCode="_-* #,##0.000_-;\-* #,##0.000_-;_-* &quot;-&quot;???_-;_-@_-"/>
  </numFmts>
  <fonts count="3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3" fontId="0" fillId="0" borderId="0" xfId="1" applyFont="1"/>
    <xf numFmtId="43" fontId="0" fillId="0" borderId="0" xfId="0" applyNumberFormat="1"/>
    <xf numFmtId="43" fontId="0" fillId="2" borderId="1" xfId="1" applyFont="1" applyFill="1" applyBorder="1"/>
    <xf numFmtId="43" fontId="0" fillId="0" borderId="1" xfId="1" applyFont="1" applyBorder="1"/>
    <xf numFmtId="164" fontId="0" fillId="2" borderId="1" xfId="0" applyNumberFormat="1" applyFill="1" applyBorder="1"/>
    <xf numFmtId="164" fontId="2" fillId="0" borderId="1" xfId="1" applyNumberFormat="1" applyFont="1" applyBorder="1" applyAlignment="1">
      <alignment vertical="center"/>
    </xf>
    <xf numFmtId="165" fontId="2" fillId="0" borderId="1" xfId="1" applyNumberFormat="1" applyFont="1" applyBorder="1" applyAlignment="1">
      <alignment vertic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43" fontId="2" fillId="0" borderId="1" xfId="1" applyFont="1" applyBorder="1" applyAlignment="1">
      <alignment horizontal="left"/>
    </xf>
    <xf numFmtId="0" fontId="2" fillId="0" borderId="1" xfId="1" applyNumberFormat="1" applyFont="1" applyBorder="1" applyAlignment="1">
      <alignment horizontal="left"/>
    </xf>
    <xf numFmtId="0" fontId="0" fillId="0" borderId="0" xfId="1" applyNumberFormat="1" applyFont="1"/>
    <xf numFmtId="43" fontId="2" fillId="0" borderId="1" xfId="1" applyFont="1" applyBorder="1" applyAlignment="1">
      <alignment vertical="center"/>
    </xf>
    <xf numFmtId="166" fontId="2" fillId="0" borderId="1" xfId="1" applyNumberFormat="1" applyFont="1" applyBorder="1" applyAlignment="1">
      <alignment vertical="center"/>
    </xf>
    <xf numFmtId="166" fontId="0" fillId="2" borderId="1" xfId="1" applyNumberFormat="1" applyFont="1" applyFill="1" applyBorder="1"/>
    <xf numFmtId="166" fontId="0" fillId="0" borderId="1" xfId="1" applyNumberFormat="1" applyFont="1" applyBorder="1"/>
    <xf numFmtId="43" fontId="2" fillId="2" borderId="1" xfId="1" applyFont="1" applyFill="1" applyBorder="1" applyAlignment="1">
      <alignment horizontal="left"/>
    </xf>
    <xf numFmtId="166" fontId="2" fillId="2" borderId="1" xfId="1" applyNumberFormat="1" applyFont="1" applyFill="1" applyBorder="1" applyAlignment="1">
      <alignment vertical="center"/>
    </xf>
    <xf numFmtId="0" fontId="2" fillId="2" borderId="1" xfId="1" applyNumberFormat="1" applyFont="1" applyFill="1" applyBorder="1" applyAlignment="1">
      <alignment horizontal="left"/>
    </xf>
    <xf numFmtId="166" fontId="0" fillId="0" borderId="0" xfId="0" applyNumberFormat="1"/>
    <xf numFmtId="169" fontId="0" fillId="0" borderId="0" xfId="0" applyNumberForma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9D82-F8FF-4C25-8964-6C360D5F3D85}">
  <dimension ref="A1:Q753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5" x14ac:dyDescent="0.25"/>
  <cols>
    <col min="1" max="1" width="17.28515625" style="1" bestFit="1" customWidth="1"/>
    <col min="2" max="2" width="17.28515625" style="1" customWidth="1"/>
    <col min="3" max="3" width="17.28515625" style="1" bestFit="1" customWidth="1"/>
    <col min="4" max="4" width="13.140625" style="1" bestFit="1" customWidth="1"/>
    <col min="5" max="5" width="18" style="1" bestFit="1" customWidth="1"/>
    <col min="6" max="6" width="20.5703125" style="1" bestFit="1" customWidth="1"/>
    <col min="7" max="7" width="16.28515625" style="1" bestFit="1" customWidth="1"/>
    <col min="8" max="8" width="18" style="1" bestFit="1" customWidth="1"/>
    <col min="9" max="9" width="20.5703125" style="1" bestFit="1" customWidth="1"/>
    <col min="10" max="10" width="18" style="1" customWidth="1"/>
    <col min="11" max="11" width="15.28515625" style="12" bestFit="1" customWidth="1"/>
    <col min="12" max="12" width="18" style="12" bestFit="1" customWidth="1"/>
    <col min="13" max="13" width="13.7109375" style="12" bestFit="1" customWidth="1"/>
    <col min="14" max="14" width="17.140625" bestFit="1" customWidth="1"/>
    <col min="15" max="17" width="17.140625" customWidth="1"/>
  </cols>
  <sheetData>
    <row r="1" spans="1:17" s="8" customFormat="1" x14ac:dyDescent="0.25">
      <c r="A1" s="10" t="s">
        <v>5</v>
      </c>
      <c r="B1" s="10" t="s">
        <v>6</v>
      </c>
      <c r="C1" s="10" t="s">
        <v>7</v>
      </c>
      <c r="D1" s="17" t="s">
        <v>4</v>
      </c>
      <c r="E1" s="10" t="s">
        <v>8</v>
      </c>
      <c r="F1" s="17" t="s">
        <v>11</v>
      </c>
      <c r="G1" s="17" t="s">
        <v>12</v>
      </c>
      <c r="H1" s="10" t="s">
        <v>9</v>
      </c>
      <c r="I1" s="17" t="s">
        <v>13</v>
      </c>
      <c r="J1" s="17" t="s">
        <v>14</v>
      </c>
      <c r="K1" s="11" t="s">
        <v>10</v>
      </c>
      <c r="L1" s="19" t="s">
        <v>15</v>
      </c>
      <c r="M1" s="19" t="s">
        <v>16</v>
      </c>
      <c r="N1" s="9" t="s">
        <v>3</v>
      </c>
      <c r="O1" s="9" t="s">
        <v>2</v>
      </c>
      <c r="P1" s="9" t="s">
        <v>1</v>
      </c>
      <c r="Q1" s="9" t="s">
        <v>0</v>
      </c>
    </row>
    <row r="2" spans="1:17" x14ac:dyDescent="0.25">
      <c r="A2" s="7">
        <v>46235</v>
      </c>
      <c r="B2" s="6">
        <v>0</v>
      </c>
      <c r="C2" s="13">
        <v>0</v>
      </c>
      <c r="D2" s="18">
        <f>+B2+C2</f>
        <v>0</v>
      </c>
      <c r="E2" s="14">
        <v>929.26600000000008</v>
      </c>
      <c r="F2" s="18">
        <f>+E2-G2</f>
        <v>0</v>
      </c>
      <c r="G2" s="18">
        <f>+E2*Q2</f>
        <v>929.26600000000008</v>
      </c>
      <c r="H2" s="14">
        <v>44.56</v>
      </c>
      <c r="I2" s="18">
        <f>+H2-J2</f>
        <v>0</v>
      </c>
      <c r="J2" s="18">
        <f>+H2*Q2</f>
        <v>44.56</v>
      </c>
      <c r="K2" s="14">
        <v>2.8</v>
      </c>
      <c r="L2" s="18">
        <f>+K2-M2</f>
        <v>0</v>
      </c>
      <c r="M2" s="18">
        <f>+K2*Q2</f>
        <v>2.8</v>
      </c>
      <c r="N2" s="15">
        <f>+E2+H2+K2</f>
        <v>976.62599999999998</v>
      </c>
      <c r="O2" s="15">
        <f>+N2-P2</f>
        <v>0</v>
      </c>
      <c r="P2" s="15">
        <f>+IF(N2&gt;D2,N2-D2,0)</f>
        <v>976.62599999999998</v>
      </c>
      <c r="Q2" s="5">
        <f>+IF(P2=0,P2,P2/N2)</f>
        <v>1</v>
      </c>
    </row>
    <row r="3" spans="1:17" x14ac:dyDescent="0.25">
      <c r="A3" s="7">
        <v>46235.041666666664</v>
      </c>
      <c r="B3" s="6">
        <v>0</v>
      </c>
      <c r="C3" s="13">
        <v>0</v>
      </c>
      <c r="D3" s="18">
        <f>+B3+C3</f>
        <v>0</v>
      </c>
      <c r="E3" s="14">
        <v>34.651000000000003</v>
      </c>
      <c r="F3" s="18">
        <f t="shared" ref="F3:F66" si="0">+E3-G3</f>
        <v>0</v>
      </c>
      <c r="G3" s="18">
        <f t="shared" ref="G3:G66" si="1">+E3*Q3</f>
        <v>34.651000000000003</v>
      </c>
      <c r="H3" s="14">
        <v>43.24</v>
      </c>
      <c r="I3" s="18">
        <f t="shared" ref="I3:I66" si="2">+H3-J3</f>
        <v>0</v>
      </c>
      <c r="J3" s="18">
        <f t="shared" ref="J3:J66" si="3">+H3*Q3</f>
        <v>43.24</v>
      </c>
      <c r="K3" s="14">
        <v>2.8</v>
      </c>
      <c r="L3" s="18">
        <f t="shared" ref="L3:L66" si="4">+K3-M3</f>
        <v>0</v>
      </c>
      <c r="M3" s="18">
        <f t="shared" ref="M3:M66" si="5">+K3*Q3</f>
        <v>2.8</v>
      </c>
      <c r="N3" s="15">
        <f t="shared" ref="N3:N66" si="6">+E3+H3+K3</f>
        <v>80.691000000000003</v>
      </c>
      <c r="O3" s="15">
        <f>+N3-P3</f>
        <v>0</v>
      </c>
      <c r="P3" s="15">
        <f>+IF(N3&gt;D3,N3-D3,0)</f>
        <v>80.691000000000003</v>
      </c>
      <c r="Q3" s="5">
        <f>+IF(P3=0,P3,P3/N3)</f>
        <v>1</v>
      </c>
    </row>
    <row r="4" spans="1:17" x14ac:dyDescent="0.25">
      <c r="A4" s="7">
        <v>46235.083333333336</v>
      </c>
      <c r="B4" s="6">
        <v>0</v>
      </c>
      <c r="C4" s="13">
        <v>0</v>
      </c>
      <c r="D4" s="18">
        <f>+B4+C4</f>
        <v>0</v>
      </c>
      <c r="E4" s="14">
        <v>995.41700000000003</v>
      </c>
      <c r="F4" s="18">
        <f t="shared" si="0"/>
        <v>0</v>
      </c>
      <c r="G4" s="18">
        <f t="shared" si="1"/>
        <v>995.41700000000003</v>
      </c>
      <c r="H4" s="14">
        <v>44.56</v>
      </c>
      <c r="I4" s="18">
        <f t="shared" si="2"/>
        <v>0</v>
      </c>
      <c r="J4" s="18">
        <f t="shared" si="3"/>
        <v>44.56</v>
      </c>
      <c r="K4" s="14">
        <v>2.92</v>
      </c>
      <c r="L4" s="18">
        <f t="shared" si="4"/>
        <v>0</v>
      </c>
      <c r="M4" s="18">
        <f t="shared" si="5"/>
        <v>2.92</v>
      </c>
      <c r="N4" s="15">
        <f t="shared" si="6"/>
        <v>1042.8970000000002</v>
      </c>
      <c r="O4" s="15">
        <f>+N4-P4</f>
        <v>0</v>
      </c>
      <c r="P4" s="15">
        <f>+IF(N4&gt;D4,N4-D4,0)</f>
        <v>1042.8970000000002</v>
      </c>
      <c r="Q4" s="5">
        <f>+IF(P4=0,P4,P4/N4)</f>
        <v>1</v>
      </c>
    </row>
    <row r="5" spans="1:17" x14ac:dyDescent="0.25">
      <c r="A5" s="7">
        <v>46235.125</v>
      </c>
      <c r="B5" s="6">
        <v>0</v>
      </c>
      <c r="C5" s="13">
        <v>0</v>
      </c>
      <c r="D5" s="18">
        <f>+B5+C5</f>
        <v>0</v>
      </c>
      <c r="E5" s="14">
        <v>768.61299999999994</v>
      </c>
      <c r="F5" s="18">
        <f t="shared" si="0"/>
        <v>0</v>
      </c>
      <c r="G5" s="18">
        <f t="shared" si="1"/>
        <v>768.61299999999994</v>
      </c>
      <c r="H5" s="14">
        <v>52.720000000000006</v>
      </c>
      <c r="I5" s="18">
        <f t="shared" si="2"/>
        <v>0</v>
      </c>
      <c r="J5" s="18">
        <f t="shared" si="3"/>
        <v>52.720000000000006</v>
      </c>
      <c r="K5" s="14">
        <v>2.68</v>
      </c>
      <c r="L5" s="18">
        <f t="shared" si="4"/>
        <v>0</v>
      </c>
      <c r="M5" s="18">
        <f t="shared" si="5"/>
        <v>2.68</v>
      </c>
      <c r="N5" s="15">
        <f t="shared" si="6"/>
        <v>824.01299999999992</v>
      </c>
      <c r="O5" s="15">
        <f>+N5-P5</f>
        <v>0</v>
      </c>
      <c r="P5" s="15">
        <f>+IF(N5&gt;D5,N5-D5,0)</f>
        <v>824.01299999999992</v>
      </c>
      <c r="Q5" s="5">
        <f>+IF(P5=0,P5,P5/N5)</f>
        <v>1</v>
      </c>
    </row>
    <row r="6" spans="1:17" x14ac:dyDescent="0.25">
      <c r="A6" s="7">
        <v>46235.166666666664</v>
      </c>
      <c r="B6" s="6">
        <v>0</v>
      </c>
      <c r="C6" s="13">
        <v>0</v>
      </c>
      <c r="D6" s="18">
        <f>+B6+C6</f>
        <v>0</v>
      </c>
      <c r="E6" s="14">
        <v>945.01599999999996</v>
      </c>
      <c r="F6" s="18">
        <f t="shared" si="0"/>
        <v>0</v>
      </c>
      <c r="G6" s="18">
        <f t="shared" si="1"/>
        <v>945.01599999999996</v>
      </c>
      <c r="H6" s="14">
        <v>54.4</v>
      </c>
      <c r="I6" s="18">
        <f t="shared" si="2"/>
        <v>0</v>
      </c>
      <c r="J6" s="18">
        <f t="shared" si="3"/>
        <v>54.4</v>
      </c>
      <c r="K6" s="14">
        <v>2.8</v>
      </c>
      <c r="L6" s="18">
        <f t="shared" si="4"/>
        <v>0</v>
      </c>
      <c r="M6" s="18">
        <f t="shared" si="5"/>
        <v>2.8</v>
      </c>
      <c r="N6" s="15">
        <f t="shared" si="6"/>
        <v>1002.2159999999999</v>
      </c>
      <c r="O6" s="15">
        <f>+N6-P6</f>
        <v>0</v>
      </c>
      <c r="P6" s="15">
        <f>+IF(N6&gt;D6,N6-D6,0)</f>
        <v>1002.2159999999999</v>
      </c>
      <c r="Q6" s="5">
        <f>+IF(P6=0,P6,P6/N6)</f>
        <v>1</v>
      </c>
    </row>
    <row r="7" spans="1:17" x14ac:dyDescent="0.25">
      <c r="A7" s="7">
        <v>46235.208333333336</v>
      </c>
      <c r="B7" s="6">
        <v>0</v>
      </c>
      <c r="C7" s="13">
        <v>0</v>
      </c>
      <c r="D7" s="18">
        <f>+B7+C7</f>
        <v>0</v>
      </c>
      <c r="E7" s="14">
        <v>967.06700000000001</v>
      </c>
      <c r="F7" s="18">
        <f t="shared" si="0"/>
        <v>0</v>
      </c>
      <c r="G7" s="18">
        <f t="shared" si="1"/>
        <v>967.06700000000001</v>
      </c>
      <c r="H7" s="14">
        <v>52.6</v>
      </c>
      <c r="I7" s="18">
        <f t="shared" si="2"/>
        <v>0</v>
      </c>
      <c r="J7" s="18">
        <f t="shared" si="3"/>
        <v>52.6</v>
      </c>
      <c r="K7" s="14">
        <v>2.56</v>
      </c>
      <c r="L7" s="18">
        <f t="shared" si="4"/>
        <v>0</v>
      </c>
      <c r="M7" s="18">
        <f t="shared" si="5"/>
        <v>2.56</v>
      </c>
      <c r="N7" s="15">
        <f t="shared" si="6"/>
        <v>1022.227</v>
      </c>
      <c r="O7" s="15">
        <f>+N7-P7</f>
        <v>0</v>
      </c>
      <c r="P7" s="15">
        <f>+IF(N7&gt;D7,N7-D7,0)</f>
        <v>1022.227</v>
      </c>
      <c r="Q7" s="5">
        <f>+IF(P7=0,P7,P7/N7)</f>
        <v>1</v>
      </c>
    </row>
    <row r="8" spans="1:17" x14ac:dyDescent="0.25">
      <c r="A8" s="7">
        <v>46235.25</v>
      </c>
      <c r="B8" s="6">
        <v>3.15</v>
      </c>
      <c r="C8" s="13">
        <v>0</v>
      </c>
      <c r="D8" s="18">
        <f>+B8+C8</f>
        <v>3.15</v>
      </c>
      <c r="E8" s="14">
        <v>233.1</v>
      </c>
      <c r="F8" s="18">
        <f t="shared" si="0"/>
        <v>2.6024845821223437</v>
      </c>
      <c r="G8" s="18">
        <f t="shared" si="1"/>
        <v>230.49751541787765</v>
      </c>
      <c r="H8" s="14">
        <v>45.28</v>
      </c>
      <c r="I8" s="18">
        <f t="shared" si="2"/>
        <v>0.50553625859502205</v>
      </c>
      <c r="J8" s="18">
        <f t="shared" si="3"/>
        <v>44.774463741404979</v>
      </c>
      <c r="K8" s="14">
        <v>3.76</v>
      </c>
      <c r="L8" s="18">
        <f t="shared" si="4"/>
        <v>4.19791592826253E-2</v>
      </c>
      <c r="M8" s="18">
        <f t="shared" si="5"/>
        <v>3.7180208407173745</v>
      </c>
      <c r="N8" s="15">
        <f t="shared" si="6"/>
        <v>282.14</v>
      </c>
      <c r="O8" s="15">
        <f>+N8-P8</f>
        <v>3.1499999999999773</v>
      </c>
      <c r="P8" s="15">
        <f>+IF(N8&gt;D8,N8-D8,0)</f>
        <v>278.99</v>
      </c>
      <c r="Q8" s="5">
        <f>+IF(P8=0,P8,P8/N8)</f>
        <v>0.98883532997802515</v>
      </c>
    </row>
    <row r="9" spans="1:17" x14ac:dyDescent="0.25">
      <c r="A9" s="7">
        <v>46235.291666666664</v>
      </c>
      <c r="B9" s="6">
        <v>192.15</v>
      </c>
      <c r="C9" s="13">
        <v>1.32</v>
      </c>
      <c r="D9" s="18">
        <f>+B9+C9</f>
        <v>193.47</v>
      </c>
      <c r="E9" s="14">
        <v>22.05</v>
      </c>
      <c r="F9" s="18">
        <f t="shared" si="0"/>
        <v>22.05</v>
      </c>
      <c r="G9" s="18">
        <f t="shared" si="1"/>
        <v>0</v>
      </c>
      <c r="H9" s="14">
        <v>37.72</v>
      </c>
      <c r="I9" s="18">
        <f t="shared" si="2"/>
        <v>37.72</v>
      </c>
      <c r="J9" s="18">
        <f t="shared" si="3"/>
        <v>0</v>
      </c>
      <c r="K9" s="14">
        <v>2.3199999999999998</v>
      </c>
      <c r="L9" s="18">
        <f t="shared" si="4"/>
        <v>2.3199999999999998</v>
      </c>
      <c r="M9" s="18">
        <f t="shared" si="5"/>
        <v>0</v>
      </c>
      <c r="N9" s="15">
        <f t="shared" si="6"/>
        <v>62.089999999999996</v>
      </c>
      <c r="O9" s="15">
        <f>+N9-P9</f>
        <v>62.089999999999996</v>
      </c>
      <c r="P9" s="15">
        <f>+IF(N9&gt;D9,N9-D9,0)</f>
        <v>0</v>
      </c>
      <c r="Q9" s="5">
        <f>+IF(P9=0,P9,P9/N9)</f>
        <v>0</v>
      </c>
    </row>
    <row r="10" spans="1:17" x14ac:dyDescent="0.25">
      <c r="A10" s="7">
        <v>46235.333333333336</v>
      </c>
      <c r="B10" s="6">
        <v>589.04999999999995</v>
      </c>
      <c r="C10" s="13">
        <v>0</v>
      </c>
      <c r="D10" s="18">
        <f>+B10+C10</f>
        <v>589.04999999999995</v>
      </c>
      <c r="E10" s="14">
        <v>0</v>
      </c>
      <c r="F10" s="18">
        <f t="shared" si="0"/>
        <v>0</v>
      </c>
      <c r="G10" s="18">
        <f t="shared" si="1"/>
        <v>0</v>
      </c>
      <c r="H10" s="14">
        <v>122.67999999999999</v>
      </c>
      <c r="I10" s="18">
        <f t="shared" si="2"/>
        <v>122.67999999999999</v>
      </c>
      <c r="J10" s="18">
        <f t="shared" si="3"/>
        <v>0</v>
      </c>
      <c r="K10" s="14">
        <v>17.68</v>
      </c>
      <c r="L10" s="18">
        <f t="shared" si="4"/>
        <v>17.68</v>
      </c>
      <c r="M10" s="18">
        <f t="shared" si="5"/>
        <v>0</v>
      </c>
      <c r="N10" s="15">
        <f t="shared" si="6"/>
        <v>140.35999999999999</v>
      </c>
      <c r="O10" s="15">
        <f>+N10-P10</f>
        <v>140.35999999999999</v>
      </c>
      <c r="P10" s="15">
        <f>+IF(N10&gt;D10,N10-D10,0)</f>
        <v>0</v>
      </c>
      <c r="Q10" s="5">
        <f>+IF(P10=0,P10,P10/N10)</f>
        <v>0</v>
      </c>
    </row>
    <row r="11" spans="1:17" x14ac:dyDescent="0.25">
      <c r="A11" s="7">
        <v>46235.375</v>
      </c>
      <c r="B11" s="6">
        <v>1250.55</v>
      </c>
      <c r="C11" s="13">
        <v>0.12</v>
      </c>
      <c r="D11" s="18">
        <f>+B11+C11</f>
        <v>1250.6699999999998</v>
      </c>
      <c r="E11" s="14">
        <v>0</v>
      </c>
      <c r="F11" s="18">
        <f t="shared" si="0"/>
        <v>0</v>
      </c>
      <c r="G11" s="18">
        <f t="shared" si="1"/>
        <v>0</v>
      </c>
      <c r="H11" s="14">
        <v>69.400000000000006</v>
      </c>
      <c r="I11" s="18">
        <f t="shared" si="2"/>
        <v>69.400000000000006</v>
      </c>
      <c r="J11" s="18">
        <f t="shared" si="3"/>
        <v>0</v>
      </c>
      <c r="K11" s="14">
        <v>42.4</v>
      </c>
      <c r="L11" s="18">
        <f t="shared" si="4"/>
        <v>42.4</v>
      </c>
      <c r="M11" s="18">
        <f t="shared" si="5"/>
        <v>0</v>
      </c>
      <c r="N11" s="15">
        <f t="shared" si="6"/>
        <v>111.80000000000001</v>
      </c>
      <c r="O11" s="15">
        <f>+N11-P11</f>
        <v>111.80000000000001</v>
      </c>
      <c r="P11" s="15">
        <f>+IF(N11&gt;D11,N11-D11,0)</f>
        <v>0</v>
      </c>
      <c r="Q11" s="5">
        <f>+IF(P11=0,P11,P11/N11)</f>
        <v>0</v>
      </c>
    </row>
    <row r="12" spans="1:17" x14ac:dyDescent="0.25">
      <c r="A12" s="7">
        <v>46235.416666666664</v>
      </c>
      <c r="B12" s="6">
        <v>1710.45</v>
      </c>
      <c r="C12" s="13">
        <v>5.52</v>
      </c>
      <c r="D12" s="18">
        <f>+B12+C12</f>
        <v>1715.97</v>
      </c>
      <c r="E12" s="14">
        <v>0</v>
      </c>
      <c r="F12" s="18">
        <f t="shared" si="0"/>
        <v>0</v>
      </c>
      <c r="G12" s="18">
        <f t="shared" si="1"/>
        <v>0</v>
      </c>
      <c r="H12" s="14">
        <v>38.199999999999996</v>
      </c>
      <c r="I12" s="18">
        <f t="shared" si="2"/>
        <v>38.199999999999996</v>
      </c>
      <c r="J12" s="18">
        <f t="shared" si="3"/>
        <v>0</v>
      </c>
      <c r="K12" s="14">
        <v>27.16</v>
      </c>
      <c r="L12" s="18">
        <f t="shared" si="4"/>
        <v>27.16</v>
      </c>
      <c r="M12" s="18">
        <f t="shared" si="5"/>
        <v>0</v>
      </c>
      <c r="N12" s="15">
        <f t="shared" si="6"/>
        <v>65.36</v>
      </c>
      <c r="O12" s="15">
        <f>+N12-P12</f>
        <v>65.36</v>
      </c>
      <c r="P12" s="15">
        <f>+IF(N12&gt;D12,N12-D12,0)</f>
        <v>0</v>
      </c>
      <c r="Q12" s="5">
        <f>+IF(P12=0,P12,P12/N12)</f>
        <v>0</v>
      </c>
    </row>
    <row r="13" spans="1:17" x14ac:dyDescent="0.25">
      <c r="A13" s="7">
        <v>46235.458333333336</v>
      </c>
      <c r="B13" s="6">
        <v>2016</v>
      </c>
      <c r="C13" s="13">
        <v>37.56</v>
      </c>
      <c r="D13" s="18">
        <f>+B13+C13</f>
        <v>2053.56</v>
      </c>
      <c r="E13" s="14">
        <v>0</v>
      </c>
      <c r="F13" s="18">
        <f t="shared" si="0"/>
        <v>0</v>
      </c>
      <c r="G13" s="18">
        <f t="shared" si="1"/>
        <v>0</v>
      </c>
      <c r="H13" s="14">
        <v>3.76</v>
      </c>
      <c r="I13" s="18">
        <f t="shared" si="2"/>
        <v>3.76</v>
      </c>
      <c r="J13" s="18">
        <f t="shared" si="3"/>
        <v>0</v>
      </c>
      <c r="K13" s="14">
        <v>28.119999999999997</v>
      </c>
      <c r="L13" s="18">
        <f t="shared" si="4"/>
        <v>28.119999999999997</v>
      </c>
      <c r="M13" s="18">
        <f t="shared" si="5"/>
        <v>0</v>
      </c>
      <c r="N13" s="15">
        <f t="shared" si="6"/>
        <v>31.879999999999995</v>
      </c>
      <c r="O13" s="15">
        <f>+N13-P13</f>
        <v>31.879999999999995</v>
      </c>
      <c r="P13" s="15">
        <f>+IF(N13&gt;D13,N13-D13,0)</f>
        <v>0</v>
      </c>
      <c r="Q13" s="5">
        <f>+IF(P13=0,P13,P13/N13)</f>
        <v>0</v>
      </c>
    </row>
    <row r="14" spans="1:17" x14ac:dyDescent="0.25">
      <c r="A14" s="7">
        <v>46235.5</v>
      </c>
      <c r="B14" s="6">
        <v>2551.5</v>
      </c>
      <c r="C14" s="13">
        <v>71.400000000000006</v>
      </c>
      <c r="D14" s="18">
        <f>+B14+C14</f>
        <v>2622.9</v>
      </c>
      <c r="E14" s="14">
        <v>0</v>
      </c>
      <c r="F14" s="18">
        <f t="shared" si="0"/>
        <v>0</v>
      </c>
      <c r="G14" s="18">
        <f t="shared" si="1"/>
        <v>0</v>
      </c>
      <c r="H14" s="14">
        <v>1.36</v>
      </c>
      <c r="I14" s="18">
        <f t="shared" si="2"/>
        <v>1.36</v>
      </c>
      <c r="J14" s="18">
        <f t="shared" si="3"/>
        <v>0</v>
      </c>
      <c r="K14" s="14">
        <v>37.119999999999997</v>
      </c>
      <c r="L14" s="18">
        <f t="shared" si="4"/>
        <v>37.119999999999997</v>
      </c>
      <c r="M14" s="18">
        <f t="shared" si="5"/>
        <v>0</v>
      </c>
      <c r="N14" s="15">
        <f t="shared" si="6"/>
        <v>38.479999999999997</v>
      </c>
      <c r="O14" s="15">
        <f>+N14-P14</f>
        <v>38.479999999999997</v>
      </c>
      <c r="P14" s="15">
        <f>+IF(N14&gt;D14,N14-D14,0)</f>
        <v>0</v>
      </c>
      <c r="Q14" s="5">
        <f>+IF(P14=0,P14,P14/N14)</f>
        <v>0</v>
      </c>
    </row>
    <row r="15" spans="1:17" x14ac:dyDescent="0.25">
      <c r="A15" s="7">
        <v>46235.541666666664</v>
      </c>
      <c r="B15" s="6">
        <v>2488.5</v>
      </c>
      <c r="C15" s="13">
        <v>58.68</v>
      </c>
      <c r="D15" s="18">
        <f>+B15+C15</f>
        <v>2547.1799999999998</v>
      </c>
      <c r="E15" s="14">
        <v>0</v>
      </c>
      <c r="F15" s="18">
        <f t="shared" si="0"/>
        <v>0</v>
      </c>
      <c r="G15" s="18">
        <f t="shared" si="1"/>
        <v>0</v>
      </c>
      <c r="H15" s="14">
        <v>1.48</v>
      </c>
      <c r="I15" s="18">
        <f t="shared" si="2"/>
        <v>1.48</v>
      </c>
      <c r="J15" s="18">
        <f t="shared" si="3"/>
        <v>0</v>
      </c>
      <c r="K15" s="14">
        <v>35.92</v>
      </c>
      <c r="L15" s="18">
        <f t="shared" si="4"/>
        <v>35.92</v>
      </c>
      <c r="M15" s="18">
        <f t="shared" si="5"/>
        <v>0</v>
      </c>
      <c r="N15" s="15">
        <f t="shared" si="6"/>
        <v>37.4</v>
      </c>
      <c r="O15" s="15">
        <f>+N15-P15</f>
        <v>37.4</v>
      </c>
      <c r="P15" s="15">
        <f>+IF(N15&gt;D15,N15-D15,0)</f>
        <v>0</v>
      </c>
      <c r="Q15" s="5">
        <f>+IF(P15=0,P15,P15/N15)</f>
        <v>0</v>
      </c>
    </row>
    <row r="16" spans="1:17" x14ac:dyDescent="0.25">
      <c r="A16" s="7">
        <v>46235.583333333336</v>
      </c>
      <c r="B16" s="6">
        <v>1902.6</v>
      </c>
      <c r="C16" s="13">
        <v>41.64</v>
      </c>
      <c r="D16" s="18">
        <f>+B16+C16</f>
        <v>1944.24</v>
      </c>
      <c r="E16" s="14">
        <v>0</v>
      </c>
      <c r="F16" s="18">
        <f t="shared" si="0"/>
        <v>0</v>
      </c>
      <c r="G16" s="18">
        <f t="shared" si="1"/>
        <v>0</v>
      </c>
      <c r="H16" s="14">
        <v>3.28</v>
      </c>
      <c r="I16" s="18">
        <f t="shared" si="2"/>
        <v>3.28</v>
      </c>
      <c r="J16" s="18">
        <f t="shared" si="3"/>
        <v>0</v>
      </c>
      <c r="K16" s="14">
        <v>43.72</v>
      </c>
      <c r="L16" s="18">
        <f t="shared" si="4"/>
        <v>43.72</v>
      </c>
      <c r="M16" s="18">
        <f t="shared" si="5"/>
        <v>0</v>
      </c>
      <c r="N16" s="15">
        <f t="shared" si="6"/>
        <v>47</v>
      </c>
      <c r="O16" s="15">
        <f>+N16-P16</f>
        <v>47</v>
      </c>
      <c r="P16" s="15">
        <f>+IF(N16&gt;D16,N16-D16,0)</f>
        <v>0</v>
      </c>
      <c r="Q16" s="5">
        <f>+IF(P16=0,P16,P16/N16)</f>
        <v>0</v>
      </c>
    </row>
    <row r="17" spans="1:17" x14ac:dyDescent="0.25">
      <c r="A17" s="7">
        <v>46235.625</v>
      </c>
      <c r="B17" s="6">
        <v>1549.8</v>
      </c>
      <c r="C17" s="13">
        <v>28.32</v>
      </c>
      <c r="D17" s="18">
        <f>+B17+C17</f>
        <v>1578.12</v>
      </c>
      <c r="E17" s="14">
        <v>0</v>
      </c>
      <c r="F17" s="18">
        <f t="shared" si="0"/>
        <v>0</v>
      </c>
      <c r="G17" s="18">
        <f t="shared" si="1"/>
        <v>0</v>
      </c>
      <c r="H17" s="14">
        <v>8.9200000000000017</v>
      </c>
      <c r="I17" s="18">
        <f t="shared" si="2"/>
        <v>8.9200000000000017</v>
      </c>
      <c r="J17" s="18">
        <f t="shared" si="3"/>
        <v>0</v>
      </c>
      <c r="K17" s="14">
        <v>26.8</v>
      </c>
      <c r="L17" s="18">
        <f t="shared" si="4"/>
        <v>26.8</v>
      </c>
      <c r="M17" s="18">
        <f t="shared" si="5"/>
        <v>0</v>
      </c>
      <c r="N17" s="15">
        <f t="shared" si="6"/>
        <v>35.72</v>
      </c>
      <c r="O17" s="15">
        <f>+N17-P17</f>
        <v>35.72</v>
      </c>
      <c r="P17" s="15">
        <f>+IF(N17&gt;D17,N17-D17,0)</f>
        <v>0</v>
      </c>
      <c r="Q17" s="5">
        <f>+IF(P17=0,P17,P17/N17)</f>
        <v>0</v>
      </c>
    </row>
    <row r="18" spans="1:17" x14ac:dyDescent="0.25">
      <c r="A18" s="7">
        <v>46235.666666666664</v>
      </c>
      <c r="B18" s="6">
        <v>929.25</v>
      </c>
      <c r="C18" s="13">
        <v>8.16</v>
      </c>
      <c r="D18" s="18">
        <f>+B18+C18</f>
        <v>937.41</v>
      </c>
      <c r="E18" s="14">
        <v>0</v>
      </c>
      <c r="F18" s="18">
        <f t="shared" si="0"/>
        <v>0</v>
      </c>
      <c r="G18" s="18">
        <f t="shared" si="1"/>
        <v>0</v>
      </c>
      <c r="H18" s="14">
        <v>23.8</v>
      </c>
      <c r="I18" s="18">
        <f t="shared" si="2"/>
        <v>23.8</v>
      </c>
      <c r="J18" s="18">
        <f t="shared" si="3"/>
        <v>0</v>
      </c>
      <c r="K18" s="14">
        <v>34.479999999999997</v>
      </c>
      <c r="L18" s="18">
        <f t="shared" si="4"/>
        <v>34.479999999999997</v>
      </c>
      <c r="M18" s="18">
        <f t="shared" si="5"/>
        <v>0</v>
      </c>
      <c r="N18" s="15">
        <f t="shared" si="6"/>
        <v>58.28</v>
      </c>
      <c r="O18" s="15">
        <f>+N18-P18</f>
        <v>58.28</v>
      </c>
      <c r="P18" s="15">
        <f>+IF(N18&gt;D18,N18-D18,0)</f>
        <v>0</v>
      </c>
      <c r="Q18" s="5">
        <f>+IF(P18=0,P18,P18/N18)</f>
        <v>0</v>
      </c>
    </row>
    <row r="19" spans="1:17" x14ac:dyDescent="0.25">
      <c r="A19" s="7">
        <v>46235.708333333336</v>
      </c>
      <c r="B19" s="6">
        <v>233.1</v>
      </c>
      <c r="C19" s="13">
        <v>0.6</v>
      </c>
      <c r="D19" s="18">
        <f>+B19+C19</f>
        <v>233.7</v>
      </c>
      <c r="E19" s="14">
        <v>40.946000000000005</v>
      </c>
      <c r="F19" s="18">
        <f t="shared" si="0"/>
        <v>40.946000000000005</v>
      </c>
      <c r="G19" s="18">
        <f t="shared" si="1"/>
        <v>0</v>
      </c>
      <c r="H19" s="14">
        <v>33.76</v>
      </c>
      <c r="I19" s="18">
        <f t="shared" si="2"/>
        <v>33.76</v>
      </c>
      <c r="J19" s="18">
        <f t="shared" si="3"/>
        <v>0</v>
      </c>
      <c r="K19" s="14">
        <v>31</v>
      </c>
      <c r="L19" s="18">
        <f t="shared" si="4"/>
        <v>31</v>
      </c>
      <c r="M19" s="18">
        <f t="shared" si="5"/>
        <v>0</v>
      </c>
      <c r="N19" s="15">
        <f t="shared" si="6"/>
        <v>105.706</v>
      </c>
      <c r="O19" s="15">
        <f>+N19-P19</f>
        <v>105.706</v>
      </c>
      <c r="P19" s="15">
        <f>+IF(N19&gt;D19,N19-D19,0)</f>
        <v>0</v>
      </c>
      <c r="Q19" s="5">
        <f>+IF(P19=0,P19,P19/N19)</f>
        <v>0</v>
      </c>
    </row>
    <row r="20" spans="1:17" x14ac:dyDescent="0.25">
      <c r="A20" s="7">
        <v>46235.75</v>
      </c>
      <c r="B20" s="6">
        <v>15.75</v>
      </c>
      <c r="C20" s="13">
        <v>0</v>
      </c>
      <c r="D20" s="18">
        <f>+B20+C20</f>
        <v>15.75</v>
      </c>
      <c r="E20" s="14">
        <v>94.490000000000009</v>
      </c>
      <c r="F20" s="18">
        <f t="shared" si="0"/>
        <v>9.085022281911975</v>
      </c>
      <c r="G20" s="18">
        <f t="shared" si="1"/>
        <v>85.404977718088034</v>
      </c>
      <c r="H20" s="14">
        <v>47.08</v>
      </c>
      <c r="I20" s="18">
        <f t="shared" si="2"/>
        <v>4.5266467248641717</v>
      </c>
      <c r="J20" s="18">
        <f t="shared" si="3"/>
        <v>42.553353275135827</v>
      </c>
      <c r="K20" s="14">
        <v>22.24</v>
      </c>
      <c r="L20" s="18">
        <f t="shared" si="4"/>
        <v>2.1383309932238568</v>
      </c>
      <c r="M20" s="18">
        <f t="shared" si="5"/>
        <v>20.101669006776142</v>
      </c>
      <c r="N20" s="15">
        <f t="shared" si="6"/>
        <v>163.81</v>
      </c>
      <c r="O20" s="15">
        <f>+N20-P20</f>
        <v>15.75</v>
      </c>
      <c r="P20" s="15">
        <f>+IF(N20&gt;D20,N20-D20,0)</f>
        <v>148.06</v>
      </c>
      <c r="Q20" s="5">
        <f>+IF(P20=0,P20,P20/N20)</f>
        <v>0.90385202368597761</v>
      </c>
    </row>
    <row r="21" spans="1:17" x14ac:dyDescent="0.25">
      <c r="A21" s="7">
        <v>46235.791666666664</v>
      </c>
      <c r="B21" s="6">
        <v>0</v>
      </c>
      <c r="C21" s="13">
        <v>0</v>
      </c>
      <c r="D21" s="18">
        <f>+B21+C21</f>
        <v>0</v>
      </c>
      <c r="E21" s="14">
        <v>340.16300000000001</v>
      </c>
      <c r="F21" s="18">
        <f t="shared" si="0"/>
        <v>0</v>
      </c>
      <c r="G21" s="18">
        <f t="shared" si="1"/>
        <v>340.16300000000001</v>
      </c>
      <c r="H21" s="14">
        <v>58.24</v>
      </c>
      <c r="I21" s="18">
        <f t="shared" si="2"/>
        <v>0</v>
      </c>
      <c r="J21" s="18">
        <f t="shared" si="3"/>
        <v>58.24</v>
      </c>
      <c r="K21" s="14">
        <v>7.36</v>
      </c>
      <c r="L21" s="18">
        <f t="shared" si="4"/>
        <v>0</v>
      </c>
      <c r="M21" s="18">
        <f t="shared" si="5"/>
        <v>7.36</v>
      </c>
      <c r="N21" s="15">
        <f t="shared" si="6"/>
        <v>405.76300000000003</v>
      </c>
      <c r="O21" s="15">
        <f>+N21-P21</f>
        <v>0</v>
      </c>
      <c r="P21" s="15">
        <f>+IF(N21&gt;D21,N21-D21,0)</f>
        <v>405.76300000000003</v>
      </c>
      <c r="Q21" s="5">
        <f>+IF(P21=0,P21,P21/N21)</f>
        <v>1</v>
      </c>
    </row>
    <row r="22" spans="1:17" x14ac:dyDescent="0.25">
      <c r="A22" s="7">
        <v>46235.833333333336</v>
      </c>
      <c r="B22" s="6">
        <v>0</v>
      </c>
      <c r="C22" s="13">
        <v>0</v>
      </c>
      <c r="D22" s="18">
        <f>+B22+C22</f>
        <v>0</v>
      </c>
      <c r="E22" s="14">
        <v>973.245</v>
      </c>
      <c r="F22" s="18">
        <f t="shared" si="0"/>
        <v>0</v>
      </c>
      <c r="G22" s="18">
        <f t="shared" si="1"/>
        <v>973.245</v>
      </c>
      <c r="H22" s="14">
        <v>59.08</v>
      </c>
      <c r="I22" s="18">
        <f t="shared" si="2"/>
        <v>0</v>
      </c>
      <c r="J22" s="18">
        <f t="shared" si="3"/>
        <v>59.08</v>
      </c>
      <c r="K22" s="14">
        <v>5.32</v>
      </c>
      <c r="L22" s="18">
        <f t="shared" si="4"/>
        <v>0</v>
      </c>
      <c r="M22" s="18">
        <f t="shared" si="5"/>
        <v>5.32</v>
      </c>
      <c r="N22" s="15">
        <f t="shared" si="6"/>
        <v>1037.645</v>
      </c>
      <c r="O22" s="15">
        <f>+N22-P22</f>
        <v>0</v>
      </c>
      <c r="P22" s="15">
        <f>+IF(N22&gt;D22,N22-D22,0)</f>
        <v>1037.645</v>
      </c>
      <c r="Q22" s="5">
        <f>+IF(P22=0,P22,P22/N22)</f>
        <v>1</v>
      </c>
    </row>
    <row r="23" spans="1:17" x14ac:dyDescent="0.25">
      <c r="A23" s="7">
        <v>46235.875</v>
      </c>
      <c r="B23" s="6">
        <v>0</v>
      </c>
      <c r="C23" s="13">
        <v>0</v>
      </c>
      <c r="D23" s="18">
        <f>+B23+C23</f>
        <v>0</v>
      </c>
      <c r="E23" s="14">
        <v>976.39499999999998</v>
      </c>
      <c r="F23" s="18">
        <f t="shared" si="0"/>
        <v>0</v>
      </c>
      <c r="G23" s="18">
        <f t="shared" si="1"/>
        <v>976.39499999999998</v>
      </c>
      <c r="H23" s="14">
        <v>52.24</v>
      </c>
      <c r="I23" s="18">
        <f t="shared" si="2"/>
        <v>0</v>
      </c>
      <c r="J23" s="18">
        <f t="shared" si="3"/>
        <v>52.24</v>
      </c>
      <c r="K23" s="14">
        <v>2.44</v>
      </c>
      <c r="L23" s="18">
        <f t="shared" si="4"/>
        <v>0</v>
      </c>
      <c r="M23" s="18">
        <f t="shared" si="5"/>
        <v>2.44</v>
      </c>
      <c r="N23" s="15">
        <f t="shared" si="6"/>
        <v>1031.075</v>
      </c>
      <c r="O23" s="15">
        <f>+N23-P23</f>
        <v>0</v>
      </c>
      <c r="P23" s="15">
        <f>+IF(N23&gt;D23,N23-D23,0)</f>
        <v>1031.075</v>
      </c>
      <c r="Q23" s="5">
        <f>+IF(P23=0,P23,P23/N23)</f>
        <v>1</v>
      </c>
    </row>
    <row r="24" spans="1:17" x14ac:dyDescent="0.25">
      <c r="A24" s="7">
        <v>46235.916666666664</v>
      </c>
      <c r="B24" s="6">
        <v>0</v>
      </c>
      <c r="C24" s="13">
        <v>0</v>
      </c>
      <c r="D24" s="18">
        <f>+B24+C24</f>
        <v>0</v>
      </c>
      <c r="E24" s="14">
        <v>1011.1680000000001</v>
      </c>
      <c r="F24" s="18">
        <f t="shared" si="0"/>
        <v>0</v>
      </c>
      <c r="G24" s="18">
        <f t="shared" si="1"/>
        <v>1011.1680000000001</v>
      </c>
      <c r="H24" s="14">
        <v>51.28</v>
      </c>
      <c r="I24" s="18">
        <f t="shared" si="2"/>
        <v>0</v>
      </c>
      <c r="J24" s="18">
        <f t="shared" si="3"/>
        <v>51.28</v>
      </c>
      <c r="K24" s="14">
        <v>2.8</v>
      </c>
      <c r="L24" s="18">
        <f t="shared" si="4"/>
        <v>0</v>
      </c>
      <c r="M24" s="18">
        <f t="shared" si="5"/>
        <v>2.8</v>
      </c>
      <c r="N24" s="15">
        <f t="shared" si="6"/>
        <v>1065.248</v>
      </c>
      <c r="O24" s="15">
        <f>+N24-P24</f>
        <v>0</v>
      </c>
      <c r="P24" s="15">
        <f>+IF(N24&gt;D24,N24-D24,0)</f>
        <v>1065.248</v>
      </c>
      <c r="Q24" s="5">
        <f>+IF(P24=0,P24,P24/N24)</f>
        <v>1</v>
      </c>
    </row>
    <row r="25" spans="1:17" x14ac:dyDescent="0.25">
      <c r="A25" s="7">
        <v>46235.958333333336</v>
      </c>
      <c r="B25" s="6">
        <v>0</v>
      </c>
      <c r="C25" s="13">
        <v>0</v>
      </c>
      <c r="D25" s="18">
        <f>+B25+C25</f>
        <v>0</v>
      </c>
      <c r="E25" s="14">
        <v>1011.1680000000001</v>
      </c>
      <c r="F25" s="18">
        <f t="shared" si="0"/>
        <v>0</v>
      </c>
      <c r="G25" s="18">
        <f t="shared" si="1"/>
        <v>1011.1680000000001</v>
      </c>
      <c r="H25" s="14">
        <v>47.199999999999996</v>
      </c>
      <c r="I25" s="18">
        <f t="shared" si="2"/>
        <v>0</v>
      </c>
      <c r="J25" s="18">
        <f t="shared" si="3"/>
        <v>47.199999999999996</v>
      </c>
      <c r="K25" s="14">
        <v>2.92</v>
      </c>
      <c r="L25" s="18">
        <f t="shared" si="4"/>
        <v>0</v>
      </c>
      <c r="M25" s="18">
        <f t="shared" si="5"/>
        <v>2.92</v>
      </c>
      <c r="N25" s="15">
        <f t="shared" si="6"/>
        <v>1061.2880000000002</v>
      </c>
      <c r="O25" s="15">
        <f>+N25-P25</f>
        <v>0</v>
      </c>
      <c r="P25" s="15">
        <f>+IF(N25&gt;D25,N25-D25,0)</f>
        <v>1061.2880000000002</v>
      </c>
      <c r="Q25" s="5">
        <f>+IF(P25=0,P25,P25/N25)</f>
        <v>1</v>
      </c>
    </row>
    <row r="26" spans="1:17" x14ac:dyDescent="0.25">
      <c r="A26" s="7">
        <v>46236</v>
      </c>
      <c r="B26" s="6">
        <v>0</v>
      </c>
      <c r="C26" s="13">
        <v>0</v>
      </c>
      <c r="D26" s="18">
        <f>+B26+C26</f>
        <v>0</v>
      </c>
      <c r="E26" s="14">
        <v>872.56500000000005</v>
      </c>
      <c r="F26" s="18">
        <f t="shared" si="0"/>
        <v>0</v>
      </c>
      <c r="G26" s="18">
        <f t="shared" si="1"/>
        <v>872.56500000000005</v>
      </c>
      <c r="H26" s="14">
        <v>53.92</v>
      </c>
      <c r="I26" s="18">
        <f t="shared" si="2"/>
        <v>0</v>
      </c>
      <c r="J26" s="18">
        <f t="shared" si="3"/>
        <v>53.92</v>
      </c>
      <c r="K26" s="14">
        <v>2.8</v>
      </c>
      <c r="L26" s="18">
        <f t="shared" si="4"/>
        <v>0</v>
      </c>
      <c r="M26" s="18">
        <f t="shared" si="5"/>
        <v>2.8</v>
      </c>
      <c r="N26" s="15">
        <f t="shared" si="6"/>
        <v>929.28499999999997</v>
      </c>
      <c r="O26" s="15">
        <f>+N26-P26</f>
        <v>0</v>
      </c>
      <c r="P26" s="15">
        <f>+IF(N26&gt;D26,N26-D26,0)</f>
        <v>929.28499999999997</v>
      </c>
      <c r="Q26" s="5">
        <f>+IF(P26=0,P26,P26/N26)</f>
        <v>1</v>
      </c>
    </row>
    <row r="27" spans="1:17" x14ac:dyDescent="0.25">
      <c r="A27" s="7">
        <v>46236.041666666664</v>
      </c>
      <c r="B27" s="6">
        <v>0</v>
      </c>
      <c r="C27" s="13">
        <v>0</v>
      </c>
      <c r="D27" s="18">
        <f>+B27+C27</f>
        <v>0</v>
      </c>
      <c r="E27" s="14">
        <v>44.100999999999999</v>
      </c>
      <c r="F27" s="18">
        <f t="shared" si="0"/>
        <v>0</v>
      </c>
      <c r="G27" s="18">
        <f t="shared" si="1"/>
        <v>44.100999999999999</v>
      </c>
      <c r="H27" s="14">
        <v>53.080000000000005</v>
      </c>
      <c r="I27" s="18">
        <f t="shared" si="2"/>
        <v>0</v>
      </c>
      <c r="J27" s="18">
        <f t="shared" si="3"/>
        <v>53.080000000000005</v>
      </c>
      <c r="K27" s="14">
        <v>2.8</v>
      </c>
      <c r="L27" s="18">
        <f t="shared" si="4"/>
        <v>0</v>
      </c>
      <c r="M27" s="18">
        <f t="shared" si="5"/>
        <v>2.8</v>
      </c>
      <c r="N27" s="15">
        <f t="shared" si="6"/>
        <v>99.981000000000009</v>
      </c>
      <c r="O27" s="15">
        <f>+N27-P27</f>
        <v>0</v>
      </c>
      <c r="P27" s="15">
        <f>+IF(N27&gt;D27,N27-D27,0)</f>
        <v>99.981000000000009</v>
      </c>
      <c r="Q27" s="5">
        <f>+IF(P27=0,P27,P27/N27)</f>
        <v>1</v>
      </c>
    </row>
    <row r="28" spans="1:17" x14ac:dyDescent="0.25">
      <c r="A28" s="7">
        <v>46236.083333333336</v>
      </c>
      <c r="B28" s="6">
        <v>0</v>
      </c>
      <c r="C28" s="13">
        <v>0</v>
      </c>
      <c r="D28" s="18">
        <f>+B28+C28</f>
        <v>0</v>
      </c>
      <c r="E28" s="14">
        <v>693.01199999999994</v>
      </c>
      <c r="F28" s="18">
        <f t="shared" si="0"/>
        <v>0</v>
      </c>
      <c r="G28" s="18">
        <f t="shared" si="1"/>
        <v>693.01199999999994</v>
      </c>
      <c r="H28" s="14">
        <v>53.32</v>
      </c>
      <c r="I28" s="18">
        <f t="shared" si="2"/>
        <v>0</v>
      </c>
      <c r="J28" s="18">
        <f t="shared" si="3"/>
        <v>53.32</v>
      </c>
      <c r="K28" s="14">
        <v>2.8</v>
      </c>
      <c r="L28" s="18">
        <f t="shared" si="4"/>
        <v>0</v>
      </c>
      <c r="M28" s="18">
        <f t="shared" si="5"/>
        <v>2.8</v>
      </c>
      <c r="N28" s="15">
        <f t="shared" si="6"/>
        <v>749.13199999999995</v>
      </c>
      <c r="O28" s="15">
        <f>+N28-P28</f>
        <v>0</v>
      </c>
      <c r="P28" s="15">
        <f>+IF(N28&gt;D28,N28-D28,0)</f>
        <v>749.13199999999995</v>
      </c>
      <c r="Q28" s="5">
        <f>+IF(P28=0,P28,P28/N28)</f>
        <v>1</v>
      </c>
    </row>
    <row r="29" spans="1:17" x14ac:dyDescent="0.25">
      <c r="A29" s="7">
        <v>46236.125</v>
      </c>
      <c r="B29" s="6">
        <v>0</v>
      </c>
      <c r="C29" s="13">
        <v>0</v>
      </c>
      <c r="D29" s="18">
        <f>+B29+C29</f>
        <v>0</v>
      </c>
      <c r="E29" s="14">
        <v>604.81100000000004</v>
      </c>
      <c r="F29" s="18">
        <f t="shared" si="0"/>
        <v>0</v>
      </c>
      <c r="G29" s="18">
        <f t="shared" si="1"/>
        <v>604.81100000000004</v>
      </c>
      <c r="H29" s="14">
        <v>48.88</v>
      </c>
      <c r="I29" s="18">
        <f t="shared" si="2"/>
        <v>0</v>
      </c>
      <c r="J29" s="18">
        <f t="shared" si="3"/>
        <v>48.88</v>
      </c>
      <c r="K29" s="14">
        <v>2.92</v>
      </c>
      <c r="L29" s="18">
        <f t="shared" si="4"/>
        <v>0</v>
      </c>
      <c r="M29" s="18">
        <f t="shared" si="5"/>
        <v>2.92</v>
      </c>
      <c r="N29" s="15">
        <f t="shared" si="6"/>
        <v>656.61099999999999</v>
      </c>
      <c r="O29" s="15">
        <f>+N29-P29</f>
        <v>0</v>
      </c>
      <c r="P29" s="15">
        <f>+IF(N29&gt;D29,N29-D29,0)</f>
        <v>656.61099999999999</v>
      </c>
      <c r="Q29" s="5">
        <f>+IF(P29=0,P29,P29/N29)</f>
        <v>1</v>
      </c>
    </row>
    <row r="30" spans="1:17" x14ac:dyDescent="0.25">
      <c r="A30" s="7">
        <v>46236.166666666664</v>
      </c>
      <c r="B30" s="6">
        <v>0</v>
      </c>
      <c r="C30" s="13">
        <v>0</v>
      </c>
      <c r="D30" s="18">
        <f>+B30+C30</f>
        <v>0</v>
      </c>
      <c r="E30" s="14">
        <v>507.15900000000005</v>
      </c>
      <c r="F30" s="18">
        <f t="shared" si="0"/>
        <v>0</v>
      </c>
      <c r="G30" s="18">
        <f t="shared" si="1"/>
        <v>507.15900000000005</v>
      </c>
      <c r="H30" s="14">
        <v>53.68</v>
      </c>
      <c r="I30" s="18">
        <f t="shared" si="2"/>
        <v>0</v>
      </c>
      <c r="J30" s="18">
        <f t="shared" si="3"/>
        <v>53.68</v>
      </c>
      <c r="K30" s="14">
        <v>2.68</v>
      </c>
      <c r="L30" s="18">
        <f t="shared" si="4"/>
        <v>0</v>
      </c>
      <c r="M30" s="18">
        <f t="shared" si="5"/>
        <v>2.68</v>
      </c>
      <c r="N30" s="15">
        <f t="shared" si="6"/>
        <v>563.51900000000001</v>
      </c>
      <c r="O30" s="15">
        <f>+N30-P30</f>
        <v>0</v>
      </c>
      <c r="P30" s="15">
        <f>+IF(N30&gt;D30,N30-D30,0)</f>
        <v>563.51900000000001</v>
      </c>
      <c r="Q30" s="5">
        <f>+IF(P30=0,P30,P30/N30)</f>
        <v>1</v>
      </c>
    </row>
    <row r="31" spans="1:17" x14ac:dyDescent="0.25">
      <c r="A31" s="7">
        <v>46236.208333333336</v>
      </c>
      <c r="B31" s="6">
        <v>0</v>
      </c>
      <c r="C31" s="13">
        <v>0</v>
      </c>
      <c r="D31" s="18">
        <f>+B31+C31</f>
        <v>0</v>
      </c>
      <c r="E31" s="14">
        <v>904.06600000000003</v>
      </c>
      <c r="F31" s="18">
        <f t="shared" si="0"/>
        <v>0</v>
      </c>
      <c r="G31" s="18">
        <f t="shared" si="1"/>
        <v>904.06600000000003</v>
      </c>
      <c r="H31" s="14">
        <v>61</v>
      </c>
      <c r="I31" s="18">
        <f t="shared" si="2"/>
        <v>0</v>
      </c>
      <c r="J31" s="18">
        <f t="shared" si="3"/>
        <v>61</v>
      </c>
      <c r="K31" s="14">
        <v>2.8</v>
      </c>
      <c r="L31" s="18">
        <f t="shared" si="4"/>
        <v>0</v>
      </c>
      <c r="M31" s="18">
        <f t="shared" si="5"/>
        <v>2.8</v>
      </c>
      <c r="N31" s="15">
        <f t="shared" si="6"/>
        <v>967.86599999999999</v>
      </c>
      <c r="O31" s="15">
        <f>+N31-P31</f>
        <v>0</v>
      </c>
      <c r="P31" s="15">
        <f>+IF(N31&gt;D31,N31-D31,0)</f>
        <v>967.86599999999999</v>
      </c>
      <c r="Q31" s="5">
        <f>+IF(P31=0,P31,P31/N31)</f>
        <v>1</v>
      </c>
    </row>
    <row r="32" spans="1:17" x14ac:dyDescent="0.25">
      <c r="A32" s="7">
        <v>46236.25</v>
      </c>
      <c r="B32" s="6">
        <v>72.45</v>
      </c>
      <c r="C32" s="13">
        <v>0</v>
      </c>
      <c r="D32" s="18">
        <f>+B32+C32</f>
        <v>72.45</v>
      </c>
      <c r="E32" s="14">
        <v>0</v>
      </c>
      <c r="F32" s="18">
        <f t="shared" si="0"/>
        <v>0</v>
      </c>
      <c r="G32" s="18">
        <f t="shared" si="1"/>
        <v>0</v>
      </c>
      <c r="H32" s="14">
        <v>41.68</v>
      </c>
      <c r="I32" s="18">
        <f t="shared" si="2"/>
        <v>41.68</v>
      </c>
      <c r="J32" s="18">
        <f t="shared" si="3"/>
        <v>0</v>
      </c>
      <c r="K32" s="14">
        <v>4</v>
      </c>
      <c r="L32" s="18">
        <f t="shared" si="4"/>
        <v>4</v>
      </c>
      <c r="M32" s="18">
        <f t="shared" si="5"/>
        <v>0</v>
      </c>
      <c r="N32" s="15">
        <f t="shared" si="6"/>
        <v>45.68</v>
      </c>
      <c r="O32" s="15">
        <f>+N32-P32</f>
        <v>45.68</v>
      </c>
      <c r="P32" s="15">
        <f>+IF(N32&gt;D32,N32-D32,0)</f>
        <v>0</v>
      </c>
      <c r="Q32" s="5">
        <f>+IF(P32=0,P32,P32/N32)</f>
        <v>0</v>
      </c>
    </row>
    <row r="33" spans="1:17" x14ac:dyDescent="0.25">
      <c r="A33" s="7">
        <v>46236.291666666664</v>
      </c>
      <c r="B33" s="6">
        <v>554.4</v>
      </c>
      <c r="C33" s="13">
        <v>3.84</v>
      </c>
      <c r="D33" s="18">
        <f>+B33+C33</f>
        <v>558.24</v>
      </c>
      <c r="E33" s="14">
        <v>0</v>
      </c>
      <c r="F33" s="18">
        <f t="shared" si="0"/>
        <v>0</v>
      </c>
      <c r="G33" s="18">
        <f t="shared" si="1"/>
        <v>0</v>
      </c>
      <c r="H33" s="14">
        <v>19.239999999999998</v>
      </c>
      <c r="I33" s="18">
        <f t="shared" si="2"/>
        <v>19.239999999999998</v>
      </c>
      <c r="J33" s="18">
        <f t="shared" si="3"/>
        <v>0</v>
      </c>
      <c r="K33" s="14">
        <v>2.44</v>
      </c>
      <c r="L33" s="18">
        <f t="shared" si="4"/>
        <v>2.44</v>
      </c>
      <c r="M33" s="18">
        <f t="shared" si="5"/>
        <v>0</v>
      </c>
      <c r="N33" s="15">
        <f t="shared" si="6"/>
        <v>21.68</v>
      </c>
      <c r="O33" s="15">
        <f>+N33-P33</f>
        <v>21.68</v>
      </c>
      <c r="P33" s="15">
        <f>+IF(N33&gt;D33,N33-D33,0)</f>
        <v>0</v>
      </c>
      <c r="Q33" s="5">
        <f>+IF(P33=0,P33,P33/N33)</f>
        <v>0</v>
      </c>
    </row>
    <row r="34" spans="1:17" x14ac:dyDescent="0.25">
      <c r="A34" s="7">
        <v>46236.333333333336</v>
      </c>
      <c r="B34" s="6">
        <v>1278.9000000000001</v>
      </c>
      <c r="C34" s="13">
        <v>14.04</v>
      </c>
      <c r="D34" s="18">
        <f>+B34+C34</f>
        <v>1292.94</v>
      </c>
      <c r="E34" s="14">
        <v>0</v>
      </c>
      <c r="F34" s="18">
        <f t="shared" si="0"/>
        <v>0</v>
      </c>
      <c r="G34" s="18">
        <f t="shared" si="1"/>
        <v>0</v>
      </c>
      <c r="H34" s="14">
        <v>25.96</v>
      </c>
      <c r="I34" s="18">
        <f t="shared" si="2"/>
        <v>25.96</v>
      </c>
      <c r="J34" s="18">
        <f t="shared" si="3"/>
        <v>0</v>
      </c>
      <c r="K34" s="14">
        <v>11.68</v>
      </c>
      <c r="L34" s="18">
        <f t="shared" si="4"/>
        <v>11.68</v>
      </c>
      <c r="M34" s="18">
        <f t="shared" si="5"/>
        <v>0</v>
      </c>
      <c r="N34" s="15">
        <f t="shared" si="6"/>
        <v>37.64</v>
      </c>
      <c r="O34" s="15">
        <f>+N34-P34</f>
        <v>37.64</v>
      </c>
      <c r="P34" s="15">
        <f>+IF(N34&gt;D34,N34-D34,0)</f>
        <v>0</v>
      </c>
      <c r="Q34" s="5">
        <f>+IF(P34=0,P34,P34/N34)</f>
        <v>0</v>
      </c>
    </row>
    <row r="35" spans="1:17" x14ac:dyDescent="0.25">
      <c r="A35" s="7">
        <v>46236.375</v>
      </c>
      <c r="B35" s="6">
        <v>1940.4</v>
      </c>
      <c r="C35" s="13">
        <v>61.56</v>
      </c>
      <c r="D35" s="18">
        <f>+B35+C35</f>
        <v>2001.96</v>
      </c>
      <c r="E35" s="14">
        <v>0</v>
      </c>
      <c r="F35" s="18">
        <f t="shared" si="0"/>
        <v>0</v>
      </c>
      <c r="G35" s="18">
        <f t="shared" si="1"/>
        <v>0</v>
      </c>
      <c r="H35" s="14">
        <v>1.84</v>
      </c>
      <c r="I35" s="18">
        <f t="shared" si="2"/>
        <v>1.84</v>
      </c>
      <c r="J35" s="18">
        <f t="shared" si="3"/>
        <v>0</v>
      </c>
      <c r="K35" s="14">
        <v>55.96</v>
      </c>
      <c r="L35" s="18">
        <f t="shared" si="4"/>
        <v>55.96</v>
      </c>
      <c r="M35" s="18">
        <f t="shared" si="5"/>
        <v>0</v>
      </c>
      <c r="N35" s="15">
        <f t="shared" si="6"/>
        <v>57.800000000000004</v>
      </c>
      <c r="O35" s="15">
        <f>+N35-P35</f>
        <v>57.800000000000004</v>
      </c>
      <c r="P35" s="15">
        <f>+IF(N35&gt;D35,N35-D35,0)</f>
        <v>0</v>
      </c>
      <c r="Q35" s="5">
        <f>+IF(P35=0,P35,P35/N35)</f>
        <v>0</v>
      </c>
    </row>
    <row r="36" spans="1:17" x14ac:dyDescent="0.25">
      <c r="A36" s="7">
        <v>46236.416666666664</v>
      </c>
      <c r="B36" s="6">
        <v>2444.4</v>
      </c>
      <c r="C36" s="13">
        <v>79.56</v>
      </c>
      <c r="D36" s="18">
        <f>+B36+C36</f>
        <v>2523.96</v>
      </c>
      <c r="E36" s="14">
        <v>0</v>
      </c>
      <c r="F36" s="18">
        <f t="shared" si="0"/>
        <v>0</v>
      </c>
      <c r="G36" s="18">
        <f t="shared" si="1"/>
        <v>0</v>
      </c>
      <c r="H36" s="14">
        <v>1.6</v>
      </c>
      <c r="I36" s="18">
        <f t="shared" si="2"/>
        <v>1.6</v>
      </c>
      <c r="J36" s="18">
        <f t="shared" si="3"/>
        <v>0</v>
      </c>
      <c r="K36" s="14">
        <v>42.52</v>
      </c>
      <c r="L36" s="18">
        <f t="shared" si="4"/>
        <v>42.52</v>
      </c>
      <c r="M36" s="18">
        <f t="shared" si="5"/>
        <v>0</v>
      </c>
      <c r="N36" s="15">
        <f t="shared" si="6"/>
        <v>44.120000000000005</v>
      </c>
      <c r="O36" s="15">
        <f>+N36-P36</f>
        <v>44.120000000000005</v>
      </c>
      <c r="P36" s="15">
        <f>+IF(N36&gt;D36,N36-D36,0)</f>
        <v>0</v>
      </c>
      <c r="Q36" s="5">
        <f>+IF(P36=0,P36,P36/N36)</f>
        <v>0</v>
      </c>
    </row>
    <row r="37" spans="1:17" x14ac:dyDescent="0.25">
      <c r="A37" s="7">
        <v>46236.458333333336</v>
      </c>
      <c r="B37" s="6">
        <v>2734.2</v>
      </c>
      <c r="C37" s="13">
        <v>117.72</v>
      </c>
      <c r="D37" s="18">
        <f>+B37+C37</f>
        <v>2851.9199999999996</v>
      </c>
      <c r="E37" s="14">
        <v>0</v>
      </c>
      <c r="F37" s="18">
        <f t="shared" si="0"/>
        <v>0</v>
      </c>
      <c r="G37" s="18">
        <f t="shared" si="1"/>
        <v>0</v>
      </c>
      <c r="H37" s="14">
        <v>1.1199999999999999</v>
      </c>
      <c r="I37" s="18">
        <f t="shared" si="2"/>
        <v>1.1199999999999999</v>
      </c>
      <c r="J37" s="18">
        <f t="shared" si="3"/>
        <v>0</v>
      </c>
      <c r="K37" s="14">
        <v>27.16</v>
      </c>
      <c r="L37" s="18">
        <f t="shared" si="4"/>
        <v>27.16</v>
      </c>
      <c r="M37" s="18">
        <f t="shared" si="5"/>
        <v>0</v>
      </c>
      <c r="N37" s="15">
        <f t="shared" si="6"/>
        <v>28.28</v>
      </c>
      <c r="O37" s="15">
        <f>+N37-P37</f>
        <v>28.28</v>
      </c>
      <c r="P37" s="15">
        <f>+IF(N37&gt;D37,N37-D37,0)</f>
        <v>0</v>
      </c>
      <c r="Q37" s="5">
        <f>+IF(P37=0,P37,P37/N37)</f>
        <v>0</v>
      </c>
    </row>
    <row r="38" spans="1:17" x14ac:dyDescent="0.25">
      <c r="A38" s="7">
        <v>46236.5</v>
      </c>
      <c r="B38" s="6">
        <v>2891.7</v>
      </c>
      <c r="C38" s="13">
        <v>115.8</v>
      </c>
      <c r="D38" s="18">
        <f>+B38+C38</f>
        <v>3007.5</v>
      </c>
      <c r="E38" s="14">
        <v>0</v>
      </c>
      <c r="F38" s="18">
        <f t="shared" si="0"/>
        <v>0</v>
      </c>
      <c r="G38" s="18">
        <f t="shared" si="1"/>
        <v>0</v>
      </c>
      <c r="H38" s="14">
        <v>1.1199999999999999</v>
      </c>
      <c r="I38" s="18">
        <f t="shared" si="2"/>
        <v>1.1199999999999999</v>
      </c>
      <c r="J38" s="18">
        <f t="shared" si="3"/>
        <v>0</v>
      </c>
      <c r="K38" s="14">
        <v>22.96</v>
      </c>
      <c r="L38" s="18">
        <f t="shared" si="4"/>
        <v>22.96</v>
      </c>
      <c r="M38" s="18">
        <f t="shared" si="5"/>
        <v>0</v>
      </c>
      <c r="N38" s="15">
        <f t="shared" si="6"/>
        <v>24.080000000000002</v>
      </c>
      <c r="O38" s="15">
        <f>+N38-P38</f>
        <v>24.080000000000002</v>
      </c>
      <c r="P38" s="15">
        <f>+IF(N38&gt;D38,N38-D38,0)</f>
        <v>0</v>
      </c>
      <c r="Q38" s="5">
        <f>+IF(P38=0,P38,P38/N38)</f>
        <v>0</v>
      </c>
    </row>
    <row r="39" spans="1:17" x14ac:dyDescent="0.25">
      <c r="A39" s="7">
        <v>46236.541666666664</v>
      </c>
      <c r="B39" s="6">
        <v>2869.65</v>
      </c>
      <c r="C39" s="13">
        <v>120.48</v>
      </c>
      <c r="D39" s="18">
        <f>+B39+C39</f>
        <v>2990.13</v>
      </c>
      <c r="E39" s="14">
        <v>0</v>
      </c>
      <c r="F39" s="18">
        <f t="shared" si="0"/>
        <v>0</v>
      </c>
      <c r="G39" s="18">
        <f t="shared" si="1"/>
        <v>0</v>
      </c>
      <c r="H39" s="14">
        <v>1.1199999999999999</v>
      </c>
      <c r="I39" s="18">
        <f t="shared" si="2"/>
        <v>1.1199999999999999</v>
      </c>
      <c r="J39" s="18">
        <f t="shared" si="3"/>
        <v>0</v>
      </c>
      <c r="K39" s="14">
        <v>15.879999999999999</v>
      </c>
      <c r="L39" s="18">
        <f t="shared" si="4"/>
        <v>15.879999999999999</v>
      </c>
      <c r="M39" s="18">
        <f t="shared" si="5"/>
        <v>0</v>
      </c>
      <c r="N39" s="15">
        <f t="shared" si="6"/>
        <v>17</v>
      </c>
      <c r="O39" s="15">
        <f>+N39-P39</f>
        <v>17</v>
      </c>
      <c r="P39" s="15">
        <f>+IF(N39&gt;D39,N39-D39,0)</f>
        <v>0</v>
      </c>
      <c r="Q39" s="5">
        <f>+IF(P39=0,P39,P39/N39)</f>
        <v>0</v>
      </c>
    </row>
    <row r="40" spans="1:17" x14ac:dyDescent="0.25">
      <c r="A40" s="7">
        <v>46236.583333333336</v>
      </c>
      <c r="B40" s="6">
        <v>2680.65</v>
      </c>
      <c r="C40" s="13">
        <v>74.52</v>
      </c>
      <c r="D40" s="18">
        <f>+B40+C40</f>
        <v>2755.17</v>
      </c>
      <c r="E40" s="14">
        <v>0</v>
      </c>
      <c r="F40" s="18">
        <f t="shared" si="0"/>
        <v>0</v>
      </c>
      <c r="G40" s="18">
        <f t="shared" si="1"/>
        <v>0</v>
      </c>
      <c r="H40" s="14">
        <v>1.48</v>
      </c>
      <c r="I40" s="18">
        <f t="shared" si="2"/>
        <v>1.48</v>
      </c>
      <c r="J40" s="18">
        <f t="shared" si="3"/>
        <v>0</v>
      </c>
      <c r="K40" s="14">
        <v>37.119999999999997</v>
      </c>
      <c r="L40" s="18">
        <f t="shared" si="4"/>
        <v>37.119999999999997</v>
      </c>
      <c r="M40" s="18">
        <f t="shared" si="5"/>
        <v>0</v>
      </c>
      <c r="N40" s="15">
        <f t="shared" si="6"/>
        <v>38.599999999999994</v>
      </c>
      <c r="O40" s="15">
        <f>+N40-P40</f>
        <v>38.599999999999994</v>
      </c>
      <c r="P40" s="15">
        <f>+IF(N40&gt;D40,N40-D40,0)</f>
        <v>0</v>
      </c>
      <c r="Q40" s="5">
        <f>+IF(P40=0,P40,P40/N40)</f>
        <v>0</v>
      </c>
    </row>
    <row r="41" spans="1:17" x14ac:dyDescent="0.25">
      <c r="A41" s="7">
        <v>46236.625</v>
      </c>
      <c r="B41" s="6">
        <v>2283.75</v>
      </c>
      <c r="C41" s="13">
        <v>64.56</v>
      </c>
      <c r="D41" s="18">
        <f>+B41+C41</f>
        <v>2348.31</v>
      </c>
      <c r="E41" s="14">
        <v>0</v>
      </c>
      <c r="F41" s="18">
        <f t="shared" si="0"/>
        <v>0</v>
      </c>
      <c r="G41" s="18">
        <f t="shared" si="1"/>
        <v>0</v>
      </c>
      <c r="H41" s="14">
        <v>1.48</v>
      </c>
      <c r="I41" s="18">
        <f t="shared" si="2"/>
        <v>1.48</v>
      </c>
      <c r="J41" s="18">
        <f t="shared" si="3"/>
        <v>0</v>
      </c>
      <c r="K41" s="14">
        <v>31.96</v>
      </c>
      <c r="L41" s="18">
        <f t="shared" si="4"/>
        <v>31.96</v>
      </c>
      <c r="M41" s="18">
        <f t="shared" si="5"/>
        <v>0</v>
      </c>
      <c r="N41" s="15">
        <f t="shared" si="6"/>
        <v>33.44</v>
      </c>
      <c r="O41" s="15">
        <f>+N41-P41</f>
        <v>33.44</v>
      </c>
      <c r="P41" s="15">
        <f>+IF(N41&gt;D41,N41-D41,0)</f>
        <v>0</v>
      </c>
      <c r="Q41" s="5">
        <f>+IF(P41=0,P41,P41/N41)</f>
        <v>0</v>
      </c>
    </row>
    <row r="42" spans="1:17" x14ac:dyDescent="0.25">
      <c r="A42" s="7">
        <v>46236.666666666664</v>
      </c>
      <c r="B42" s="6">
        <v>1719.9</v>
      </c>
      <c r="C42" s="13">
        <v>30.96</v>
      </c>
      <c r="D42" s="18">
        <f>+B42+C42</f>
        <v>1750.8600000000001</v>
      </c>
      <c r="E42" s="14">
        <v>0</v>
      </c>
      <c r="F42" s="18">
        <f t="shared" si="0"/>
        <v>0</v>
      </c>
      <c r="G42" s="18">
        <f t="shared" si="1"/>
        <v>0</v>
      </c>
      <c r="H42" s="14">
        <v>8.8000000000000007</v>
      </c>
      <c r="I42" s="18">
        <f t="shared" si="2"/>
        <v>8.8000000000000007</v>
      </c>
      <c r="J42" s="18">
        <f t="shared" si="3"/>
        <v>0</v>
      </c>
      <c r="K42" s="14">
        <v>19.959999999999997</v>
      </c>
      <c r="L42" s="18">
        <f t="shared" si="4"/>
        <v>19.959999999999997</v>
      </c>
      <c r="M42" s="18">
        <f t="shared" si="5"/>
        <v>0</v>
      </c>
      <c r="N42" s="15">
        <f t="shared" si="6"/>
        <v>28.759999999999998</v>
      </c>
      <c r="O42" s="15">
        <f>+N42-P42</f>
        <v>28.759999999999998</v>
      </c>
      <c r="P42" s="15">
        <f>+IF(N42&gt;D42,N42-D42,0)</f>
        <v>0</v>
      </c>
      <c r="Q42" s="5">
        <f>+IF(P42=0,P42,P42/N42)</f>
        <v>0</v>
      </c>
    </row>
    <row r="43" spans="1:17" x14ac:dyDescent="0.25">
      <c r="A43" s="7">
        <v>46236.708333333336</v>
      </c>
      <c r="B43" s="6">
        <v>973.35</v>
      </c>
      <c r="C43" s="13">
        <v>9.1199999999999992</v>
      </c>
      <c r="D43" s="18">
        <f>+B43+C43</f>
        <v>982.47</v>
      </c>
      <c r="E43" s="14">
        <v>0</v>
      </c>
      <c r="F43" s="18">
        <f t="shared" si="0"/>
        <v>0</v>
      </c>
      <c r="G43" s="18">
        <f t="shared" si="1"/>
        <v>0</v>
      </c>
      <c r="H43" s="14">
        <v>5.32</v>
      </c>
      <c r="I43" s="18">
        <f t="shared" si="2"/>
        <v>5.32</v>
      </c>
      <c r="J43" s="18">
        <f t="shared" si="3"/>
        <v>0</v>
      </c>
      <c r="K43" s="14">
        <v>21.28</v>
      </c>
      <c r="L43" s="18">
        <f t="shared" si="4"/>
        <v>21.28</v>
      </c>
      <c r="M43" s="18">
        <f t="shared" si="5"/>
        <v>0</v>
      </c>
      <c r="N43" s="15">
        <f t="shared" si="6"/>
        <v>26.6</v>
      </c>
      <c r="O43" s="15">
        <f>+N43-P43</f>
        <v>26.6</v>
      </c>
      <c r="P43" s="15">
        <f>+IF(N43&gt;D43,N43-D43,0)</f>
        <v>0</v>
      </c>
      <c r="Q43" s="5">
        <f>+IF(P43=0,P43,P43/N43)</f>
        <v>0</v>
      </c>
    </row>
    <row r="44" spans="1:17" x14ac:dyDescent="0.25">
      <c r="A44" s="7">
        <v>46236.75</v>
      </c>
      <c r="B44" s="6">
        <v>318.14999999999998</v>
      </c>
      <c r="C44" s="13">
        <v>0</v>
      </c>
      <c r="D44" s="18">
        <f>+B44+C44</f>
        <v>318.14999999999998</v>
      </c>
      <c r="E44" s="14">
        <v>0</v>
      </c>
      <c r="F44" s="18">
        <f t="shared" si="0"/>
        <v>0</v>
      </c>
      <c r="G44" s="18">
        <f t="shared" si="1"/>
        <v>0</v>
      </c>
      <c r="H44" s="14">
        <v>29.2</v>
      </c>
      <c r="I44" s="18">
        <f t="shared" si="2"/>
        <v>29.2</v>
      </c>
      <c r="J44" s="18">
        <f t="shared" si="3"/>
        <v>0</v>
      </c>
      <c r="K44" s="14">
        <v>12.4</v>
      </c>
      <c r="L44" s="18">
        <f t="shared" si="4"/>
        <v>12.4</v>
      </c>
      <c r="M44" s="18">
        <f t="shared" si="5"/>
        <v>0</v>
      </c>
      <c r="N44" s="15">
        <f t="shared" si="6"/>
        <v>41.6</v>
      </c>
      <c r="O44" s="15">
        <f>+N44-P44</f>
        <v>41.6</v>
      </c>
      <c r="P44" s="15">
        <f>+IF(N44&gt;D44,N44-D44,0)</f>
        <v>0</v>
      </c>
      <c r="Q44" s="5">
        <f>+IF(P44=0,P44,P44/N44)</f>
        <v>0</v>
      </c>
    </row>
    <row r="45" spans="1:17" x14ac:dyDescent="0.25">
      <c r="A45" s="7">
        <v>46236.791666666664</v>
      </c>
      <c r="B45" s="6">
        <v>31.5</v>
      </c>
      <c r="C45" s="13">
        <v>0</v>
      </c>
      <c r="D45" s="18">
        <f>+B45+C45</f>
        <v>31.5</v>
      </c>
      <c r="E45" s="14">
        <v>6.2989999999999995</v>
      </c>
      <c r="F45" s="18">
        <f t="shared" si="0"/>
        <v>3.7480590868735719</v>
      </c>
      <c r="G45" s="18">
        <f t="shared" si="1"/>
        <v>2.5509409131264276</v>
      </c>
      <c r="H45" s="14">
        <v>45.519999999999996</v>
      </c>
      <c r="I45" s="18">
        <f t="shared" si="2"/>
        <v>27.085513515555643</v>
      </c>
      <c r="J45" s="18">
        <f t="shared" si="3"/>
        <v>18.434486484444353</v>
      </c>
      <c r="K45" s="14">
        <v>1.1199999999999999</v>
      </c>
      <c r="L45" s="18">
        <f t="shared" si="4"/>
        <v>0.66642739757078906</v>
      </c>
      <c r="M45" s="18">
        <f t="shared" si="5"/>
        <v>0.45357260242921082</v>
      </c>
      <c r="N45" s="15">
        <f t="shared" si="6"/>
        <v>52.938999999999993</v>
      </c>
      <c r="O45" s="15">
        <f>+N45-P45</f>
        <v>31.5</v>
      </c>
      <c r="P45" s="15">
        <f>+IF(N45&gt;D45,N45-D45,0)</f>
        <v>21.438999999999993</v>
      </c>
      <c r="Q45" s="5">
        <f>+IF(P45=0,P45,P45/N45)</f>
        <v>0.40497553788322399</v>
      </c>
    </row>
    <row r="46" spans="1:17" x14ac:dyDescent="0.25">
      <c r="A46" s="7">
        <v>46236.833333333336</v>
      </c>
      <c r="B46" s="6">
        <v>0</v>
      </c>
      <c r="C46" s="13">
        <v>0</v>
      </c>
      <c r="D46" s="18">
        <f>+B46+C46</f>
        <v>0</v>
      </c>
      <c r="E46" s="14">
        <v>28.347000000000001</v>
      </c>
      <c r="F46" s="18">
        <f t="shared" si="0"/>
        <v>0</v>
      </c>
      <c r="G46" s="18">
        <f t="shared" si="1"/>
        <v>28.347000000000001</v>
      </c>
      <c r="H46" s="14">
        <v>40.96</v>
      </c>
      <c r="I46" s="18">
        <f t="shared" si="2"/>
        <v>0</v>
      </c>
      <c r="J46" s="18">
        <f t="shared" si="3"/>
        <v>40.96</v>
      </c>
      <c r="K46" s="14">
        <v>1.1199999999999999</v>
      </c>
      <c r="L46" s="18">
        <f t="shared" si="4"/>
        <v>0</v>
      </c>
      <c r="M46" s="18">
        <f t="shared" si="5"/>
        <v>1.1199999999999999</v>
      </c>
      <c r="N46" s="15">
        <f t="shared" si="6"/>
        <v>70.427000000000007</v>
      </c>
      <c r="O46" s="15">
        <f>+N46-P46</f>
        <v>0</v>
      </c>
      <c r="P46" s="15">
        <f>+IF(N46&gt;D46,N46-D46,0)</f>
        <v>70.427000000000007</v>
      </c>
      <c r="Q46" s="5">
        <f>+IF(P46=0,P46,P46/N46)</f>
        <v>1</v>
      </c>
    </row>
    <row r="47" spans="1:17" x14ac:dyDescent="0.25">
      <c r="A47" s="7">
        <v>46236.875</v>
      </c>
      <c r="B47" s="6">
        <v>0</v>
      </c>
      <c r="C47" s="13">
        <v>0</v>
      </c>
      <c r="D47" s="18">
        <f>+B47+C47</f>
        <v>0</v>
      </c>
      <c r="E47" s="14">
        <v>25.196999999999999</v>
      </c>
      <c r="F47" s="18">
        <f t="shared" si="0"/>
        <v>0</v>
      </c>
      <c r="G47" s="18">
        <f t="shared" si="1"/>
        <v>25.196999999999999</v>
      </c>
      <c r="H47" s="14">
        <v>42.160000000000004</v>
      </c>
      <c r="I47" s="18">
        <f t="shared" si="2"/>
        <v>0</v>
      </c>
      <c r="J47" s="18">
        <f t="shared" si="3"/>
        <v>42.160000000000004</v>
      </c>
      <c r="K47" s="14">
        <v>1.1199999999999999</v>
      </c>
      <c r="L47" s="18">
        <f t="shared" si="4"/>
        <v>0</v>
      </c>
      <c r="M47" s="18">
        <f t="shared" si="5"/>
        <v>1.1199999999999999</v>
      </c>
      <c r="N47" s="15">
        <f t="shared" si="6"/>
        <v>68.477000000000004</v>
      </c>
      <c r="O47" s="15">
        <f>+N47-P47</f>
        <v>0</v>
      </c>
      <c r="P47" s="15">
        <f>+IF(N47&gt;D47,N47-D47,0)</f>
        <v>68.477000000000004</v>
      </c>
      <c r="Q47" s="5">
        <f>+IF(P47=0,P47,P47/N47)</f>
        <v>1</v>
      </c>
    </row>
    <row r="48" spans="1:17" x14ac:dyDescent="0.25">
      <c r="A48" s="7">
        <v>46236.916666666664</v>
      </c>
      <c r="B48" s="6">
        <v>0</v>
      </c>
      <c r="C48" s="13">
        <v>0</v>
      </c>
      <c r="D48" s="18">
        <f>+B48+C48</f>
        <v>0</v>
      </c>
      <c r="E48" s="14">
        <v>28.35</v>
      </c>
      <c r="F48" s="18">
        <f t="shared" si="0"/>
        <v>0</v>
      </c>
      <c r="G48" s="18">
        <f t="shared" si="1"/>
        <v>28.35</v>
      </c>
      <c r="H48" s="14">
        <v>39.4</v>
      </c>
      <c r="I48" s="18">
        <f t="shared" si="2"/>
        <v>0</v>
      </c>
      <c r="J48" s="18">
        <f t="shared" si="3"/>
        <v>39.4</v>
      </c>
      <c r="K48" s="14">
        <v>1.1199999999999999</v>
      </c>
      <c r="L48" s="18">
        <f t="shared" si="4"/>
        <v>0</v>
      </c>
      <c r="M48" s="18">
        <f t="shared" si="5"/>
        <v>1.1199999999999999</v>
      </c>
      <c r="N48" s="15">
        <f t="shared" si="6"/>
        <v>68.87</v>
      </c>
      <c r="O48" s="15">
        <f>+N48-P48</f>
        <v>0</v>
      </c>
      <c r="P48" s="15">
        <f>+IF(N48&gt;D48,N48-D48,0)</f>
        <v>68.87</v>
      </c>
      <c r="Q48" s="5">
        <f>+IF(P48=0,P48,P48/N48)</f>
        <v>1</v>
      </c>
    </row>
    <row r="49" spans="1:17" x14ac:dyDescent="0.25">
      <c r="A49" s="7">
        <v>46236.958333333336</v>
      </c>
      <c r="B49" s="6">
        <v>0</v>
      </c>
      <c r="C49" s="13">
        <v>0</v>
      </c>
      <c r="D49" s="18">
        <f>+B49+C49</f>
        <v>0</v>
      </c>
      <c r="E49" s="14">
        <v>28.35</v>
      </c>
      <c r="F49" s="18">
        <f t="shared" si="0"/>
        <v>0</v>
      </c>
      <c r="G49" s="18">
        <f t="shared" si="1"/>
        <v>28.35</v>
      </c>
      <c r="H49" s="14">
        <v>41.8</v>
      </c>
      <c r="I49" s="18">
        <f t="shared" si="2"/>
        <v>0</v>
      </c>
      <c r="J49" s="18">
        <f t="shared" si="3"/>
        <v>41.8</v>
      </c>
      <c r="K49" s="14">
        <v>7.0860000000000003</v>
      </c>
      <c r="L49" s="18">
        <f t="shared" si="4"/>
        <v>0</v>
      </c>
      <c r="M49" s="18">
        <f t="shared" si="5"/>
        <v>7.0860000000000003</v>
      </c>
      <c r="N49" s="15">
        <f t="shared" si="6"/>
        <v>77.236000000000004</v>
      </c>
      <c r="O49" s="15">
        <f>+N49-P49</f>
        <v>0</v>
      </c>
      <c r="P49" s="15">
        <f>+IF(N49&gt;D49,N49-D49,0)</f>
        <v>77.236000000000004</v>
      </c>
      <c r="Q49" s="5">
        <f>+IF(P49=0,P49,P49/N49)</f>
        <v>1</v>
      </c>
    </row>
    <row r="50" spans="1:17" x14ac:dyDescent="0.25">
      <c r="A50" s="7">
        <v>46237</v>
      </c>
      <c r="B50" s="6">
        <v>0</v>
      </c>
      <c r="C50" s="13">
        <v>0</v>
      </c>
      <c r="D50" s="18">
        <f>+B50+C50</f>
        <v>0</v>
      </c>
      <c r="E50" s="14">
        <v>28.35</v>
      </c>
      <c r="F50" s="18">
        <f t="shared" si="0"/>
        <v>0</v>
      </c>
      <c r="G50" s="18">
        <f t="shared" si="1"/>
        <v>28.35</v>
      </c>
      <c r="H50" s="14">
        <v>41.32</v>
      </c>
      <c r="I50" s="18">
        <f t="shared" si="2"/>
        <v>0</v>
      </c>
      <c r="J50" s="18">
        <f t="shared" si="3"/>
        <v>41.32</v>
      </c>
      <c r="K50" s="14">
        <v>2.92</v>
      </c>
      <c r="L50" s="18">
        <f t="shared" si="4"/>
        <v>0</v>
      </c>
      <c r="M50" s="18">
        <f t="shared" si="5"/>
        <v>2.92</v>
      </c>
      <c r="N50" s="15">
        <f t="shared" si="6"/>
        <v>72.59</v>
      </c>
      <c r="O50" s="15">
        <f>+N50-P50</f>
        <v>0</v>
      </c>
      <c r="P50" s="15">
        <f>+IF(N50&gt;D50,N50-D50,0)</f>
        <v>72.59</v>
      </c>
      <c r="Q50" s="5">
        <f>+IF(P50=0,P50,P50/N50)</f>
        <v>1</v>
      </c>
    </row>
    <row r="51" spans="1:17" x14ac:dyDescent="0.25">
      <c r="A51" s="7">
        <v>46237.041666666664</v>
      </c>
      <c r="B51" s="6">
        <v>0</v>
      </c>
      <c r="C51" s="13">
        <v>0</v>
      </c>
      <c r="D51" s="18">
        <f>+B51+C51</f>
        <v>0</v>
      </c>
      <c r="E51" s="14">
        <v>28.35</v>
      </c>
      <c r="F51" s="18">
        <f t="shared" si="0"/>
        <v>0</v>
      </c>
      <c r="G51" s="18">
        <f t="shared" si="1"/>
        <v>28.35</v>
      </c>
      <c r="H51" s="14">
        <v>39.160000000000004</v>
      </c>
      <c r="I51" s="18">
        <f t="shared" si="2"/>
        <v>0</v>
      </c>
      <c r="J51" s="18">
        <f t="shared" si="3"/>
        <v>39.160000000000004</v>
      </c>
      <c r="K51" s="14">
        <v>2.68</v>
      </c>
      <c r="L51" s="18">
        <f t="shared" si="4"/>
        <v>0</v>
      </c>
      <c r="M51" s="18">
        <f t="shared" si="5"/>
        <v>2.68</v>
      </c>
      <c r="N51" s="15">
        <f t="shared" si="6"/>
        <v>70.190000000000012</v>
      </c>
      <c r="O51" s="15">
        <f>+N51-P51</f>
        <v>0</v>
      </c>
      <c r="P51" s="15">
        <f>+IF(N51&gt;D51,N51-D51,0)</f>
        <v>70.190000000000012</v>
      </c>
      <c r="Q51" s="5">
        <f>+IF(P51=0,P51,P51/N51)</f>
        <v>1</v>
      </c>
    </row>
    <row r="52" spans="1:17" x14ac:dyDescent="0.25">
      <c r="A52" s="7">
        <v>46237.083333333336</v>
      </c>
      <c r="B52" s="6">
        <v>0</v>
      </c>
      <c r="C52" s="13">
        <v>0</v>
      </c>
      <c r="D52" s="18">
        <f>+B52+C52</f>
        <v>0</v>
      </c>
      <c r="E52" s="14">
        <v>28.35</v>
      </c>
      <c r="F52" s="18">
        <f t="shared" si="0"/>
        <v>0</v>
      </c>
      <c r="G52" s="18">
        <f t="shared" si="1"/>
        <v>28.35</v>
      </c>
      <c r="H52" s="14">
        <v>38.32</v>
      </c>
      <c r="I52" s="18">
        <f t="shared" si="2"/>
        <v>0</v>
      </c>
      <c r="J52" s="18">
        <f t="shared" si="3"/>
        <v>38.32</v>
      </c>
      <c r="K52" s="14">
        <v>2.68</v>
      </c>
      <c r="L52" s="18">
        <f t="shared" si="4"/>
        <v>0</v>
      </c>
      <c r="M52" s="18">
        <f t="shared" si="5"/>
        <v>2.68</v>
      </c>
      <c r="N52" s="15">
        <f t="shared" si="6"/>
        <v>69.350000000000009</v>
      </c>
      <c r="O52" s="15">
        <f>+N52-P52</f>
        <v>0</v>
      </c>
      <c r="P52" s="15">
        <f>+IF(N52&gt;D52,N52-D52,0)</f>
        <v>69.350000000000009</v>
      </c>
      <c r="Q52" s="5">
        <f>+IF(P52=0,P52,P52/N52)</f>
        <v>1</v>
      </c>
    </row>
    <row r="53" spans="1:17" x14ac:dyDescent="0.25">
      <c r="A53" s="7">
        <v>46237.125</v>
      </c>
      <c r="B53" s="6">
        <v>0</v>
      </c>
      <c r="C53" s="13">
        <v>0</v>
      </c>
      <c r="D53" s="18">
        <f>+B53+C53</f>
        <v>0</v>
      </c>
      <c r="E53" s="14">
        <v>28.35</v>
      </c>
      <c r="F53" s="18">
        <f t="shared" si="0"/>
        <v>0</v>
      </c>
      <c r="G53" s="18">
        <f t="shared" si="1"/>
        <v>28.35</v>
      </c>
      <c r="H53" s="14">
        <v>39.28</v>
      </c>
      <c r="I53" s="18">
        <f t="shared" si="2"/>
        <v>0</v>
      </c>
      <c r="J53" s="18">
        <f t="shared" si="3"/>
        <v>39.28</v>
      </c>
      <c r="K53" s="14">
        <v>3.16</v>
      </c>
      <c r="L53" s="18">
        <f t="shared" si="4"/>
        <v>0</v>
      </c>
      <c r="M53" s="18">
        <f t="shared" si="5"/>
        <v>3.16</v>
      </c>
      <c r="N53" s="15">
        <f t="shared" si="6"/>
        <v>70.789999999999992</v>
      </c>
      <c r="O53" s="15">
        <f>+N53-P53</f>
        <v>0</v>
      </c>
      <c r="P53" s="15">
        <f>+IF(N53&gt;D53,N53-D53,0)</f>
        <v>70.789999999999992</v>
      </c>
      <c r="Q53" s="5">
        <f>+IF(P53=0,P53,P53/N53)</f>
        <v>1</v>
      </c>
    </row>
    <row r="54" spans="1:17" x14ac:dyDescent="0.25">
      <c r="A54" s="7">
        <v>46237.166666666664</v>
      </c>
      <c r="B54" s="6">
        <v>0</v>
      </c>
      <c r="C54" s="13">
        <v>0</v>
      </c>
      <c r="D54" s="18">
        <f>+B54+C54</f>
        <v>0</v>
      </c>
      <c r="E54" s="14">
        <v>28.35</v>
      </c>
      <c r="F54" s="18">
        <f t="shared" si="0"/>
        <v>0</v>
      </c>
      <c r="G54" s="18">
        <f t="shared" si="1"/>
        <v>28.35</v>
      </c>
      <c r="H54" s="14">
        <v>40.72</v>
      </c>
      <c r="I54" s="18">
        <f t="shared" si="2"/>
        <v>0</v>
      </c>
      <c r="J54" s="18">
        <f t="shared" si="3"/>
        <v>40.72</v>
      </c>
      <c r="K54" s="14">
        <v>2.68</v>
      </c>
      <c r="L54" s="18">
        <f t="shared" si="4"/>
        <v>0</v>
      </c>
      <c r="M54" s="18">
        <f t="shared" si="5"/>
        <v>2.68</v>
      </c>
      <c r="N54" s="15">
        <f t="shared" si="6"/>
        <v>71.75</v>
      </c>
      <c r="O54" s="15">
        <f>+N54-P54</f>
        <v>0</v>
      </c>
      <c r="P54" s="15">
        <f>+IF(N54&gt;D54,N54-D54,0)</f>
        <v>71.75</v>
      </c>
      <c r="Q54" s="5">
        <f>+IF(P54=0,P54,P54/N54)</f>
        <v>1</v>
      </c>
    </row>
    <row r="55" spans="1:17" x14ac:dyDescent="0.25">
      <c r="A55" s="7">
        <v>46237.208333333336</v>
      </c>
      <c r="B55" s="6">
        <v>0</v>
      </c>
      <c r="C55" s="13">
        <v>0</v>
      </c>
      <c r="D55" s="18">
        <f>+B55+C55</f>
        <v>0</v>
      </c>
      <c r="E55" s="14">
        <v>22.051000000000002</v>
      </c>
      <c r="F55" s="18">
        <f t="shared" si="0"/>
        <v>0</v>
      </c>
      <c r="G55" s="18">
        <f t="shared" si="1"/>
        <v>22.051000000000002</v>
      </c>
      <c r="H55" s="14">
        <v>43.96</v>
      </c>
      <c r="I55" s="18">
        <f t="shared" si="2"/>
        <v>0</v>
      </c>
      <c r="J55" s="18">
        <f t="shared" si="3"/>
        <v>43.96</v>
      </c>
      <c r="K55" s="14">
        <v>3.28</v>
      </c>
      <c r="L55" s="18">
        <f t="shared" si="4"/>
        <v>0</v>
      </c>
      <c r="M55" s="18">
        <f t="shared" si="5"/>
        <v>3.28</v>
      </c>
      <c r="N55" s="15">
        <f t="shared" si="6"/>
        <v>69.290999999999997</v>
      </c>
      <c r="O55" s="15">
        <f>+N55-P55</f>
        <v>0</v>
      </c>
      <c r="P55" s="15">
        <f>+IF(N55&gt;D55,N55-D55,0)</f>
        <v>69.290999999999997</v>
      </c>
      <c r="Q55" s="5">
        <f>+IF(P55=0,P55,P55/N55)</f>
        <v>1</v>
      </c>
    </row>
    <row r="56" spans="1:17" x14ac:dyDescent="0.25">
      <c r="A56" s="7">
        <v>46237.25</v>
      </c>
      <c r="B56" s="6">
        <v>59.85</v>
      </c>
      <c r="C56" s="13">
        <v>0</v>
      </c>
      <c r="D56" s="18">
        <f>+B56+C56</f>
        <v>59.85</v>
      </c>
      <c r="E56" s="14">
        <v>0</v>
      </c>
      <c r="F56" s="18">
        <f t="shared" si="0"/>
        <v>0</v>
      </c>
      <c r="G56" s="18">
        <f t="shared" si="1"/>
        <v>0</v>
      </c>
      <c r="H56" s="14">
        <v>43.96</v>
      </c>
      <c r="I56" s="18">
        <f t="shared" si="2"/>
        <v>43.96</v>
      </c>
      <c r="J56" s="18">
        <f t="shared" si="3"/>
        <v>0</v>
      </c>
      <c r="K56" s="14">
        <v>4.3600000000000003</v>
      </c>
      <c r="L56" s="18">
        <f t="shared" si="4"/>
        <v>4.3600000000000003</v>
      </c>
      <c r="M56" s="18">
        <f t="shared" si="5"/>
        <v>0</v>
      </c>
      <c r="N56" s="15">
        <f t="shared" si="6"/>
        <v>48.32</v>
      </c>
      <c r="O56" s="15">
        <f>+N56-P56</f>
        <v>48.32</v>
      </c>
      <c r="P56" s="15">
        <f>+IF(N56&gt;D56,N56-D56,0)</f>
        <v>0</v>
      </c>
      <c r="Q56" s="5">
        <f>+IF(P56=0,P56,P56/N56)</f>
        <v>0</v>
      </c>
    </row>
    <row r="57" spans="1:17" x14ac:dyDescent="0.25">
      <c r="A57" s="7">
        <v>46237.291666666664</v>
      </c>
      <c r="B57" s="6">
        <v>548.1</v>
      </c>
      <c r="C57" s="13">
        <v>0.84</v>
      </c>
      <c r="D57" s="18">
        <f>+B57+C57</f>
        <v>548.94000000000005</v>
      </c>
      <c r="E57" s="14">
        <v>0</v>
      </c>
      <c r="F57" s="18">
        <f t="shared" si="0"/>
        <v>0</v>
      </c>
      <c r="G57" s="18">
        <f t="shared" si="1"/>
        <v>0</v>
      </c>
      <c r="H57" s="14">
        <v>34.840000000000003</v>
      </c>
      <c r="I57" s="18">
        <f t="shared" si="2"/>
        <v>34.840000000000003</v>
      </c>
      <c r="J57" s="18">
        <f t="shared" si="3"/>
        <v>0</v>
      </c>
      <c r="K57" s="14">
        <v>2.44</v>
      </c>
      <c r="L57" s="18">
        <f t="shared" si="4"/>
        <v>2.44</v>
      </c>
      <c r="M57" s="18">
        <f t="shared" si="5"/>
        <v>0</v>
      </c>
      <c r="N57" s="15">
        <f t="shared" si="6"/>
        <v>37.28</v>
      </c>
      <c r="O57" s="15">
        <f>+N57-P57</f>
        <v>37.28</v>
      </c>
      <c r="P57" s="15">
        <f>+IF(N57&gt;D57,N57-D57,0)</f>
        <v>0</v>
      </c>
      <c r="Q57" s="5">
        <f>+IF(P57=0,P57,P57/N57)</f>
        <v>0</v>
      </c>
    </row>
    <row r="58" spans="1:17" x14ac:dyDescent="0.25">
      <c r="A58" s="7">
        <v>46237.333333333336</v>
      </c>
      <c r="B58" s="6">
        <v>466.2</v>
      </c>
      <c r="C58" s="13">
        <v>0</v>
      </c>
      <c r="D58" s="18">
        <f>+B58+C58</f>
        <v>466.2</v>
      </c>
      <c r="E58" s="14">
        <v>0</v>
      </c>
      <c r="F58" s="18">
        <f t="shared" si="0"/>
        <v>0</v>
      </c>
      <c r="G58" s="18">
        <f t="shared" si="1"/>
        <v>0</v>
      </c>
      <c r="H58" s="14">
        <v>99.64</v>
      </c>
      <c r="I58" s="18">
        <f t="shared" si="2"/>
        <v>99.64</v>
      </c>
      <c r="J58" s="18">
        <f t="shared" si="3"/>
        <v>0</v>
      </c>
      <c r="K58" s="14">
        <v>19.12</v>
      </c>
      <c r="L58" s="18">
        <f t="shared" si="4"/>
        <v>19.12</v>
      </c>
      <c r="M58" s="18">
        <f t="shared" si="5"/>
        <v>0</v>
      </c>
      <c r="N58" s="15">
        <f t="shared" si="6"/>
        <v>118.76</v>
      </c>
      <c r="O58" s="15">
        <f>+N58-P58</f>
        <v>118.76</v>
      </c>
      <c r="P58" s="15">
        <f>+IF(N58&gt;D58,N58-D58,0)</f>
        <v>0</v>
      </c>
      <c r="Q58" s="5">
        <f>+IF(P58=0,P58,P58/N58)</f>
        <v>0</v>
      </c>
    </row>
    <row r="59" spans="1:17" x14ac:dyDescent="0.25">
      <c r="A59" s="7">
        <v>46237.375</v>
      </c>
      <c r="B59" s="6">
        <v>935.55</v>
      </c>
      <c r="C59" s="13">
        <v>1.08</v>
      </c>
      <c r="D59" s="18">
        <f>+B59+C59</f>
        <v>936.63</v>
      </c>
      <c r="E59" s="14">
        <v>0</v>
      </c>
      <c r="F59" s="18">
        <f t="shared" si="0"/>
        <v>0</v>
      </c>
      <c r="G59" s="18">
        <f t="shared" si="1"/>
        <v>0</v>
      </c>
      <c r="H59" s="14">
        <v>63.04</v>
      </c>
      <c r="I59" s="18">
        <f t="shared" si="2"/>
        <v>63.04</v>
      </c>
      <c r="J59" s="18">
        <f t="shared" si="3"/>
        <v>0</v>
      </c>
      <c r="K59" s="14">
        <v>27.279999999999998</v>
      </c>
      <c r="L59" s="18">
        <f t="shared" si="4"/>
        <v>27.279999999999998</v>
      </c>
      <c r="M59" s="18">
        <f t="shared" si="5"/>
        <v>0</v>
      </c>
      <c r="N59" s="15">
        <f t="shared" si="6"/>
        <v>90.32</v>
      </c>
      <c r="O59" s="15">
        <f>+N59-P59</f>
        <v>90.32</v>
      </c>
      <c r="P59" s="15">
        <f>+IF(N59&gt;D59,N59-D59,0)</f>
        <v>0</v>
      </c>
      <c r="Q59" s="5">
        <f>+IF(P59=0,P59,P59/N59)</f>
        <v>0</v>
      </c>
    </row>
    <row r="60" spans="1:17" x14ac:dyDescent="0.25">
      <c r="A60" s="7">
        <v>46237.416666666664</v>
      </c>
      <c r="B60" s="6">
        <v>1480.5</v>
      </c>
      <c r="C60" s="13">
        <v>3.36</v>
      </c>
      <c r="D60" s="18">
        <f>+B60+C60</f>
        <v>1483.86</v>
      </c>
      <c r="E60" s="14">
        <v>0</v>
      </c>
      <c r="F60" s="18">
        <f t="shared" si="0"/>
        <v>0</v>
      </c>
      <c r="G60" s="18">
        <f t="shared" si="1"/>
        <v>0</v>
      </c>
      <c r="H60" s="14">
        <v>49.72</v>
      </c>
      <c r="I60" s="18">
        <f t="shared" si="2"/>
        <v>49.72</v>
      </c>
      <c r="J60" s="18">
        <f t="shared" si="3"/>
        <v>0</v>
      </c>
      <c r="K60" s="14">
        <v>35.799999999999997</v>
      </c>
      <c r="L60" s="18">
        <f t="shared" si="4"/>
        <v>35.799999999999997</v>
      </c>
      <c r="M60" s="18">
        <f t="shared" si="5"/>
        <v>0</v>
      </c>
      <c r="N60" s="15">
        <f t="shared" si="6"/>
        <v>85.52</v>
      </c>
      <c r="O60" s="15">
        <f>+N60-P60</f>
        <v>85.52</v>
      </c>
      <c r="P60" s="15">
        <f>+IF(N60&gt;D60,N60-D60,0)</f>
        <v>0</v>
      </c>
      <c r="Q60" s="5">
        <f>+IF(P60=0,P60,P60/N60)</f>
        <v>0</v>
      </c>
    </row>
    <row r="61" spans="1:17" x14ac:dyDescent="0.25">
      <c r="A61" s="7">
        <v>46237.458333333336</v>
      </c>
      <c r="B61" s="6">
        <v>1757.7</v>
      </c>
      <c r="C61" s="13">
        <v>12.72</v>
      </c>
      <c r="D61" s="18">
        <f>+B61+C61</f>
        <v>1770.42</v>
      </c>
      <c r="E61" s="14">
        <v>0</v>
      </c>
      <c r="F61" s="18">
        <f t="shared" si="0"/>
        <v>0</v>
      </c>
      <c r="G61" s="18">
        <f t="shared" si="1"/>
        <v>0</v>
      </c>
      <c r="H61" s="14">
        <v>14.56</v>
      </c>
      <c r="I61" s="18">
        <f t="shared" si="2"/>
        <v>14.56</v>
      </c>
      <c r="J61" s="18">
        <f t="shared" si="3"/>
        <v>0</v>
      </c>
      <c r="K61" s="14">
        <v>40.599999999999994</v>
      </c>
      <c r="L61" s="18">
        <f t="shared" si="4"/>
        <v>40.599999999999994</v>
      </c>
      <c r="M61" s="18">
        <f t="shared" si="5"/>
        <v>0</v>
      </c>
      <c r="N61" s="15">
        <f t="shared" si="6"/>
        <v>55.16</v>
      </c>
      <c r="O61" s="15">
        <f>+N61-P61</f>
        <v>55.16</v>
      </c>
      <c r="P61" s="15">
        <f>+IF(N61&gt;D61,N61-D61,0)</f>
        <v>0</v>
      </c>
      <c r="Q61" s="5">
        <f>+IF(P61=0,P61,P61/N61)</f>
        <v>0</v>
      </c>
    </row>
    <row r="62" spans="1:17" x14ac:dyDescent="0.25">
      <c r="A62" s="7">
        <v>46237.5</v>
      </c>
      <c r="B62" s="6">
        <v>2441.25</v>
      </c>
      <c r="C62" s="13">
        <v>20.88</v>
      </c>
      <c r="D62" s="18">
        <f>+B62+C62</f>
        <v>2462.13</v>
      </c>
      <c r="E62" s="14">
        <v>0</v>
      </c>
      <c r="F62" s="18">
        <f t="shared" si="0"/>
        <v>0</v>
      </c>
      <c r="G62" s="18">
        <f t="shared" si="1"/>
        <v>0</v>
      </c>
      <c r="H62" s="14">
        <v>14.08</v>
      </c>
      <c r="I62" s="18">
        <f t="shared" si="2"/>
        <v>14.08</v>
      </c>
      <c r="J62" s="18">
        <f t="shared" si="3"/>
        <v>0</v>
      </c>
      <c r="K62" s="14">
        <v>37.6</v>
      </c>
      <c r="L62" s="18">
        <f t="shared" si="4"/>
        <v>37.6</v>
      </c>
      <c r="M62" s="18">
        <f t="shared" si="5"/>
        <v>0</v>
      </c>
      <c r="N62" s="15">
        <f t="shared" si="6"/>
        <v>51.68</v>
      </c>
      <c r="O62" s="15">
        <f>+N62-P62</f>
        <v>51.68</v>
      </c>
      <c r="P62" s="15">
        <f>+IF(N62&gt;D62,N62-D62,0)</f>
        <v>0</v>
      </c>
      <c r="Q62" s="5">
        <f>+IF(P62=0,P62,P62/N62)</f>
        <v>0</v>
      </c>
    </row>
    <row r="63" spans="1:17" x14ac:dyDescent="0.25">
      <c r="A63" s="7">
        <v>46237.541666666664</v>
      </c>
      <c r="B63" s="6">
        <v>2513.6999999999998</v>
      </c>
      <c r="C63" s="13">
        <v>27.24</v>
      </c>
      <c r="D63" s="18">
        <f>+B63+C63</f>
        <v>2540.9399999999996</v>
      </c>
      <c r="E63" s="14">
        <v>0</v>
      </c>
      <c r="F63" s="18">
        <f t="shared" si="0"/>
        <v>0</v>
      </c>
      <c r="G63" s="18">
        <f t="shared" si="1"/>
        <v>0</v>
      </c>
      <c r="H63" s="14">
        <v>10.48</v>
      </c>
      <c r="I63" s="18">
        <f t="shared" si="2"/>
        <v>10.48</v>
      </c>
      <c r="J63" s="18">
        <f t="shared" si="3"/>
        <v>0</v>
      </c>
      <c r="K63" s="14">
        <v>41.68</v>
      </c>
      <c r="L63" s="18">
        <f t="shared" si="4"/>
        <v>41.68</v>
      </c>
      <c r="M63" s="18">
        <f t="shared" si="5"/>
        <v>0</v>
      </c>
      <c r="N63" s="15">
        <f t="shared" si="6"/>
        <v>52.16</v>
      </c>
      <c r="O63" s="15">
        <f>+N63-P63</f>
        <v>52.16</v>
      </c>
      <c r="P63" s="15">
        <f>+IF(N63&gt;D63,N63-D63,0)</f>
        <v>0</v>
      </c>
      <c r="Q63" s="5">
        <f>+IF(P63=0,P63,P63/N63)</f>
        <v>0</v>
      </c>
    </row>
    <row r="64" spans="1:17" x14ac:dyDescent="0.25">
      <c r="A64" s="7">
        <v>46237.583333333336</v>
      </c>
      <c r="B64" s="6">
        <v>1943.55</v>
      </c>
      <c r="C64" s="13">
        <v>15</v>
      </c>
      <c r="D64" s="18">
        <f>+B64+C64</f>
        <v>1958.55</v>
      </c>
      <c r="E64" s="14">
        <v>0</v>
      </c>
      <c r="F64" s="18">
        <f t="shared" si="0"/>
        <v>0</v>
      </c>
      <c r="G64" s="18">
        <f t="shared" si="1"/>
        <v>0</v>
      </c>
      <c r="H64" s="14">
        <v>20.8</v>
      </c>
      <c r="I64" s="18">
        <f t="shared" si="2"/>
        <v>20.8</v>
      </c>
      <c r="J64" s="18">
        <f t="shared" si="3"/>
        <v>0</v>
      </c>
      <c r="K64" s="14">
        <v>49.36</v>
      </c>
      <c r="L64" s="18">
        <f t="shared" si="4"/>
        <v>49.36</v>
      </c>
      <c r="M64" s="18">
        <f t="shared" si="5"/>
        <v>0</v>
      </c>
      <c r="N64" s="15">
        <f t="shared" si="6"/>
        <v>70.16</v>
      </c>
      <c r="O64" s="15">
        <f>+N64-P64</f>
        <v>70.16</v>
      </c>
      <c r="P64" s="15">
        <f>+IF(N64&gt;D64,N64-D64,0)</f>
        <v>0</v>
      </c>
      <c r="Q64" s="5">
        <f>+IF(P64=0,P64,P64/N64)</f>
        <v>0</v>
      </c>
    </row>
    <row r="65" spans="1:17" x14ac:dyDescent="0.25">
      <c r="A65" s="7">
        <v>46237.625</v>
      </c>
      <c r="B65" s="6">
        <v>1200.1500000000001</v>
      </c>
      <c r="C65" s="13">
        <v>0.12</v>
      </c>
      <c r="D65" s="18">
        <f>+B65+C65</f>
        <v>1200.27</v>
      </c>
      <c r="E65" s="14">
        <v>0</v>
      </c>
      <c r="F65" s="18">
        <f t="shared" si="0"/>
        <v>0</v>
      </c>
      <c r="G65" s="18">
        <f t="shared" si="1"/>
        <v>0</v>
      </c>
      <c r="H65" s="14">
        <v>58.96</v>
      </c>
      <c r="I65" s="18">
        <f t="shared" si="2"/>
        <v>58.96</v>
      </c>
      <c r="J65" s="18">
        <f t="shared" si="3"/>
        <v>0</v>
      </c>
      <c r="K65" s="14">
        <v>71.56</v>
      </c>
      <c r="L65" s="18">
        <f t="shared" si="4"/>
        <v>71.56</v>
      </c>
      <c r="M65" s="18">
        <f t="shared" si="5"/>
        <v>0</v>
      </c>
      <c r="N65" s="15">
        <f t="shared" si="6"/>
        <v>130.52000000000001</v>
      </c>
      <c r="O65" s="15">
        <f>+N65-P65</f>
        <v>130.52000000000001</v>
      </c>
      <c r="P65" s="15">
        <f>+IF(N65&gt;D65,N65-D65,0)</f>
        <v>0</v>
      </c>
      <c r="Q65" s="5">
        <f>+IF(P65=0,P65,P65/N65)</f>
        <v>0</v>
      </c>
    </row>
    <row r="66" spans="1:17" x14ac:dyDescent="0.25">
      <c r="A66" s="7">
        <v>46237.666666666664</v>
      </c>
      <c r="B66" s="6">
        <v>466.2</v>
      </c>
      <c r="C66" s="13">
        <v>0.6</v>
      </c>
      <c r="D66" s="18">
        <f>+B66+C66</f>
        <v>466.8</v>
      </c>
      <c r="E66" s="14">
        <v>0</v>
      </c>
      <c r="F66" s="18">
        <f t="shared" si="0"/>
        <v>0</v>
      </c>
      <c r="G66" s="18">
        <f t="shared" si="1"/>
        <v>0</v>
      </c>
      <c r="H66" s="14">
        <v>37.479999999999997</v>
      </c>
      <c r="I66" s="18">
        <f t="shared" si="2"/>
        <v>37.479999999999997</v>
      </c>
      <c r="J66" s="18">
        <f t="shared" si="3"/>
        <v>0</v>
      </c>
      <c r="K66" s="14">
        <v>41.2</v>
      </c>
      <c r="L66" s="18">
        <f t="shared" si="4"/>
        <v>41.2</v>
      </c>
      <c r="M66" s="18">
        <f t="shared" si="5"/>
        <v>0</v>
      </c>
      <c r="N66" s="15">
        <f t="shared" si="6"/>
        <v>78.680000000000007</v>
      </c>
      <c r="O66" s="15">
        <f>+N66-P66</f>
        <v>78.680000000000007</v>
      </c>
      <c r="P66" s="15">
        <f>+IF(N66&gt;D66,N66-D66,0)</f>
        <v>0</v>
      </c>
      <c r="Q66" s="5">
        <f>+IF(P66=0,P66,P66/N66)</f>
        <v>0</v>
      </c>
    </row>
    <row r="67" spans="1:17" x14ac:dyDescent="0.25">
      <c r="A67" s="7">
        <v>46237.708333333336</v>
      </c>
      <c r="B67" s="6">
        <v>59.85</v>
      </c>
      <c r="C67" s="13">
        <v>0</v>
      </c>
      <c r="D67" s="18">
        <f>+B67+C67</f>
        <v>59.85</v>
      </c>
      <c r="E67" s="14">
        <v>170.08200000000002</v>
      </c>
      <c r="F67" s="18">
        <f t="shared" ref="F67:F130" si="7">+E67-G67</f>
        <v>36.096934418904823</v>
      </c>
      <c r="G67" s="18">
        <f t="shared" ref="G67:G130" si="8">+E67*Q67</f>
        <v>133.9850655810952</v>
      </c>
      <c r="H67" s="14">
        <v>52.36</v>
      </c>
      <c r="I67" s="18">
        <f t="shared" ref="I67:I130" si="9">+H67-J67</f>
        <v>11.112495656059174</v>
      </c>
      <c r="J67" s="18">
        <f t="shared" ref="J67:J130" si="10">+H67*Q67</f>
        <v>41.247504343940825</v>
      </c>
      <c r="K67" s="14">
        <v>59.56</v>
      </c>
      <c r="L67" s="18">
        <f t="shared" ref="L67:L130" si="11">+K67-M67</f>
        <v>12.64056992503599</v>
      </c>
      <c r="M67" s="18">
        <f t="shared" ref="M67:M130" si="12">+K67*Q67</f>
        <v>46.919430074964012</v>
      </c>
      <c r="N67" s="15">
        <f t="shared" ref="N67:N130" si="13">+E67+H67+K67</f>
        <v>282.00200000000001</v>
      </c>
      <c r="O67" s="15">
        <f>+N67-P67</f>
        <v>59.849999999999994</v>
      </c>
      <c r="P67" s="15">
        <f>+IF(N67&gt;D67,N67-D67,0)</f>
        <v>222.15200000000002</v>
      </c>
      <c r="Q67" s="5">
        <f>+IF(P67=0,P67,P67/N67)</f>
        <v>0.78776746264210895</v>
      </c>
    </row>
    <row r="68" spans="1:17" x14ac:dyDescent="0.25">
      <c r="A68" s="7">
        <v>46237.75</v>
      </c>
      <c r="B68" s="6">
        <v>12.6</v>
      </c>
      <c r="C68" s="13">
        <v>0</v>
      </c>
      <c r="D68" s="18">
        <f>+B68+C68</f>
        <v>12.6</v>
      </c>
      <c r="E68" s="14">
        <v>248.82299999999998</v>
      </c>
      <c r="F68" s="18">
        <f t="shared" si="7"/>
        <v>8.9162819269502052</v>
      </c>
      <c r="G68" s="18">
        <f t="shared" si="8"/>
        <v>239.90671807304977</v>
      </c>
      <c r="H68" s="14">
        <v>70</v>
      </c>
      <c r="I68" s="18">
        <f t="shared" si="9"/>
        <v>2.5083683376798547</v>
      </c>
      <c r="J68" s="18">
        <f t="shared" si="10"/>
        <v>67.491631662320145</v>
      </c>
      <c r="K68" s="14">
        <v>32.800000000000004</v>
      </c>
      <c r="L68" s="18">
        <f t="shared" si="11"/>
        <v>1.1753497353699878</v>
      </c>
      <c r="M68" s="18">
        <f t="shared" si="12"/>
        <v>31.624650264630016</v>
      </c>
      <c r="N68" s="15">
        <f t="shared" si="13"/>
        <v>351.62299999999999</v>
      </c>
      <c r="O68" s="15">
        <f>+N68-P68</f>
        <v>12.600000000000023</v>
      </c>
      <c r="P68" s="15">
        <f>+IF(N68&gt;D68,N68-D68,0)</f>
        <v>339.02299999999997</v>
      </c>
      <c r="Q68" s="5">
        <f>+IF(P68=0,P68,P68/N68)</f>
        <v>0.96416616660457355</v>
      </c>
    </row>
    <row r="69" spans="1:17" x14ac:dyDescent="0.25">
      <c r="A69" s="7">
        <v>46237.791666666664</v>
      </c>
      <c r="B69" s="6">
        <v>25.2</v>
      </c>
      <c r="C69" s="13">
        <v>0</v>
      </c>
      <c r="D69" s="18">
        <f>+B69+C69</f>
        <v>25.2</v>
      </c>
      <c r="E69" s="14">
        <v>44.094999999999999</v>
      </c>
      <c r="F69" s="18">
        <f t="shared" si="7"/>
        <v>8.1432999890073674</v>
      </c>
      <c r="G69" s="18">
        <f t="shared" si="8"/>
        <v>35.951700010992631</v>
      </c>
      <c r="H69" s="14">
        <v>60.879999999999995</v>
      </c>
      <c r="I69" s="18">
        <f t="shared" si="9"/>
        <v>11.243091128943611</v>
      </c>
      <c r="J69" s="18">
        <f t="shared" si="10"/>
        <v>49.636908871056384</v>
      </c>
      <c r="K69" s="14">
        <v>31.48</v>
      </c>
      <c r="L69" s="18">
        <f t="shared" si="11"/>
        <v>5.8136088820490279</v>
      </c>
      <c r="M69" s="18">
        <f t="shared" si="12"/>
        <v>25.666391117950973</v>
      </c>
      <c r="N69" s="15">
        <f t="shared" si="13"/>
        <v>136.45499999999998</v>
      </c>
      <c r="O69" s="15">
        <f>+N69-P69</f>
        <v>25.200000000000003</v>
      </c>
      <c r="P69" s="15">
        <f>+IF(N69&gt;D69,N69-D69,0)</f>
        <v>111.25499999999998</v>
      </c>
      <c r="Q69" s="5">
        <f>+IF(P69=0,P69,P69/N69)</f>
        <v>0.81532373309882378</v>
      </c>
    </row>
    <row r="70" spans="1:17" x14ac:dyDescent="0.25">
      <c r="A70" s="7">
        <v>46237.833333333336</v>
      </c>
      <c r="B70" s="6">
        <v>0</v>
      </c>
      <c r="C70" s="13">
        <v>0</v>
      </c>
      <c r="D70" s="18">
        <f>+B70+C70</f>
        <v>0</v>
      </c>
      <c r="E70" s="14">
        <v>992.14300000000003</v>
      </c>
      <c r="F70" s="18">
        <f t="shared" si="7"/>
        <v>0</v>
      </c>
      <c r="G70" s="18">
        <f t="shared" si="8"/>
        <v>992.14300000000003</v>
      </c>
      <c r="H70" s="14">
        <v>53.080000000000005</v>
      </c>
      <c r="I70" s="18">
        <f t="shared" si="9"/>
        <v>0</v>
      </c>
      <c r="J70" s="18">
        <f t="shared" si="10"/>
        <v>53.080000000000005</v>
      </c>
      <c r="K70" s="14">
        <v>23.32</v>
      </c>
      <c r="L70" s="18">
        <f t="shared" si="11"/>
        <v>0</v>
      </c>
      <c r="M70" s="18">
        <f t="shared" si="12"/>
        <v>23.32</v>
      </c>
      <c r="N70" s="15">
        <f t="shared" si="13"/>
        <v>1068.5429999999999</v>
      </c>
      <c r="O70" s="15">
        <f>+N70-P70</f>
        <v>0</v>
      </c>
      <c r="P70" s="15">
        <f>+IF(N70&gt;D70,N70-D70,0)</f>
        <v>1068.5429999999999</v>
      </c>
      <c r="Q70" s="5">
        <f>+IF(P70=0,P70,P70/N70)</f>
        <v>1</v>
      </c>
    </row>
    <row r="71" spans="1:17" x14ac:dyDescent="0.25">
      <c r="A71" s="7">
        <v>46237.875</v>
      </c>
      <c r="B71" s="6">
        <v>0</v>
      </c>
      <c r="C71" s="13">
        <v>0</v>
      </c>
      <c r="D71" s="18">
        <f>+B71+C71</f>
        <v>0</v>
      </c>
      <c r="E71" s="14">
        <v>1105.5309999999999</v>
      </c>
      <c r="F71" s="18">
        <f t="shared" si="7"/>
        <v>0</v>
      </c>
      <c r="G71" s="18">
        <f t="shared" si="8"/>
        <v>1105.5309999999999</v>
      </c>
      <c r="H71" s="14">
        <v>51.88</v>
      </c>
      <c r="I71" s="18">
        <f t="shared" si="9"/>
        <v>0</v>
      </c>
      <c r="J71" s="18">
        <f t="shared" si="10"/>
        <v>51.88</v>
      </c>
      <c r="K71" s="14">
        <v>14.200000000000001</v>
      </c>
      <c r="L71" s="18">
        <f t="shared" si="11"/>
        <v>0</v>
      </c>
      <c r="M71" s="18">
        <f t="shared" si="12"/>
        <v>14.200000000000001</v>
      </c>
      <c r="N71" s="15">
        <f t="shared" si="13"/>
        <v>1171.6110000000001</v>
      </c>
      <c r="O71" s="15">
        <f>+N71-P71</f>
        <v>0</v>
      </c>
      <c r="P71" s="15">
        <f>+IF(N71&gt;D71,N71-D71,0)</f>
        <v>1171.6110000000001</v>
      </c>
      <c r="Q71" s="5">
        <f>+IF(P71=0,P71,P71/N71)</f>
        <v>1</v>
      </c>
    </row>
    <row r="72" spans="1:17" x14ac:dyDescent="0.25">
      <c r="A72" s="7">
        <v>46237.916666666664</v>
      </c>
      <c r="B72" s="6">
        <v>0</v>
      </c>
      <c r="C72" s="13">
        <v>0</v>
      </c>
      <c r="D72" s="18">
        <f>+B72+C72</f>
        <v>0</v>
      </c>
      <c r="E72" s="14">
        <v>1272.6219999999998</v>
      </c>
      <c r="F72" s="18">
        <f t="shared" si="7"/>
        <v>0</v>
      </c>
      <c r="G72" s="18">
        <f t="shared" si="8"/>
        <v>1272.6219999999998</v>
      </c>
      <c r="H72" s="14">
        <v>52.12</v>
      </c>
      <c r="I72" s="18">
        <f t="shared" si="9"/>
        <v>0</v>
      </c>
      <c r="J72" s="18">
        <f t="shared" si="10"/>
        <v>52.12</v>
      </c>
      <c r="K72" s="14">
        <v>12.88</v>
      </c>
      <c r="L72" s="18">
        <f t="shared" si="11"/>
        <v>0</v>
      </c>
      <c r="M72" s="18">
        <f t="shared" si="12"/>
        <v>12.88</v>
      </c>
      <c r="N72" s="15">
        <f t="shared" si="13"/>
        <v>1337.6219999999998</v>
      </c>
      <c r="O72" s="15">
        <f>+N72-P72</f>
        <v>0</v>
      </c>
      <c r="P72" s="15">
        <f>+IF(N72&gt;D72,N72-D72,0)</f>
        <v>1337.6219999999998</v>
      </c>
      <c r="Q72" s="5">
        <f>+IF(P72=0,P72,P72/N72)</f>
        <v>1</v>
      </c>
    </row>
    <row r="73" spans="1:17" x14ac:dyDescent="0.25">
      <c r="A73" s="7">
        <v>46237.958333333336</v>
      </c>
      <c r="B73" s="6">
        <v>0</v>
      </c>
      <c r="C73" s="13">
        <v>0</v>
      </c>
      <c r="D73" s="18">
        <f>+B73+C73</f>
        <v>0</v>
      </c>
      <c r="E73" s="14">
        <v>1225.3710000000001</v>
      </c>
      <c r="F73" s="18">
        <f t="shared" si="7"/>
        <v>0</v>
      </c>
      <c r="G73" s="18">
        <f t="shared" si="8"/>
        <v>1225.3710000000001</v>
      </c>
      <c r="H73" s="14">
        <v>53.32</v>
      </c>
      <c r="I73" s="18">
        <f t="shared" si="9"/>
        <v>0</v>
      </c>
      <c r="J73" s="18">
        <f t="shared" si="10"/>
        <v>53.32</v>
      </c>
      <c r="K73" s="14">
        <v>14.8</v>
      </c>
      <c r="L73" s="18">
        <f t="shared" si="11"/>
        <v>0</v>
      </c>
      <c r="M73" s="18">
        <f t="shared" si="12"/>
        <v>14.8</v>
      </c>
      <c r="N73" s="15">
        <f t="shared" si="13"/>
        <v>1293.491</v>
      </c>
      <c r="O73" s="15">
        <f>+N73-P73</f>
        <v>0</v>
      </c>
      <c r="P73" s="15">
        <f>+IF(N73&gt;D73,N73-D73,0)</f>
        <v>1293.491</v>
      </c>
      <c r="Q73" s="5">
        <f>+IF(P73=0,P73,P73/N73)</f>
        <v>1</v>
      </c>
    </row>
    <row r="74" spans="1:17" x14ac:dyDescent="0.25">
      <c r="A74" s="7">
        <v>46238</v>
      </c>
      <c r="B74" s="6">
        <v>0</v>
      </c>
      <c r="C74" s="13">
        <v>0</v>
      </c>
      <c r="D74" s="18">
        <f>+B74+C74</f>
        <v>0</v>
      </c>
      <c r="E74" s="14">
        <v>1130.8700000000001</v>
      </c>
      <c r="F74" s="18">
        <f t="shared" si="7"/>
        <v>0</v>
      </c>
      <c r="G74" s="18">
        <f t="shared" si="8"/>
        <v>1130.8700000000001</v>
      </c>
      <c r="H74" s="14">
        <v>49</v>
      </c>
      <c r="I74" s="18">
        <f t="shared" si="9"/>
        <v>0</v>
      </c>
      <c r="J74" s="18">
        <f t="shared" si="10"/>
        <v>49</v>
      </c>
      <c r="K74" s="14">
        <v>12.88</v>
      </c>
      <c r="L74" s="18">
        <f t="shared" si="11"/>
        <v>0</v>
      </c>
      <c r="M74" s="18">
        <f t="shared" si="12"/>
        <v>12.88</v>
      </c>
      <c r="N74" s="15">
        <f t="shared" si="13"/>
        <v>1192.7500000000002</v>
      </c>
      <c r="O74" s="15">
        <f>+N74-P74</f>
        <v>0</v>
      </c>
      <c r="P74" s="15">
        <f>+IF(N74&gt;D74,N74-D74,0)</f>
        <v>1192.7500000000002</v>
      </c>
      <c r="Q74" s="5">
        <f>+IF(P74=0,P74,P74/N74)</f>
        <v>1</v>
      </c>
    </row>
    <row r="75" spans="1:17" x14ac:dyDescent="0.25">
      <c r="A75" s="7">
        <v>46238.041666666664</v>
      </c>
      <c r="B75" s="6">
        <v>0</v>
      </c>
      <c r="C75" s="13">
        <v>0</v>
      </c>
      <c r="D75" s="18">
        <f>+B75+C75</f>
        <v>0</v>
      </c>
      <c r="E75" s="14">
        <v>59.850999999999999</v>
      </c>
      <c r="F75" s="18">
        <f t="shared" si="7"/>
        <v>0</v>
      </c>
      <c r="G75" s="18">
        <f t="shared" si="8"/>
        <v>59.850999999999999</v>
      </c>
      <c r="H75" s="14">
        <v>52.24</v>
      </c>
      <c r="I75" s="18">
        <f t="shared" si="9"/>
        <v>0</v>
      </c>
      <c r="J75" s="18">
        <f t="shared" si="10"/>
        <v>52.24</v>
      </c>
      <c r="K75" s="14">
        <v>14.200000000000001</v>
      </c>
      <c r="L75" s="18">
        <f t="shared" si="11"/>
        <v>0</v>
      </c>
      <c r="M75" s="18">
        <f t="shared" si="12"/>
        <v>14.200000000000001</v>
      </c>
      <c r="N75" s="15">
        <f t="shared" si="13"/>
        <v>126.29100000000001</v>
      </c>
      <c r="O75" s="15">
        <f>+N75-P75</f>
        <v>0</v>
      </c>
      <c r="P75" s="15">
        <f>+IF(N75&gt;D75,N75-D75,0)</f>
        <v>126.29100000000001</v>
      </c>
      <c r="Q75" s="5">
        <f>+IF(P75=0,P75,P75/N75)</f>
        <v>1</v>
      </c>
    </row>
    <row r="76" spans="1:17" x14ac:dyDescent="0.25">
      <c r="A76" s="7">
        <v>46238.083333333336</v>
      </c>
      <c r="B76" s="6">
        <v>0</v>
      </c>
      <c r="C76" s="13">
        <v>0</v>
      </c>
      <c r="D76" s="18">
        <f>+B76+C76</f>
        <v>0</v>
      </c>
      <c r="E76" s="14">
        <v>1171.8200000000002</v>
      </c>
      <c r="F76" s="18">
        <f t="shared" si="7"/>
        <v>0</v>
      </c>
      <c r="G76" s="18">
        <f t="shared" si="8"/>
        <v>1171.8200000000002</v>
      </c>
      <c r="H76" s="14">
        <v>52.48</v>
      </c>
      <c r="I76" s="18">
        <f t="shared" si="9"/>
        <v>0</v>
      </c>
      <c r="J76" s="18">
        <f t="shared" si="10"/>
        <v>52.48</v>
      </c>
      <c r="K76" s="14">
        <v>11.92</v>
      </c>
      <c r="L76" s="18">
        <f t="shared" si="11"/>
        <v>0</v>
      </c>
      <c r="M76" s="18">
        <f t="shared" si="12"/>
        <v>11.92</v>
      </c>
      <c r="N76" s="15">
        <f t="shared" si="13"/>
        <v>1236.2200000000003</v>
      </c>
      <c r="O76" s="15">
        <f>+N76-P76</f>
        <v>0</v>
      </c>
      <c r="P76" s="15">
        <f>+IF(N76&gt;D76,N76-D76,0)</f>
        <v>1236.2200000000003</v>
      </c>
      <c r="Q76" s="5">
        <f>+IF(P76=0,P76,P76/N76)</f>
        <v>1</v>
      </c>
    </row>
    <row r="77" spans="1:17" x14ac:dyDescent="0.25">
      <c r="A77" s="7">
        <v>46238.125</v>
      </c>
      <c r="B77" s="6">
        <v>0</v>
      </c>
      <c r="C77" s="13">
        <v>0</v>
      </c>
      <c r="D77" s="18">
        <f>+B77+C77</f>
        <v>0</v>
      </c>
      <c r="E77" s="14">
        <v>812.71400000000006</v>
      </c>
      <c r="F77" s="18">
        <f t="shared" si="7"/>
        <v>0</v>
      </c>
      <c r="G77" s="18">
        <f t="shared" si="8"/>
        <v>812.71400000000006</v>
      </c>
      <c r="H77" s="14">
        <v>49.24</v>
      </c>
      <c r="I77" s="18">
        <f t="shared" si="9"/>
        <v>0</v>
      </c>
      <c r="J77" s="18">
        <f t="shared" si="10"/>
        <v>49.24</v>
      </c>
      <c r="K77" s="14">
        <v>13.719999999999999</v>
      </c>
      <c r="L77" s="18">
        <f t="shared" si="11"/>
        <v>0</v>
      </c>
      <c r="M77" s="18">
        <f t="shared" si="12"/>
        <v>13.719999999999999</v>
      </c>
      <c r="N77" s="15">
        <f t="shared" si="13"/>
        <v>875.67400000000009</v>
      </c>
      <c r="O77" s="15">
        <f>+N77-P77</f>
        <v>0</v>
      </c>
      <c r="P77" s="15">
        <f>+IF(N77&gt;D77,N77-D77,0)</f>
        <v>875.67400000000009</v>
      </c>
      <c r="Q77" s="5">
        <f>+IF(P77=0,P77,P77/N77)</f>
        <v>1</v>
      </c>
    </row>
    <row r="78" spans="1:17" x14ac:dyDescent="0.25">
      <c r="A78" s="7">
        <v>46238.166666666664</v>
      </c>
      <c r="B78" s="6">
        <v>0</v>
      </c>
      <c r="C78" s="13">
        <v>0</v>
      </c>
      <c r="D78" s="18">
        <f>+B78+C78</f>
        <v>0</v>
      </c>
      <c r="E78" s="14">
        <v>1278.9219999999998</v>
      </c>
      <c r="F78" s="18">
        <f t="shared" si="7"/>
        <v>0</v>
      </c>
      <c r="G78" s="18">
        <f t="shared" si="8"/>
        <v>1278.9219999999998</v>
      </c>
      <c r="H78" s="14">
        <v>53.32</v>
      </c>
      <c r="I78" s="18">
        <f t="shared" si="9"/>
        <v>0</v>
      </c>
      <c r="J78" s="18">
        <f t="shared" si="10"/>
        <v>53.32</v>
      </c>
      <c r="K78" s="14">
        <v>12.040000000000001</v>
      </c>
      <c r="L78" s="18">
        <f t="shared" si="11"/>
        <v>0</v>
      </c>
      <c r="M78" s="18">
        <f t="shared" si="12"/>
        <v>12.040000000000001</v>
      </c>
      <c r="N78" s="15">
        <f t="shared" si="13"/>
        <v>1344.2819999999997</v>
      </c>
      <c r="O78" s="15">
        <f>+N78-P78</f>
        <v>0</v>
      </c>
      <c r="P78" s="15">
        <f>+IF(N78&gt;D78,N78-D78,0)</f>
        <v>1344.2819999999997</v>
      </c>
      <c r="Q78" s="5">
        <f>+IF(P78=0,P78,P78/N78)</f>
        <v>1</v>
      </c>
    </row>
    <row r="79" spans="1:17" x14ac:dyDescent="0.25">
      <c r="A79" s="7">
        <v>46238.208333333336</v>
      </c>
      <c r="B79" s="6">
        <v>0</v>
      </c>
      <c r="C79" s="13">
        <v>0</v>
      </c>
      <c r="D79" s="18">
        <f>+B79+C79</f>
        <v>0</v>
      </c>
      <c r="E79" s="14">
        <v>1203.3210000000001</v>
      </c>
      <c r="F79" s="18">
        <f t="shared" si="7"/>
        <v>0</v>
      </c>
      <c r="G79" s="18">
        <f t="shared" si="8"/>
        <v>1203.3210000000001</v>
      </c>
      <c r="H79" s="14">
        <v>57.88</v>
      </c>
      <c r="I79" s="18">
        <f t="shared" si="9"/>
        <v>0</v>
      </c>
      <c r="J79" s="18">
        <f t="shared" si="10"/>
        <v>57.88</v>
      </c>
      <c r="K79" s="14">
        <v>8.56</v>
      </c>
      <c r="L79" s="18">
        <f t="shared" si="11"/>
        <v>0</v>
      </c>
      <c r="M79" s="18">
        <f t="shared" si="12"/>
        <v>8.56</v>
      </c>
      <c r="N79" s="15">
        <f t="shared" si="13"/>
        <v>1269.7610000000002</v>
      </c>
      <c r="O79" s="15">
        <f>+N79-P79</f>
        <v>0</v>
      </c>
      <c r="P79" s="15">
        <f>+IF(N79&gt;D79,N79-D79,0)</f>
        <v>1269.7610000000002</v>
      </c>
      <c r="Q79" s="5">
        <f>+IF(P79=0,P79,P79/N79)</f>
        <v>1</v>
      </c>
    </row>
    <row r="80" spans="1:17" x14ac:dyDescent="0.25">
      <c r="A80" s="7">
        <v>46238.25</v>
      </c>
      <c r="B80" s="6">
        <v>66.150000000000006</v>
      </c>
      <c r="C80" s="13">
        <v>0</v>
      </c>
      <c r="D80" s="18">
        <f>+B80+C80</f>
        <v>66.150000000000006</v>
      </c>
      <c r="E80" s="14">
        <v>3.15</v>
      </c>
      <c r="F80" s="18">
        <f t="shared" si="7"/>
        <v>3.15</v>
      </c>
      <c r="G80" s="18">
        <f t="shared" si="8"/>
        <v>0</v>
      </c>
      <c r="H80" s="14">
        <v>43</v>
      </c>
      <c r="I80" s="18">
        <f t="shared" si="9"/>
        <v>43</v>
      </c>
      <c r="J80" s="18">
        <f t="shared" si="10"/>
        <v>0</v>
      </c>
      <c r="K80" s="14">
        <v>3.28</v>
      </c>
      <c r="L80" s="18">
        <f t="shared" si="11"/>
        <v>3.28</v>
      </c>
      <c r="M80" s="18">
        <f t="shared" si="12"/>
        <v>0</v>
      </c>
      <c r="N80" s="15">
        <f t="shared" si="13"/>
        <v>49.43</v>
      </c>
      <c r="O80" s="15">
        <f>+N80-P80</f>
        <v>49.43</v>
      </c>
      <c r="P80" s="15">
        <f>+IF(N80&gt;D80,N80-D80,0)</f>
        <v>0</v>
      </c>
      <c r="Q80" s="5">
        <f>+IF(P80=0,P80,P80/N80)</f>
        <v>0</v>
      </c>
    </row>
    <row r="81" spans="1:17" x14ac:dyDescent="0.25">
      <c r="A81" s="7">
        <v>46238.291666666664</v>
      </c>
      <c r="B81" s="6">
        <v>522.9</v>
      </c>
      <c r="C81" s="13">
        <v>0</v>
      </c>
      <c r="D81" s="18">
        <f>+B81+C81</f>
        <v>522.9</v>
      </c>
      <c r="E81" s="14">
        <v>0</v>
      </c>
      <c r="F81" s="18">
        <f t="shared" si="7"/>
        <v>0</v>
      </c>
      <c r="G81" s="18">
        <f t="shared" si="8"/>
        <v>0</v>
      </c>
      <c r="H81" s="14">
        <v>38.440000000000005</v>
      </c>
      <c r="I81" s="18">
        <f t="shared" si="9"/>
        <v>38.440000000000005</v>
      </c>
      <c r="J81" s="18">
        <f t="shared" si="10"/>
        <v>0</v>
      </c>
      <c r="K81" s="14">
        <v>3.28</v>
      </c>
      <c r="L81" s="18">
        <f t="shared" si="11"/>
        <v>3.28</v>
      </c>
      <c r="M81" s="18">
        <f t="shared" si="12"/>
        <v>0</v>
      </c>
      <c r="N81" s="15">
        <f t="shared" si="13"/>
        <v>41.720000000000006</v>
      </c>
      <c r="O81" s="15">
        <f>+N81-P81</f>
        <v>41.720000000000006</v>
      </c>
      <c r="P81" s="15">
        <f>+IF(N81&gt;D81,N81-D81,0)</f>
        <v>0</v>
      </c>
      <c r="Q81" s="5">
        <f>+IF(P81=0,P81,P81/N81)</f>
        <v>0</v>
      </c>
    </row>
    <row r="82" spans="1:17" x14ac:dyDescent="0.25">
      <c r="A82" s="7">
        <v>46238.333333333336</v>
      </c>
      <c r="B82" s="6">
        <v>252</v>
      </c>
      <c r="C82" s="13">
        <v>0</v>
      </c>
      <c r="D82" s="18">
        <f>+B82+C82</f>
        <v>252</v>
      </c>
      <c r="E82" s="14">
        <v>9.4499999999999993</v>
      </c>
      <c r="F82" s="18">
        <f t="shared" si="7"/>
        <v>9.4499999999999993</v>
      </c>
      <c r="G82" s="18">
        <f t="shared" si="8"/>
        <v>0</v>
      </c>
      <c r="H82" s="14">
        <v>123.28</v>
      </c>
      <c r="I82" s="18">
        <f t="shared" si="9"/>
        <v>123.28</v>
      </c>
      <c r="J82" s="18">
        <f t="shared" si="10"/>
        <v>0</v>
      </c>
      <c r="K82" s="14">
        <v>17.68</v>
      </c>
      <c r="L82" s="18">
        <f t="shared" si="11"/>
        <v>17.68</v>
      </c>
      <c r="M82" s="18">
        <f t="shared" si="12"/>
        <v>0</v>
      </c>
      <c r="N82" s="15">
        <f t="shared" si="13"/>
        <v>150.41</v>
      </c>
      <c r="O82" s="15">
        <f>+N82-P82</f>
        <v>150.41</v>
      </c>
      <c r="P82" s="15">
        <f>+IF(N82&gt;D82,N82-D82,0)</f>
        <v>0</v>
      </c>
      <c r="Q82" s="5">
        <f>+IF(P82=0,P82,P82/N82)</f>
        <v>0</v>
      </c>
    </row>
    <row r="83" spans="1:17" x14ac:dyDescent="0.25">
      <c r="A83" s="7">
        <v>46238.375</v>
      </c>
      <c r="B83" s="6">
        <v>765.45</v>
      </c>
      <c r="C83" s="13">
        <v>1.32</v>
      </c>
      <c r="D83" s="18">
        <f>+B83+C83</f>
        <v>766.7700000000001</v>
      </c>
      <c r="E83" s="14">
        <v>0</v>
      </c>
      <c r="F83" s="18">
        <f t="shared" si="7"/>
        <v>0</v>
      </c>
      <c r="G83" s="18">
        <f t="shared" si="8"/>
        <v>0</v>
      </c>
      <c r="H83" s="14">
        <v>40.36</v>
      </c>
      <c r="I83" s="18">
        <f t="shared" si="9"/>
        <v>40.36</v>
      </c>
      <c r="J83" s="18">
        <f t="shared" si="10"/>
        <v>0</v>
      </c>
      <c r="K83" s="14">
        <v>77.92</v>
      </c>
      <c r="L83" s="18">
        <f t="shared" si="11"/>
        <v>77.92</v>
      </c>
      <c r="M83" s="18">
        <f t="shared" si="12"/>
        <v>0</v>
      </c>
      <c r="N83" s="15">
        <f t="shared" si="13"/>
        <v>118.28</v>
      </c>
      <c r="O83" s="15">
        <f>+N83-P83</f>
        <v>118.28</v>
      </c>
      <c r="P83" s="15">
        <f>+IF(N83&gt;D83,N83-D83,0)</f>
        <v>0</v>
      </c>
      <c r="Q83" s="5">
        <f>+IF(P83=0,P83,P83/N83)</f>
        <v>0</v>
      </c>
    </row>
    <row r="84" spans="1:17" x14ac:dyDescent="0.25">
      <c r="A84" s="7">
        <v>46238.416666666664</v>
      </c>
      <c r="B84" s="6">
        <v>1244.25</v>
      </c>
      <c r="C84" s="13">
        <v>8.76</v>
      </c>
      <c r="D84" s="18">
        <f>+B84+C84</f>
        <v>1253.01</v>
      </c>
      <c r="E84" s="14">
        <v>0</v>
      </c>
      <c r="F84" s="18">
        <f t="shared" si="7"/>
        <v>0</v>
      </c>
      <c r="G84" s="18">
        <f t="shared" si="8"/>
        <v>0</v>
      </c>
      <c r="H84" s="14">
        <v>20.8</v>
      </c>
      <c r="I84" s="18">
        <f t="shared" si="9"/>
        <v>20.8</v>
      </c>
      <c r="J84" s="18">
        <f t="shared" si="10"/>
        <v>0</v>
      </c>
      <c r="K84" s="14">
        <v>41.68</v>
      </c>
      <c r="L84" s="18">
        <f t="shared" si="11"/>
        <v>41.68</v>
      </c>
      <c r="M84" s="18">
        <f t="shared" si="12"/>
        <v>0</v>
      </c>
      <c r="N84" s="15">
        <f t="shared" si="13"/>
        <v>62.480000000000004</v>
      </c>
      <c r="O84" s="15">
        <f>+N84-P84</f>
        <v>62.480000000000004</v>
      </c>
      <c r="P84" s="15">
        <f>+IF(N84&gt;D84,N84-D84,0)</f>
        <v>0</v>
      </c>
      <c r="Q84" s="5">
        <f>+IF(P84=0,P84,P84/N84)</f>
        <v>0</v>
      </c>
    </row>
    <row r="85" spans="1:17" x14ac:dyDescent="0.25">
      <c r="A85" s="7">
        <v>46238.458333333336</v>
      </c>
      <c r="B85" s="6">
        <v>1445.85</v>
      </c>
      <c r="C85" s="13">
        <v>16.920000000000002</v>
      </c>
      <c r="D85" s="18">
        <f>+B85+C85</f>
        <v>1462.77</v>
      </c>
      <c r="E85" s="14">
        <v>0</v>
      </c>
      <c r="F85" s="18">
        <f t="shared" si="7"/>
        <v>0</v>
      </c>
      <c r="G85" s="18">
        <f t="shared" si="8"/>
        <v>0</v>
      </c>
      <c r="H85" s="14">
        <v>16.119999999999997</v>
      </c>
      <c r="I85" s="18">
        <f t="shared" si="9"/>
        <v>16.119999999999997</v>
      </c>
      <c r="J85" s="18">
        <f t="shared" si="10"/>
        <v>0</v>
      </c>
      <c r="K85" s="14">
        <v>44.08</v>
      </c>
      <c r="L85" s="18">
        <f t="shared" si="11"/>
        <v>44.08</v>
      </c>
      <c r="M85" s="18">
        <f t="shared" si="12"/>
        <v>0</v>
      </c>
      <c r="N85" s="15">
        <f t="shared" si="13"/>
        <v>60.199999999999996</v>
      </c>
      <c r="O85" s="15">
        <f>+N85-P85</f>
        <v>60.199999999999996</v>
      </c>
      <c r="P85" s="15">
        <f>+IF(N85&gt;D85,N85-D85,0)</f>
        <v>0</v>
      </c>
      <c r="Q85" s="5">
        <f>+IF(P85=0,P85,P85/N85)</f>
        <v>0</v>
      </c>
    </row>
    <row r="86" spans="1:17" x14ac:dyDescent="0.25">
      <c r="A86" s="7">
        <v>46238.5</v>
      </c>
      <c r="B86" s="6">
        <v>2154.6</v>
      </c>
      <c r="C86" s="13">
        <v>22.92</v>
      </c>
      <c r="D86" s="18">
        <f>+B86+C86</f>
        <v>2177.52</v>
      </c>
      <c r="E86" s="14">
        <v>0</v>
      </c>
      <c r="F86" s="18">
        <f t="shared" si="7"/>
        <v>0</v>
      </c>
      <c r="G86" s="18">
        <f t="shared" si="8"/>
        <v>0</v>
      </c>
      <c r="H86" s="14">
        <v>5.92</v>
      </c>
      <c r="I86" s="18">
        <f t="shared" si="9"/>
        <v>5.92</v>
      </c>
      <c r="J86" s="18">
        <f t="shared" si="10"/>
        <v>0</v>
      </c>
      <c r="K86" s="14">
        <v>58.24</v>
      </c>
      <c r="L86" s="18">
        <f t="shared" si="11"/>
        <v>58.24</v>
      </c>
      <c r="M86" s="18">
        <f t="shared" si="12"/>
        <v>0</v>
      </c>
      <c r="N86" s="15">
        <f t="shared" si="13"/>
        <v>64.16</v>
      </c>
      <c r="O86" s="15">
        <f>+N86-P86</f>
        <v>64.16</v>
      </c>
      <c r="P86" s="15">
        <f>+IF(N86&gt;D86,N86-D86,0)</f>
        <v>0</v>
      </c>
      <c r="Q86" s="5">
        <f>+IF(P86=0,P86,P86/N86)</f>
        <v>0</v>
      </c>
    </row>
    <row r="87" spans="1:17" x14ac:dyDescent="0.25">
      <c r="A87" s="7">
        <v>46238.541666666664</v>
      </c>
      <c r="B87" s="6">
        <v>2214.4499999999998</v>
      </c>
      <c r="C87" s="13">
        <v>14.04</v>
      </c>
      <c r="D87" s="18">
        <f>+B87+C87</f>
        <v>2228.4899999999998</v>
      </c>
      <c r="E87" s="14">
        <v>0</v>
      </c>
      <c r="F87" s="18">
        <f t="shared" si="7"/>
        <v>0</v>
      </c>
      <c r="G87" s="18">
        <f t="shared" si="8"/>
        <v>0</v>
      </c>
      <c r="H87" s="14">
        <v>20.2</v>
      </c>
      <c r="I87" s="18">
        <f t="shared" si="9"/>
        <v>20.2</v>
      </c>
      <c r="J87" s="18">
        <f t="shared" si="10"/>
        <v>0</v>
      </c>
      <c r="K87" s="14">
        <v>19.12</v>
      </c>
      <c r="L87" s="18">
        <f t="shared" si="11"/>
        <v>19.12</v>
      </c>
      <c r="M87" s="18">
        <f t="shared" si="12"/>
        <v>0</v>
      </c>
      <c r="N87" s="15">
        <f t="shared" si="13"/>
        <v>39.32</v>
      </c>
      <c r="O87" s="15">
        <f>+N87-P87</f>
        <v>39.32</v>
      </c>
      <c r="P87" s="15">
        <f>+IF(N87&gt;D87,N87-D87,0)</f>
        <v>0</v>
      </c>
      <c r="Q87" s="5">
        <f>+IF(P87=0,P87,P87/N87)</f>
        <v>0</v>
      </c>
    </row>
    <row r="88" spans="1:17" x14ac:dyDescent="0.25">
      <c r="A88" s="7">
        <v>46238.583333333336</v>
      </c>
      <c r="B88" s="6">
        <v>1534.05</v>
      </c>
      <c r="C88" s="13">
        <v>9.6</v>
      </c>
      <c r="D88" s="18">
        <f>+B88+C88</f>
        <v>1543.6499999999999</v>
      </c>
      <c r="E88" s="14">
        <v>3.15</v>
      </c>
      <c r="F88" s="18">
        <f t="shared" si="7"/>
        <v>3.15</v>
      </c>
      <c r="G88" s="18">
        <f t="shared" si="8"/>
        <v>0</v>
      </c>
      <c r="H88" s="14">
        <v>30.52</v>
      </c>
      <c r="I88" s="18">
        <f t="shared" si="9"/>
        <v>30.52</v>
      </c>
      <c r="J88" s="18">
        <f t="shared" si="10"/>
        <v>0</v>
      </c>
      <c r="K88" s="14">
        <v>46.120000000000005</v>
      </c>
      <c r="L88" s="18">
        <f t="shared" si="11"/>
        <v>46.120000000000005</v>
      </c>
      <c r="M88" s="18">
        <f t="shared" si="12"/>
        <v>0</v>
      </c>
      <c r="N88" s="15">
        <f t="shared" si="13"/>
        <v>79.790000000000006</v>
      </c>
      <c r="O88" s="15">
        <f>+N88-P88</f>
        <v>79.790000000000006</v>
      </c>
      <c r="P88" s="15">
        <f>+IF(N88&gt;D88,N88-D88,0)</f>
        <v>0</v>
      </c>
      <c r="Q88" s="5">
        <f>+IF(P88=0,P88,P88/N88)</f>
        <v>0</v>
      </c>
    </row>
    <row r="89" spans="1:17" x14ac:dyDescent="0.25">
      <c r="A89" s="7">
        <v>46238.625</v>
      </c>
      <c r="B89" s="6">
        <v>1212.75</v>
      </c>
      <c r="C89" s="13">
        <v>5.76</v>
      </c>
      <c r="D89" s="18">
        <f>+B89+C89</f>
        <v>1218.51</v>
      </c>
      <c r="E89" s="14">
        <v>0</v>
      </c>
      <c r="F89" s="18">
        <f t="shared" si="7"/>
        <v>0</v>
      </c>
      <c r="G89" s="18">
        <f t="shared" si="8"/>
        <v>0</v>
      </c>
      <c r="H89" s="14">
        <v>30.880000000000003</v>
      </c>
      <c r="I89" s="18">
        <f t="shared" si="9"/>
        <v>30.880000000000003</v>
      </c>
      <c r="J89" s="18">
        <f t="shared" si="10"/>
        <v>0</v>
      </c>
      <c r="K89" s="14">
        <v>51.52</v>
      </c>
      <c r="L89" s="18">
        <f t="shared" si="11"/>
        <v>51.52</v>
      </c>
      <c r="M89" s="18">
        <f t="shared" si="12"/>
        <v>0</v>
      </c>
      <c r="N89" s="15">
        <f t="shared" si="13"/>
        <v>82.4</v>
      </c>
      <c r="O89" s="15">
        <f>+N89-P89</f>
        <v>82.4</v>
      </c>
      <c r="P89" s="15">
        <f>+IF(N89&gt;D89,N89-D89,0)</f>
        <v>0</v>
      </c>
      <c r="Q89" s="5">
        <f>+IF(P89=0,P89,P89/N89)</f>
        <v>0</v>
      </c>
    </row>
    <row r="90" spans="1:17" x14ac:dyDescent="0.25">
      <c r="A90" s="7">
        <v>46238.666666666664</v>
      </c>
      <c r="B90" s="6">
        <v>642.6</v>
      </c>
      <c r="C90" s="13">
        <v>0.24</v>
      </c>
      <c r="D90" s="18">
        <f>+B90+C90</f>
        <v>642.84</v>
      </c>
      <c r="E90" s="14">
        <v>0</v>
      </c>
      <c r="F90" s="18">
        <f t="shared" si="7"/>
        <v>0</v>
      </c>
      <c r="G90" s="18">
        <f t="shared" si="8"/>
        <v>0</v>
      </c>
      <c r="H90" s="14">
        <v>59.56</v>
      </c>
      <c r="I90" s="18">
        <f t="shared" si="9"/>
        <v>59.56</v>
      </c>
      <c r="J90" s="18">
        <f t="shared" si="10"/>
        <v>0</v>
      </c>
      <c r="K90" s="14">
        <v>27.76</v>
      </c>
      <c r="L90" s="18">
        <f t="shared" si="11"/>
        <v>27.76</v>
      </c>
      <c r="M90" s="18">
        <f t="shared" si="12"/>
        <v>0</v>
      </c>
      <c r="N90" s="15">
        <f t="shared" si="13"/>
        <v>87.320000000000007</v>
      </c>
      <c r="O90" s="15">
        <f>+N90-P90</f>
        <v>87.320000000000007</v>
      </c>
      <c r="P90" s="15">
        <f>+IF(N90&gt;D90,N90-D90,0)</f>
        <v>0</v>
      </c>
      <c r="Q90" s="5">
        <f>+IF(P90=0,P90,P90/N90)</f>
        <v>0</v>
      </c>
    </row>
    <row r="91" spans="1:17" x14ac:dyDescent="0.25">
      <c r="A91" s="7">
        <v>46238.708333333336</v>
      </c>
      <c r="B91" s="6">
        <v>261.45</v>
      </c>
      <c r="C91" s="13">
        <v>0</v>
      </c>
      <c r="D91" s="18">
        <f>+B91+C91</f>
        <v>261.45</v>
      </c>
      <c r="E91" s="14">
        <v>94.490000000000009</v>
      </c>
      <c r="F91" s="18">
        <f t="shared" si="7"/>
        <v>94.490000000000009</v>
      </c>
      <c r="G91" s="18">
        <f t="shared" si="8"/>
        <v>0</v>
      </c>
      <c r="H91" s="14">
        <v>89.2</v>
      </c>
      <c r="I91" s="18">
        <f t="shared" si="9"/>
        <v>89.2</v>
      </c>
      <c r="J91" s="18">
        <f t="shared" si="10"/>
        <v>0</v>
      </c>
      <c r="K91" s="14">
        <v>33.279999999999994</v>
      </c>
      <c r="L91" s="18">
        <f t="shared" si="11"/>
        <v>33.279999999999994</v>
      </c>
      <c r="M91" s="18">
        <f t="shared" si="12"/>
        <v>0</v>
      </c>
      <c r="N91" s="15">
        <f t="shared" si="13"/>
        <v>216.97</v>
      </c>
      <c r="O91" s="15">
        <f>+N91-P91</f>
        <v>216.97</v>
      </c>
      <c r="P91" s="15">
        <f>+IF(N91&gt;D91,N91-D91,0)</f>
        <v>0</v>
      </c>
      <c r="Q91" s="5">
        <f>+IF(P91=0,P91,P91/N91)</f>
        <v>0</v>
      </c>
    </row>
    <row r="92" spans="1:17" x14ac:dyDescent="0.25">
      <c r="A92" s="7">
        <v>46238.75</v>
      </c>
      <c r="B92" s="6">
        <v>3.15</v>
      </c>
      <c r="C92" s="13">
        <v>0</v>
      </c>
      <c r="D92" s="18">
        <f>+B92+C92</f>
        <v>3.15</v>
      </c>
      <c r="E92" s="14">
        <v>362.21100000000001</v>
      </c>
      <c r="F92" s="18">
        <f t="shared" si="7"/>
        <v>2.4046075689528266</v>
      </c>
      <c r="G92" s="18">
        <f t="shared" si="8"/>
        <v>359.80639243104719</v>
      </c>
      <c r="H92" s="14">
        <v>77.2</v>
      </c>
      <c r="I92" s="18">
        <f t="shared" si="9"/>
        <v>0.51250708654114874</v>
      </c>
      <c r="J92" s="18">
        <f t="shared" si="10"/>
        <v>76.687492913458854</v>
      </c>
      <c r="K92" s="14">
        <v>35.08</v>
      </c>
      <c r="L92" s="18">
        <f t="shared" si="11"/>
        <v>0.23288534450600906</v>
      </c>
      <c r="M92" s="18">
        <f t="shared" si="12"/>
        <v>34.847114655493989</v>
      </c>
      <c r="N92" s="15">
        <f t="shared" si="13"/>
        <v>474.49099999999999</v>
      </c>
      <c r="O92" s="15">
        <f>+N92-P92</f>
        <v>3.1499999999999773</v>
      </c>
      <c r="P92" s="15">
        <f>+IF(N92&gt;D92,N92-D92,0)</f>
        <v>471.34100000000001</v>
      </c>
      <c r="Q92" s="5">
        <f>+IF(P92=0,P92,P92/N92)</f>
        <v>0.99336130716915605</v>
      </c>
    </row>
    <row r="93" spans="1:17" x14ac:dyDescent="0.25">
      <c r="A93" s="7">
        <v>46238.791666666664</v>
      </c>
      <c r="B93" s="6">
        <v>12.6</v>
      </c>
      <c r="C93" s="13">
        <v>0</v>
      </c>
      <c r="D93" s="18">
        <f>+B93+C93</f>
        <v>12.6</v>
      </c>
      <c r="E93" s="14">
        <v>31.496999999999996</v>
      </c>
      <c r="F93" s="18">
        <f t="shared" si="7"/>
        <v>2.7328907772505957</v>
      </c>
      <c r="G93" s="18">
        <f t="shared" si="8"/>
        <v>28.764109222749401</v>
      </c>
      <c r="H93" s="14">
        <v>84.76</v>
      </c>
      <c r="I93" s="18">
        <f t="shared" si="9"/>
        <v>7.3543455656018182</v>
      </c>
      <c r="J93" s="18">
        <f t="shared" si="10"/>
        <v>77.405654434398187</v>
      </c>
      <c r="K93" s="14">
        <v>28.96</v>
      </c>
      <c r="L93" s="18">
        <f t="shared" si="11"/>
        <v>2.5127636571475769</v>
      </c>
      <c r="M93" s="18">
        <f t="shared" si="12"/>
        <v>26.447236342852424</v>
      </c>
      <c r="N93" s="15">
        <f t="shared" si="13"/>
        <v>145.21700000000001</v>
      </c>
      <c r="O93" s="15">
        <f>+N93-P93</f>
        <v>12.599999999999994</v>
      </c>
      <c r="P93" s="15">
        <f>+IF(N93&gt;D93,N93-D93,0)</f>
        <v>132.61700000000002</v>
      </c>
      <c r="Q93" s="5">
        <f>+IF(P93=0,P93,P93/N93)</f>
        <v>0.91323329913164442</v>
      </c>
    </row>
    <row r="94" spans="1:17" x14ac:dyDescent="0.25">
      <c r="A94" s="7">
        <v>46238.833333333336</v>
      </c>
      <c r="B94" s="6">
        <v>0</v>
      </c>
      <c r="C94" s="13">
        <v>0</v>
      </c>
      <c r="D94" s="18">
        <f>+B94+C94</f>
        <v>0</v>
      </c>
      <c r="E94" s="14">
        <v>941.74899999999991</v>
      </c>
      <c r="F94" s="18">
        <f t="shared" si="7"/>
        <v>0</v>
      </c>
      <c r="G94" s="18">
        <f t="shared" si="8"/>
        <v>941.74899999999991</v>
      </c>
      <c r="H94" s="14">
        <v>120.64</v>
      </c>
      <c r="I94" s="18">
        <f t="shared" si="9"/>
        <v>0</v>
      </c>
      <c r="J94" s="18">
        <f t="shared" si="10"/>
        <v>120.64</v>
      </c>
      <c r="K94" s="14">
        <v>16</v>
      </c>
      <c r="L94" s="18">
        <f t="shared" si="11"/>
        <v>0</v>
      </c>
      <c r="M94" s="18">
        <f t="shared" si="12"/>
        <v>16</v>
      </c>
      <c r="N94" s="15">
        <f t="shared" si="13"/>
        <v>1078.3889999999999</v>
      </c>
      <c r="O94" s="15">
        <f>+N94-P94</f>
        <v>0</v>
      </c>
      <c r="P94" s="15">
        <f>+IF(N94&gt;D94,N94-D94,0)</f>
        <v>1078.3889999999999</v>
      </c>
      <c r="Q94" s="5">
        <f>+IF(P94=0,P94,P94/N94)</f>
        <v>1</v>
      </c>
    </row>
    <row r="95" spans="1:17" x14ac:dyDescent="0.25">
      <c r="A95" s="7">
        <v>46238.875</v>
      </c>
      <c r="B95" s="6">
        <v>0</v>
      </c>
      <c r="C95" s="13">
        <v>0</v>
      </c>
      <c r="D95" s="18">
        <f>+B95+C95</f>
        <v>0</v>
      </c>
      <c r="E95" s="14">
        <v>1092.932</v>
      </c>
      <c r="F95" s="18">
        <f t="shared" si="7"/>
        <v>0</v>
      </c>
      <c r="G95" s="18">
        <f t="shared" si="8"/>
        <v>1092.932</v>
      </c>
      <c r="H95" s="14">
        <v>112.12</v>
      </c>
      <c r="I95" s="18">
        <f t="shared" si="9"/>
        <v>0</v>
      </c>
      <c r="J95" s="18">
        <f t="shared" si="10"/>
        <v>112.12</v>
      </c>
      <c r="K95" s="14">
        <v>2.8</v>
      </c>
      <c r="L95" s="18">
        <f t="shared" si="11"/>
        <v>0</v>
      </c>
      <c r="M95" s="18">
        <f t="shared" si="12"/>
        <v>2.8</v>
      </c>
      <c r="N95" s="15">
        <f t="shared" si="13"/>
        <v>1207.8520000000001</v>
      </c>
      <c r="O95" s="15">
        <f>+N95-P95</f>
        <v>0</v>
      </c>
      <c r="P95" s="15">
        <f>+IF(N95&gt;D95,N95-D95,0)</f>
        <v>1207.8520000000001</v>
      </c>
      <c r="Q95" s="5">
        <f>+IF(P95=0,P95,P95/N95)</f>
        <v>1</v>
      </c>
    </row>
    <row r="96" spans="1:17" x14ac:dyDescent="0.25">
      <c r="A96" s="7">
        <v>46238.916666666664</v>
      </c>
      <c r="B96" s="6">
        <v>0</v>
      </c>
      <c r="C96" s="13">
        <v>0</v>
      </c>
      <c r="D96" s="18">
        <f>+B96+C96</f>
        <v>0</v>
      </c>
      <c r="E96" s="14">
        <v>1004.867</v>
      </c>
      <c r="F96" s="18">
        <f t="shared" si="7"/>
        <v>0</v>
      </c>
      <c r="G96" s="18">
        <f t="shared" si="8"/>
        <v>1004.867</v>
      </c>
      <c r="H96" s="14">
        <v>105.28</v>
      </c>
      <c r="I96" s="18">
        <f t="shared" si="9"/>
        <v>0</v>
      </c>
      <c r="J96" s="18">
        <f t="shared" si="10"/>
        <v>105.28</v>
      </c>
      <c r="K96" s="14">
        <v>2.68</v>
      </c>
      <c r="L96" s="18">
        <f t="shared" si="11"/>
        <v>0</v>
      </c>
      <c r="M96" s="18">
        <f t="shared" si="12"/>
        <v>2.68</v>
      </c>
      <c r="N96" s="15">
        <f t="shared" si="13"/>
        <v>1112.827</v>
      </c>
      <c r="O96" s="15">
        <f>+N96-P96</f>
        <v>0</v>
      </c>
      <c r="P96" s="15">
        <f>+IF(N96&gt;D96,N96-D96,0)</f>
        <v>1112.827</v>
      </c>
      <c r="Q96" s="5">
        <f>+IF(P96=0,P96,P96/N96)</f>
        <v>1</v>
      </c>
    </row>
    <row r="97" spans="1:17" x14ac:dyDescent="0.25">
      <c r="A97" s="7">
        <v>46238.958333333336</v>
      </c>
      <c r="B97" s="6">
        <v>0</v>
      </c>
      <c r="C97" s="13">
        <v>0</v>
      </c>
      <c r="D97" s="18">
        <f>+B97+C97</f>
        <v>0</v>
      </c>
      <c r="E97" s="14">
        <v>1165.52</v>
      </c>
      <c r="F97" s="18">
        <f t="shared" si="7"/>
        <v>0</v>
      </c>
      <c r="G97" s="18">
        <f t="shared" si="8"/>
        <v>1165.52</v>
      </c>
      <c r="H97" s="14">
        <v>124.72</v>
      </c>
      <c r="I97" s="18">
        <f t="shared" si="9"/>
        <v>0</v>
      </c>
      <c r="J97" s="18">
        <f t="shared" si="10"/>
        <v>124.72</v>
      </c>
      <c r="K97" s="14">
        <v>2.8</v>
      </c>
      <c r="L97" s="18">
        <f t="shared" si="11"/>
        <v>0</v>
      </c>
      <c r="M97" s="18">
        <f t="shared" si="12"/>
        <v>2.8</v>
      </c>
      <c r="N97" s="15">
        <f t="shared" si="13"/>
        <v>1293.04</v>
      </c>
      <c r="O97" s="15">
        <f>+N97-P97</f>
        <v>0</v>
      </c>
      <c r="P97" s="15">
        <f>+IF(N97&gt;D97,N97-D97,0)</f>
        <v>1293.04</v>
      </c>
      <c r="Q97" s="5">
        <f>+IF(P97=0,P97,P97/N97)</f>
        <v>1</v>
      </c>
    </row>
    <row r="98" spans="1:17" x14ac:dyDescent="0.25">
      <c r="A98" s="7">
        <v>46239</v>
      </c>
      <c r="B98" s="6">
        <v>0</v>
      </c>
      <c r="C98" s="13">
        <v>0</v>
      </c>
      <c r="D98" s="18">
        <f>+B98+C98</f>
        <v>0</v>
      </c>
      <c r="E98" s="14">
        <v>1168.67</v>
      </c>
      <c r="F98" s="18">
        <f t="shared" si="7"/>
        <v>0</v>
      </c>
      <c r="G98" s="18">
        <f t="shared" si="8"/>
        <v>1168.67</v>
      </c>
      <c r="H98" s="14">
        <v>111.76</v>
      </c>
      <c r="I98" s="18">
        <f t="shared" si="9"/>
        <v>0</v>
      </c>
      <c r="J98" s="18">
        <f t="shared" si="10"/>
        <v>111.76</v>
      </c>
      <c r="K98" s="14">
        <v>2.8</v>
      </c>
      <c r="L98" s="18">
        <f t="shared" si="11"/>
        <v>0</v>
      </c>
      <c r="M98" s="18">
        <f t="shared" si="12"/>
        <v>2.8</v>
      </c>
      <c r="N98" s="15">
        <f t="shared" si="13"/>
        <v>1283.23</v>
      </c>
      <c r="O98" s="15">
        <f>+N98-P98</f>
        <v>0</v>
      </c>
      <c r="P98" s="15">
        <f>+IF(N98&gt;D98,N98-D98,0)</f>
        <v>1283.23</v>
      </c>
      <c r="Q98" s="5">
        <f>+IF(P98=0,P98,P98/N98)</f>
        <v>1</v>
      </c>
    </row>
    <row r="99" spans="1:17" x14ac:dyDescent="0.25">
      <c r="A99" s="7">
        <v>46239.041666666664</v>
      </c>
      <c r="B99" s="6">
        <v>0</v>
      </c>
      <c r="C99" s="13">
        <v>0</v>
      </c>
      <c r="D99" s="18">
        <f>+B99+C99</f>
        <v>0</v>
      </c>
      <c r="E99" s="14">
        <v>44.100999999999999</v>
      </c>
      <c r="F99" s="18">
        <f t="shared" si="7"/>
        <v>0</v>
      </c>
      <c r="G99" s="18">
        <f t="shared" si="8"/>
        <v>44.100999999999999</v>
      </c>
      <c r="H99" s="14">
        <v>92.08</v>
      </c>
      <c r="I99" s="18">
        <f t="shared" si="9"/>
        <v>0</v>
      </c>
      <c r="J99" s="18">
        <f t="shared" si="10"/>
        <v>92.08</v>
      </c>
      <c r="K99" s="14">
        <v>2.92</v>
      </c>
      <c r="L99" s="18">
        <f t="shared" si="11"/>
        <v>0</v>
      </c>
      <c r="M99" s="18">
        <f t="shared" si="12"/>
        <v>2.92</v>
      </c>
      <c r="N99" s="15">
        <f t="shared" si="13"/>
        <v>139.10099999999997</v>
      </c>
      <c r="O99" s="15">
        <f>+N99-P99</f>
        <v>0</v>
      </c>
      <c r="P99" s="15">
        <f>+IF(N99&gt;D99,N99-D99,0)</f>
        <v>139.10099999999997</v>
      </c>
      <c r="Q99" s="5">
        <f>+IF(P99=0,P99,P99/N99)</f>
        <v>1</v>
      </c>
    </row>
    <row r="100" spans="1:17" x14ac:dyDescent="0.25">
      <c r="A100" s="7">
        <v>46239.083333333336</v>
      </c>
      <c r="B100" s="6">
        <v>0</v>
      </c>
      <c r="C100" s="13">
        <v>0</v>
      </c>
      <c r="D100" s="18">
        <f>+B100+C100</f>
        <v>0</v>
      </c>
      <c r="E100" s="14">
        <v>973.36699999999996</v>
      </c>
      <c r="F100" s="18">
        <f t="shared" si="7"/>
        <v>0</v>
      </c>
      <c r="G100" s="18">
        <f t="shared" si="8"/>
        <v>973.36699999999996</v>
      </c>
      <c r="H100" s="14">
        <v>109.83999999999999</v>
      </c>
      <c r="I100" s="18">
        <f t="shared" si="9"/>
        <v>0</v>
      </c>
      <c r="J100" s="18">
        <f t="shared" si="10"/>
        <v>109.83999999999999</v>
      </c>
      <c r="K100" s="14">
        <v>2.68</v>
      </c>
      <c r="L100" s="18">
        <f t="shared" si="11"/>
        <v>0</v>
      </c>
      <c r="M100" s="18">
        <f t="shared" si="12"/>
        <v>2.68</v>
      </c>
      <c r="N100" s="15">
        <f t="shared" si="13"/>
        <v>1085.8869999999999</v>
      </c>
      <c r="O100" s="15">
        <f>+N100-P100</f>
        <v>0</v>
      </c>
      <c r="P100" s="15">
        <f>+IF(N100&gt;D100,N100-D100,0)</f>
        <v>1085.8869999999999</v>
      </c>
      <c r="Q100" s="5">
        <f>+IF(P100=0,P100,P100/N100)</f>
        <v>1</v>
      </c>
    </row>
    <row r="101" spans="1:17" x14ac:dyDescent="0.25">
      <c r="A101" s="7">
        <v>46239.125</v>
      </c>
      <c r="B101" s="6">
        <v>0</v>
      </c>
      <c r="C101" s="13">
        <v>0</v>
      </c>
      <c r="D101" s="18">
        <f>+B101+C101</f>
        <v>0</v>
      </c>
      <c r="E101" s="14">
        <v>1184.421</v>
      </c>
      <c r="F101" s="18">
        <f t="shared" si="7"/>
        <v>0</v>
      </c>
      <c r="G101" s="18">
        <f t="shared" si="8"/>
        <v>1184.421</v>
      </c>
      <c r="H101" s="14">
        <v>108.39999999999999</v>
      </c>
      <c r="I101" s="18">
        <f t="shared" si="9"/>
        <v>0</v>
      </c>
      <c r="J101" s="18">
        <f t="shared" si="10"/>
        <v>108.39999999999999</v>
      </c>
      <c r="K101" s="14">
        <v>2.92</v>
      </c>
      <c r="L101" s="18">
        <f t="shared" si="11"/>
        <v>0</v>
      </c>
      <c r="M101" s="18">
        <f t="shared" si="12"/>
        <v>2.92</v>
      </c>
      <c r="N101" s="15">
        <f t="shared" si="13"/>
        <v>1295.7410000000002</v>
      </c>
      <c r="O101" s="15">
        <f>+N101-P101</f>
        <v>0</v>
      </c>
      <c r="P101" s="15">
        <f>+IF(N101&gt;D101,N101-D101,0)</f>
        <v>1295.7410000000002</v>
      </c>
      <c r="Q101" s="5">
        <f>+IF(P101=0,P101,P101/N101)</f>
        <v>1</v>
      </c>
    </row>
    <row r="102" spans="1:17" x14ac:dyDescent="0.25">
      <c r="A102" s="7">
        <v>46239.166666666664</v>
      </c>
      <c r="B102" s="6">
        <v>0</v>
      </c>
      <c r="C102" s="13">
        <v>0</v>
      </c>
      <c r="D102" s="18">
        <f>+B102+C102</f>
        <v>0</v>
      </c>
      <c r="E102" s="14">
        <v>992.26700000000005</v>
      </c>
      <c r="F102" s="18">
        <f t="shared" si="7"/>
        <v>0</v>
      </c>
      <c r="G102" s="18">
        <f t="shared" si="8"/>
        <v>992.26700000000005</v>
      </c>
      <c r="H102" s="14">
        <v>105.28</v>
      </c>
      <c r="I102" s="18">
        <f t="shared" si="9"/>
        <v>0</v>
      </c>
      <c r="J102" s="18">
        <f t="shared" si="10"/>
        <v>105.28</v>
      </c>
      <c r="K102" s="14">
        <v>2.68</v>
      </c>
      <c r="L102" s="18">
        <f t="shared" si="11"/>
        <v>0</v>
      </c>
      <c r="M102" s="18">
        <f t="shared" si="12"/>
        <v>2.68</v>
      </c>
      <c r="N102" s="15">
        <f t="shared" si="13"/>
        <v>1100.2270000000001</v>
      </c>
      <c r="O102" s="15">
        <f>+N102-P102</f>
        <v>0</v>
      </c>
      <c r="P102" s="15">
        <f>+IF(N102&gt;D102,N102-D102,0)</f>
        <v>1100.2270000000001</v>
      </c>
      <c r="Q102" s="5">
        <f>+IF(P102=0,P102,P102/N102)</f>
        <v>1</v>
      </c>
    </row>
    <row r="103" spans="1:17" x14ac:dyDescent="0.25">
      <c r="A103" s="7">
        <v>46239.208333333336</v>
      </c>
      <c r="B103" s="6">
        <v>0</v>
      </c>
      <c r="C103" s="13">
        <v>0</v>
      </c>
      <c r="D103" s="18">
        <f>+B103+C103</f>
        <v>0</v>
      </c>
      <c r="E103" s="14">
        <v>1064.7190000000001</v>
      </c>
      <c r="F103" s="18">
        <f t="shared" si="7"/>
        <v>0</v>
      </c>
      <c r="G103" s="18">
        <f t="shared" si="8"/>
        <v>1064.7190000000001</v>
      </c>
      <c r="H103" s="14">
        <v>75.52000000000001</v>
      </c>
      <c r="I103" s="18">
        <f t="shared" si="9"/>
        <v>0</v>
      </c>
      <c r="J103" s="18">
        <f t="shared" si="10"/>
        <v>75.52000000000001</v>
      </c>
      <c r="K103" s="14">
        <v>2.92</v>
      </c>
      <c r="L103" s="18">
        <f t="shared" si="11"/>
        <v>0</v>
      </c>
      <c r="M103" s="18">
        <f t="shared" si="12"/>
        <v>2.92</v>
      </c>
      <c r="N103" s="15">
        <f t="shared" si="13"/>
        <v>1143.1590000000001</v>
      </c>
      <c r="O103" s="15">
        <f>+N103-P103</f>
        <v>0</v>
      </c>
      <c r="P103" s="15">
        <f>+IF(N103&gt;D103,N103-D103,0)</f>
        <v>1143.1590000000001</v>
      </c>
      <c r="Q103" s="5">
        <f>+IF(P103=0,P103,P103/N103)</f>
        <v>1</v>
      </c>
    </row>
    <row r="104" spans="1:17" x14ac:dyDescent="0.25">
      <c r="A104" s="7">
        <v>46239.25</v>
      </c>
      <c r="B104" s="6">
        <v>66.150000000000006</v>
      </c>
      <c r="C104" s="13">
        <v>0</v>
      </c>
      <c r="D104" s="18">
        <f>+B104+C104</f>
        <v>66.150000000000006</v>
      </c>
      <c r="E104" s="14">
        <v>3.15</v>
      </c>
      <c r="F104" s="18">
        <f t="shared" si="7"/>
        <v>3.15</v>
      </c>
      <c r="G104" s="18">
        <f t="shared" si="8"/>
        <v>0</v>
      </c>
      <c r="H104" s="14">
        <v>48.28</v>
      </c>
      <c r="I104" s="18">
        <f t="shared" si="9"/>
        <v>48.28</v>
      </c>
      <c r="J104" s="18">
        <f t="shared" si="10"/>
        <v>0</v>
      </c>
      <c r="K104" s="14">
        <v>3.52</v>
      </c>
      <c r="L104" s="18">
        <f t="shared" si="11"/>
        <v>3.52</v>
      </c>
      <c r="M104" s="18">
        <f t="shared" si="12"/>
        <v>0</v>
      </c>
      <c r="N104" s="15">
        <f t="shared" si="13"/>
        <v>54.95</v>
      </c>
      <c r="O104" s="15">
        <f>+N104-P104</f>
        <v>54.95</v>
      </c>
      <c r="P104" s="15">
        <f>+IF(N104&gt;D104,N104-D104,0)</f>
        <v>0</v>
      </c>
      <c r="Q104" s="5">
        <f>+IF(P104=0,P104,P104/N104)</f>
        <v>0</v>
      </c>
    </row>
    <row r="105" spans="1:17" x14ac:dyDescent="0.25">
      <c r="A105" s="7">
        <v>46239.291666666664</v>
      </c>
      <c r="B105" s="6">
        <v>507.15</v>
      </c>
      <c r="C105" s="13">
        <v>0</v>
      </c>
      <c r="D105" s="18">
        <f>+B105+C105</f>
        <v>507.15</v>
      </c>
      <c r="E105" s="14">
        <v>0</v>
      </c>
      <c r="F105" s="18">
        <f t="shared" si="7"/>
        <v>0</v>
      </c>
      <c r="G105" s="18">
        <f t="shared" si="8"/>
        <v>0</v>
      </c>
      <c r="H105" s="14">
        <v>35.32</v>
      </c>
      <c r="I105" s="18">
        <f t="shared" si="9"/>
        <v>35.32</v>
      </c>
      <c r="J105" s="18">
        <f t="shared" si="10"/>
        <v>0</v>
      </c>
      <c r="K105" s="14">
        <v>2.3199999999999998</v>
      </c>
      <c r="L105" s="18">
        <f t="shared" si="11"/>
        <v>2.3199999999999998</v>
      </c>
      <c r="M105" s="18">
        <f t="shared" si="12"/>
        <v>0</v>
      </c>
      <c r="N105" s="15">
        <f t="shared" si="13"/>
        <v>37.64</v>
      </c>
      <c r="O105" s="15">
        <f>+N105-P105</f>
        <v>37.64</v>
      </c>
      <c r="P105" s="15">
        <f>+IF(N105&gt;D105,N105-D105,0)</f>
        <v>0</v>
      </c>
      <c r="Q105" s="5">
        <f>+IF(P105=0,P105,P105/N105)</f>
        <v>0</v>
      </c>
    </row>
    <row r="106" spans="1:17" x14ac:dyDescent="0.25">
      <c r="A106" s="7">
        <v>46239.333333333336</v>
      </c>
      <c r="B106" s="6">
        <v>822.15</v>
      </c>
      <c r="C106" s="13">
        <v>0</v>
      </c>
      <c r="D106" s="18">
        <f>+B106+C106</f>
        <v>822.15</v>
      </c>
      <c r="E106" s="14">
        <v>0</v>
      </c>
      <c r="F106" s="18">
        <f t="shared" si="7"/>
        <v>0</v>
      </c>
      <c r="G106" s="18">
        <f t="shared" si="8"/>
        <v>0</v>
      </c>
      <c r="H106" s="14">
        <v>74.679999999999993</v>
      </c>
      <c r="I106" s="18">
        <f t="shared" si="9"/>
        <v>74.679999999999993</v>
      </c>
      <c r="J106" s="18">
        <f t="shared" si="10"/>
        <v>0</v>
      </c>
      <c r="K106" s="14">
        <v>2.68</v>
      </c>
      <c r="L106" s="18">
        <f t="shared" si="11"/>
        <v>2.68</v>
      </c>
      <c r="M106" s="18">
        <f t="shared" si="12"/>
        <v>0</v>
      </c>
      <c r="N106" s="15">
        <f t="shared" si="13"/>
        <v>77.36</v>
      </c>
      <c r="O106" s="15">
        <f>+N106-P106</f>
        <v>77.36</v>
      </c>
      <c r="P106" s="15">
        <f>+IF(N106&gt;D106,N106-D106,0)</f>
        <v>0</v>
      </c>
      <c r="Q106" s="5">
        <f>+IF(P106=0,P106,P106/N106)</f>
        <v>0</v>
      </c>
    </row>
    <row r="107" spans="1:17" x14ac:dyDescent="0.25">
      <c r="A107" s="7">
        <v>46239.375</v>
      </c>
      <c r="B107" s="6">
        <v>1502.55</v>
      </c>
      <c r="C107" s="13">
        <v>1.56</v>
      </c>
      <c r="D107" s="18">
        <f>+B107+C107</f>
        <v>1504.11</v>
      </c>
      <c r="E107" s="14">
        <v>0</v>
      </c>
      <c r="F107" s="18">
        <f t="shared" si="7"/>
        <v>0</v>
      </c>
      <c r="G107" s="18">
        <f t="shared" si="8"/>
        <v>0</v>
      </c>
      <c r="H107" s="14">
        <v>57.639999999999993</v>
      </c>
      <c r="I107" s="18">
        <f t="shared" si="9"/>
        <v>57.639999999999993</v>
      </c>
      <c r="J107" s="18">
        <f t="shared" si="10"/>
        <v>0</v>
      </c>
      <c r="K107" s="14">
        <v>2.44</v>
      </c>
      <c r="L107" s="18">
        <f t="shared" si="11"/>
        <v>2.44</v>
      </c>
      <c r="M107" s="18">
        <f t="shared" si="12"/>
        <v>0</v>
      </c>
      <c r="N107" s="15">
        <f t="shared" si="13"/>
        <v>60.079999999999991</v>
      </c>
      <c r="O107" s="15">
        <f>+N107-P107</f>
        <v>60.079999999999991</v>
      </c>
      <c r="P107" s="15">
        <f>+IF(N107&gt;D107,N107-D107,0)</f>
        <v>0</v>
      </c>
      <c r="Q107" s="5">
        <f>+IF(P107=0,P107,P107/N107)</f>
        <v>0</v>
      </c>
    </row>
    <row r="108" spans="1:17" x14ac:dyDescent="0.25">
      <c r="A108" s="7">
        <v>46239.416666666664</v>
      </c>
      <c r="B108" s="6">
        <v>1883.7</v>
      </c>
      <c r="C108" s="13">
        <v>11.04</v>
      </c>
      <c r="D108" s="18">
        <f>+B108+C108</f>
        <v>1894.74</v>
      </c>
      <c r="E108" s="14">
        <v>0</v>
      </c>
      <c r="F108" s="18">
        <f t="shared" si="7"/>
        <v>0</v>
      </c>
      <c r="G108" s="18">
        <f t="shared" si="8"/>
        <v>0</v>
      </c>
      <c r="H108" s="14">
        <v>20.080000000000002</v>
      </c>
      <c r="I108" s="18">
        <f t="shared" si="9"/>
        <v>20.080000000000002</v>
      </c>
      <c r="J108" s="18">
        <f t="shared" si="10"/>
        <v>0</v>
      </c>
      <c r="K108" s="14">
        <v>45.519999999999996</v>
      </c>
      <c r="L108" s="18">
        <f t="shared" si="11"/>
        <v>45.519999999999996</v>
      </c>
      <c r="M108" s="18">
        <f t="shared" si="12"/>
        <v>0</v>
      </c>
      <c r="N108" s="15">
        <f t="shared" si="13"/>
        <v>65.599999999999994</v>
      </c>
      <c r="O108" s="15">
        <f>+N108-P108</f>
        <v>65.599999999999994</v>
      </c>
      <c r="P108" s="15">
        <f>+IF(N108&gt;D108,N108-D108,0)</f>
        <v>0</v>
      </c>
      <c r="Q108" s="5">
        <f>+IF(P108=0,P108,P108/N108)</f>
        <v>0</v>
      </c>
    </row>
    <row r="109" spans="1:17" x14ac:dyDescent="0.25">
      <c r="A109" s="7">
        <v>46239.458333333336</v>
      </c>
      <c r="B109" s="6">
        <v>2104.1999999999998</v>
      </c>
      <c r="C109" s="13">
        <v>19.559999999999999</v>
      </c>
      <c r="D109" s="18">
        <f>+B109+C109</f>
        <v>2123.7599999999998</v>
      </c>
      <c r="E109" s="14">
        <v>0</v>
      </c>
      <c r="F109" s="18">
        <f t="shared" si="7"/>
        <v>0</v>
      </c>
      <c r="G109" s="18">
        <f t="shared" si="8"/>
        <v>0</v>
      </c>
      <c r="H109" s="14">
        <v>14.200000000000001</v>
      </c>
      <c r="I109" s="18">
        <f t="shared" si="9"/>
        <v>14.200000000000001</v>
      </c>
      <c r="J109" s="18">
        <f t="shared" si="10"/>
        <v>0</v>
      </c>
      <c r="K109" s="14">
        <v>33.04</v>
      </c>
      <c r="L109" s="18">
        <f t="shared" si="11"/>
        <v>33.04</v>
      </c>
      <c r="M109" s="18">
        <f t="shared" si="12"/>
        <v>0</v>
      </c>
      <c r="N109" s="15">
        <f t="shared" si="13"/>
        <v>47.24</v>
      </c>
      <c r="O109" s="15">
        <f>+N109-P109</f>
        <v>47.24</v>
      </c>
      <c r="P109" s="15">
        <f>+IF(N109&gt;D109,N109-D109,0)</f>
        <v>0</v>
      </c>
      <c r="Q109" s="5">
        <f>+IF(P109=0,P109,P109/N109)</f>
        <v>0</v>
      </c>
    </row>
    <row r="110" spans="1:17" x14ac:dyDescent="0.25">
      <c r="A110" s="7">
        <v>46239.5</v>
      </c>
      <c r="B110" s="6">
        <v>2412.9</v>
      </c>
      <c r="C110" s="13">
        <v>29.4</v>
      </c>
      <c r="D110" s="18">
        <f>+B110+C110</f>
        <v>2442.3000000000002</v>
      </c>
      <c r="E110" s="14">
        <v>0</v>
      </c>
      <c r="F110" s="18">
        <f t="shared" si="7"/>
        <v>0</v>
      </c>
      <c r="G110" s="18">
        <f t="shared" si="8"/>
        <v>0</v>
      </c>
      <c r="H110" s="14">
        <v>9.76</v>
      </c>
      <c r="I110" s="18">
        <f t="shared" si="9"/>
        <v>9.76</v>
      </c>
      <c r="J110" s="18">
        <f t="shared" si="10"/>
        <v>0</v>
      </c>
      <c r="K110" s="14">
        <v>21.16</v>
      </c>
      <c r="L110" s="18">
        <f t="shared" si="11"/>
        <v>21.16</v>
      </c>
      <c r="M110" s="18">
        <f t="shared" si="12"/>
        <v>0</v>
      </c>
      <c r="N110" s="15">
        <f t="shared" si="13"/>
        <v>30.92</v>
      </c>
      <c r="O110" s="15">
        <f>+N110-P110</f>
        <v>30.92</v>
      </c>
      <c r="P110" s="15">
        <f>+IF(N110&gt;D110,N110-D110,0)</f>
        <v>0</v>
      </c>
      <c r="Q110" s="5">
        <f>+IF(P110=0,P110,P110/N110)</f>
        <v>0</v>
      </c>
    </row>
    <row r="111" spans="1:17" x14ac:dyDescent="0.25">
      <c r="A111" s="7">
        <v>46239.541666666664</v>
      </c>
      <c r="B111" s="6">
        <v>2636.55</v>
      </c>
      <c r="C111" s="13">
        <v>7.32</v>
      </c>
      <c r="D111" s="18">
        <f>+B111+C111</f>
        <v>2643.8700000000003</v>
      </c>
      <c r="E111" s="14">
        <v>0</v>
      </c>
      <c r="F111" s="18">
        <f t="shared" si="7"/>
        <v>0</v>
      </c>
      <c r="G111" s="18">
        <f t="shared" si="8"/>
        <v>0</v>
      </c>
      <c r="H111" s="14">
        <v>36.159999999999997</v>
      </c>
      <c r="I111" s="18">
        <f t="shared" si="9"/>
        <v>36.159999999999997</v>
      </c>
      <c r="J111" s="18">
        <f t="shared" si="10"/>
        <v>0</v>
      </c>
      <c r="K111" s="14">
        <v>37.36</v>
      </c>
      <c r="L111" s="18">
        <f t="shared" si="11"/>
        <v>37.36</v>
      </c>
      <c r="M111" s="18">
        <f t="shared" si="12"/>
        <v>0</v>
      </c>
      <c r="N111" s="15">
        <f t="shared" si="13"/>
        <v>73.52</v>
      </c>
      <c r="O111" s="15">
        <f>+N111-P111</f>
        <v>73.52</v>
      </c>
      <c r="P111" s="15">
        <f>+IF(N111&gt;D111,N111-D111,0)</f>
        <v>0</v>
      </c>
      <c r="Q111" s="5">
        <f>+IF(P111=0,P111,P111/N111)</f>
        <v>0</v>
      </c>
    </row>
    <row r="112" spans="1:17" x14ac:dyDescent="0.25">
      <c r="A112" s="7">
        <v>46239.583333333336</v>
      </c>
      <c r="B112" s="6">
        <v>2019.15</v>
      </c>
      <c r="C112" s="13">
        <v>1.56</v>
      </c>
      <c r="D112" s="18">
        <f>+B112+C112</f>
        <v>2020.71</v>
      </c>
      <c r="E112" s="14">
        <v>0</v>
      </c>
      <c r="F112" s="18">
        <f t="shared" si="7"/>
        <v>0</v>
      </c>
      <c r="G112" s="18">
        <f t="shared" si="8"/>
        <v>0</v>
      </c>
      <c r="H112" s="14">
        <v>87.4</v>
      </c>
      <c r="I112" s="18">
        <f t="shared" si="9"/>
        <v>87.4</v>
      </c>
      <c r="J112" s="18">
        <f t="shared" si="10"/>
        <v>0</v>
      </c>
      <c r="K112" s="14">
        <v>65.08</v>
      </c>
      <c r="L112" s="18">
        <f t="shared" si="11"/>
        <v>65.08</v>
      </c>
      <c r="M112" s="18">
        <f t="shared" si="12"/>
        <v>0</v>
      </c>
      <c r="N112" s="15">
        <f t="shared" si="13"/>
        <v>152.48000000000002</v>
      </c>
      <c r="O112" s="15">
        <f>+N112-P112</f>
        <v>152.48000000000002</v>
      </c>
      <c r="P112" s="15">
        <f>+IF(N112&gt;D112,N112-D112,0)</f>
        <v>0</v>
      </c>
      <c r="Q112" s="5">
        <f>+IF(P112=0,P112,P112/N112)</f>
        <v>0</v>
      </c>
    </row>
    <row r="113" spans="1:17" x14ac:dyDescent="0.25">
      <c r="A113" s="7">
        <v>46239.625</v>
      </c>
      <c r="B113" s="6">
        <v>1600.2</v>
      </c>
      <c r="C113" s="13">
        <v>3.96</v>
      </c>
      <c r="D113" s="18">
        <f>+B113+C113</f>
        <v>1604.16</v>
      </c>
      <c r="E113" s="14">
        <v>0</v>
      </c>
      <c r="F113" s="18">
        <f t="shared" si="7"/>
        <v>0</v>
      </c>
      <c r="G113" s="18">
        <f t="shared" si="8"/>
        <v>0</v>
      </c>
      <c r="H113" s="14">
        <v>54.760000000000005</v>
      </c>
      <c r="I113" s="18">
        <f t="shared" si="9"/>
        <v>54.760000000000005</v>
      </c>
      <c r="J113" s="18">
        <f t="shared" si="10"/>
        <v>0</v>
      </c>
      <c r="K113" s="14">
        <v>48.4</v>
      </c>
      <c r="L113" s="18">
        <f t="shared" si="11"/>
        <v>48.4</v>
      </c>
      <c r="M113" s="18">
        <f t="shared" si="12"/>
        <v>0</v>
      </c>
      <c r="N113" s="15">
        <f t="shared" si="13"/>
        <v>103.16</v>
      </c>
      <c r="O113" s="15">
        <f>+N113-P113</f>
        <v>103.16</v>
      </c>
      <c r="P113" s="15">
        <f>+IF(N113&gt;D113,N113-D113,0)</f>
        <v>0</v>
      </c>
      <c r="Q113" s="5">
        <f>+IF(P113=0,P113,P113/N113)</f>
        <v>0</v>
      </c>
    </row>
    <row r="114" spans="1:17" x14ac:dyDescent="0.25">
      <c r="A114" s="7">
        <v>46239.666666666664</v>
      </c>
      <c r="B114" s="6">
        <v>989.1</v>
      </c>
      <c r="C114" s="13">
        <v>0.84</v>
      </c>
      <c r="D114" s="18">
        <f>+B114+C114</f>
        <v>989.94</v>
      </c>
      <c r="E114" s="14">
        <v>0</v>
      </c>
      <c r="F114" s="18">
        <f t="shared" si="7"/>
        <v>0</v>
      </c>
      <c r="G114" s="18">
        <f t="shared" si="8"/>
        <v>0</v>
      </c>
      <c r="H114" s="14">
        <v>40.840000000000003</v>
      </c>
      <c r="I114" s="18">
        <f t="shared" si="9"/>
        <v>40.840000000000003</v>
      </c>
      <c r="J114" s="18">
        <f t="shared" si="10"/>
        <v>0</v>
      </c>
      <c r="K114" s="14">
        <v>65.44</v>
      </c>
      <c r="L114" s="18">
        <f t="shared" si="11"/>
        <v>65.44</v>
      </c>
      <c r="M114" s="18">
        <f t="shared" si="12"/>
        <v>0</v>
      </c>
      <c r="N114" s="15">
        <f t="shared" si="13"/>
        <v>106.28</v>
      </c>
      <c r="O114" s="15">
        <f>+N114-P114</f>
        <v>106.28</v>
      </c>
      <c r="P114" s="15">
        <f>+IF(N114&gt;D114,N114-D114,0)</f>
        <v>0</v>
      </c>
      <c r="Q114" s="5">
        <f>+IF(P114=0,P114,P114/N114)</f>
        <v>0</v>
      </c>
    </row>
    <row r="115" spans="1:17" x14ac:dyDescent="0.25">
      <c r="A115" s="7">
        <v>46239.708333333336</v>
      </c>
      <c r="B115" s="6">
        <v>18.899999999999999</v>
      </c>
      <c r="C115" s="13">
        <v>0</v>
      </c>
      <c r="D115" s="18">
        <f>+B115+C115</f>
        <v>18.899999999999999</v>
      </c>
      <c r="E115" s="14">
        <v>415.755</v>
      </c>
      <c r="F115" s="18">
        <f t="shared" si="7"/>
        <v>13.649662570026464</v>
      </c>
      <c r="G115" s="18">
        <f t="shared" si="8"/>
        <v>402.10533742997353</v>
      </c>
      <c r="H115" s="14">
        <v>95.2</v>
      </c>
      <c r="I115" s="18">
        <f t="shared" si="9"/>
        <v>3.1255135275980308</v>
      </c>
      <c r="J115" s="18">
        <f t="shared" si="10"/>
        <v>92.074486472401972</v>
      </c>
      <c r="K115" s="14">
        <v>64.72</v>
      </c>
      <c r="L115" s="18">
        <f t="shared" si="11"/>
        <v>2.1248239023754749</v>
      </c>
      <c r="M115" s="18">
        <f t="shared" si="12"/>
        <v>62.595176097624524</v>
      </c>
      <c r="N115" s="15">
        <f t="shared" si="13"/>
        <v>575.67499999999995</v>
      </c>
      <c r="O115" s="15">
        <f>+N115-P115</f>
        <v>18.899999999999977</v>
      </c>
      <c r="P115" s="15">
        <f>+IF(N115&gt;D115,N115-D115,0)</f>
        <v>556.77499999999998</v>
      </c>
      <c r="Q115" s="5">
        <f>+IF(P115=0,P115,P115/N115)</f>
        <v>0.96716897555044079</v>
      </c>
    </row>
    <row r="116" spans="1:17" x14ac:dyDescent="0.25">
      <c r="A116" s="7">
        <v>46239.75</v>
      </c>
      <c r="B116" s="6">
        <v>6.3</v>
      </c>
      <c r="C116" s="13">
        <v>0</v>
      </c>
      <c r="D116" s="18">
        <f>+B116+C116</f>
        <v>6.3</v>
      </c>
      <c r="E116" s="14">
        <v>258.27199999999999</v>
      </c>
      <c r="F116" s="18">
        <f t="shared" si="7"/>
        <v>4.5304316835211864</v>
      </c>
      <c r="G116" s="18">
        <f t="shared" si="8"/>
        <v>253.7415683164788</v>
      </c>
      <c r="H116" s="14">
        <v>69.52</v>
      </c>
      <c r="I116" s="18">
        <f t="shared" si="9"/>
        <v>1.2194725353053855</v>
      </c>
      <c r="J116" s="18">
        <f t="shared" si="10"/>
        <v>68.300527464694611</v>
      </c>
      <c r="K116" s="14">
        <v>31.36</v>
      </c>
      <c r="L116" s="18">
        <f t="shared" si="11"/>
        <v>0.55009578117343239</v>
      </c>
      <c r="M116" s="18">
        <f t="shared" si="12"/>
        <v>30.809904218826567</v>
      </c>
      <c r="N116" s="15">
        <f t="shared" si="13"/>
        <v>359.15199999999999</v>
      </c>
      <c r="O116" s="15">
        <f>+N116-P116</f>
        <v>6.3000000000000114</v>
      </c>
      <c r="P116" s="15">
        <f>+IF(N116&gt;D116,N116-D116,0)</f>
        <v>352.85199999999998</v>
      </c>
      <c r="Q116" s="5">
        <f>+IF(P116=0,P116,P116/N116)</f>
        <v>0.9824586804472758</v>
      </c>
    </row>
    <row r="117" spans="1:17" x14ac:dyDescent="0.25">
      <c r="A117" s="7">
        <v>46239.791666666664</v>
      </c>
      <c r="B117" s="6">
        <v>9.4499999999999993</v>
      </c>
      <c r="C117" s="13">
        <v>0</v>
      </c>
      <c r="D117" s="18">
        <f>+B117+C117</f>
        <v>9.4499999999999993</v>
      </c>
      <c r="E117" s="14">
        <v>66.142999999999986</v>
      </c>
      <c r="F117" s="18">
        <f t="shared" si="7"/>
        <v>3.844506190684136</v>
      </c>
      <c r="G117" s="18">
        <f t="shared" si="8"/>
        <v>62.29849380931585</v>
      </c>
      <c r="H117" s="14">
        <v>77.8</v>
      </c>
      <c r="I117" s="18">
        <f t="shared" si="9"/>
        <v>4.5220595019159475</v>
      </c>
      <c r="J117" s="18">
        <f t="shared" si="10"/>
        <v>73.27794049808405</v>
      </c>
      <c r="K117" s="14">
        <v>18.64</v>
      </c>
      <c r="L117" s="18">
        <f t="shared" si="11"/>
        <v>1.0834343073999122</v>
      </c>
      <c r="M117" s="18">
        <f t="shared" si="12"/>
        <v>17.556565692600088</v>
      </c>
      <c r="N117" s="15">
        <f t="shared" si="13"/>
        <v>162.58299999999997</v>
      </c>
      <c r="O117" s="15">
        <f>+N117-P117</f>
        <v>9.4499999999999886</v>
      </c>
      <c r="P117" s="15">
        <f>+IF(N117&gt;D117,N117-D117,0)</f>
        <v>153.13299999999998</v>
      </c>
      <c r="Q117" s="5">
        <f>+IF(P117=0,P117,P117/N117)</f>
        <v>0.94187584187768714</v>
      </c>
    </row>
    <row r="118" spans="1:17" x14ac:dyDescent="0.25">
      <c r="A118" s="7">
        <v>46239.833333333336</v>
      </c>
      <c r="B118" s="6">
        <v>0</v>
      </c>
      <c r="C118" s="13">
        <v>0</v>
      </c>
      <c r="D118" s="18">
        <f>+B118+C118</f>
        <v>0</v>
      </c>
      <c r="E118" s="14">
        <v>926</v>
      </c>
      <c r="F118" s="18">
        <f t="shared" si="7"/>
        <v>0</v>
      </c>
      <c r="G118" s="18">
        <f t="shared" si="8"/>
        <v>926</v>
      </c>
      <c r="H118" s="14">
        <v>119.92</v>
      </c>
      <c r="I118" s="18">
        <f t="shared" si="9"/>
        <v>0</v>
      </c>
      <c r="J118" s="18">
        <f t="shared" si="10"/>
        <v>119.92</v>
      </c>
      <c r="K118" s="14">
        <v>11.08</v>
      </c>
      <c r="L118" s="18">
        <f t="shared" si="11"/>
        <v>0</v>
      </c>
      <c r="M118" s="18">
        <f t="shared" si="12"/>
        <v>11.08</v>
      </c>
      <c r="N118" s="15">
        <f t="shared" si="13"/>
        <v>1057</v>
      </c>
      <c r="O118" s="15">
        <f>+N118-P118</f>
        <v>0</v>
      </c>
      <c r="P118" s="15">
        <f>+IF(N118&gt;D118,N118-D118,0)</f>
        <v>1057</v>
      </c>
      <c r="Q118" s="5">
        <f>+IF(P118=0,P118,P118/N118)</f>
        <v>1</v>
      </c>
    </row>
    <row r="119" spans="1:17" x14ac:dyDescent="0.25">
      <c r="A119" s="7">
        <v>46239.875</v>
      </c>
      <c r="B119" s="6">
        <v>0</v>
      </c>
      <c r="C119" s="13">
        <v>0</v>
      </c>
      <c r="D119" s="18">
        <f>+B119+C119</f>
        <v>0</v>
      </c>
      <c r="E119" s="14">
        <v>866.15699999999993</v>
      </c>
      <c r="F119" s="18">
        <f t="shared" si="7"/>
        <v>0</v>
      </c>
      <c r="G119" s="18">
        <f t="shared" si="8"/>
        <v>866.15699999999993</v>
      </c>
      <c r="H119" s="14">
        <v>125.2</v>
      </c>
      <c r="I119" s="18">
        <f t="shared" si="9"/>
        <v>0</v>
      </c>
      <c r="J119" s="18">
        <f t="shared" si="10"/>
        <v>125.2</v>
      </c>
      <c r="K119" s="14">
        <v>4.5999999999999996</v>
      </c>
      <c r="L119" s="18">
        <f t="shared" si="11"/>
        <v>0</v>
      </c>
      <c r="M119" s="18">
        <f t="shared" si="12"/>
        <v>4.5999999999999996</v>
      </c>
      <c r="N119" s="15">
        <f t="shared" si="13"/>
        <v>995.95699999999999</v>
      </c>
      <c r="O119" s="15">
        <f>+N119-P119</f>
        <v>0</v>
      </c>
      <c r="P119" s="15">
        <f>+IF(N119&gt;D119,N119-D119,0)</f>
        <v>995.95699999999999</v>
      </c>
      <c r="Q119" s="5">
        <f>+IF(P119=0,P119,P119/N119)</f>
        <v>1</v>
      </c>
    </row>
    <row r="120" spans="1:17" x14ac:dyDescent="0.25">
      <c r="A120" s="7">
        <v>46239.916666666664</v>
      </c>
      <c r="B120" s="6">
        <v>0</v>
      </c>
      <c r="C120" s="13">
        <v>0</v>
      </c>
      <c r="D120" s="18">
        <f>+B120+C120</f>
        <v>0</v>
      </c>
      <c r="E120" s="14">
        <v>935.56600000000003</v>
      </c>
      <c r="F120" s="18">
        <f t="shared" si="7"/>
        <v>0</v>
      </c>
      <c r="G120" s="18">
        <f t="shared" si="8"/>
        <v>935.56600000000003</v>
      </c>
      <c r="H120" s="14">
        <v>111.52</v>
      </c>
      <c r="I120" s="18">
        <f t="shared" si="9"/>
        <v>0</v>
      </c>
      <c r="J120" s="18">
        <f t="shared" si="10"/>
        <v>111.52</v>
      </c>
      <c r="K120" s="14">
        <v>2.92</v>
      </c>
      <c r="L120" s="18">
        <f t="shared" si="11"/>
        <v>0</v>
      </c>
      <c r="M120" s="18">
        <f t="shared" si="12"/>
        <v>2.92</v>
      </c>
      <c r="N120" s="15">
        <f t="shared" si="13"/>
        <v>1050.0060000000001</v>
      </c>
      <c r="O120" s="15">
        <f>+N120-P120</f>
        <v>0</v>
      </c>
      <c r="P120" s="15">
        <f>+IF(N120&gt;D120,N120-D120,0)</f>
        <v>1050.0060000000001</v>
      </c>
      <c r="Q120" s="5">
        <f>+IF(P120=0,P120,P120/N120)</f>
        <v>1</v>
      </c>
    </row>
    <row r="121" spans="1:17" x14ac:dyDescent="0.25">
      <c r="A121" s="7">
        <v>46239.958333333336</v>
      </c>
      <c r="B121" s="6">
        <v>0</v>
      </c>
      <c r="C121" s="13">
        <v>0</v>
      </c>
      <c r="D121" s="18">
        <f>+B121+C121</f>
        <v>0</v>
      </c>
      <c r="E121" s="14">
        <v>938.71600000000001</v>
      </c>
      <c r="F121" s="18">
        <f t="shared" si="7"/>
        <v>0</v>
      </c>
      <c r="G121" s="18">
        <f t="shared" si="8"/>
        <v>938.71600000000001</v>
      </c>
      <c r="H121" s="14">
        <v>106.24</v>
      </c>
      <c r="I121" s="18">
        <f t="shared" si="9"/>
        <v>0</v>
      </c>
      <c r="J121" s="18">
        <f t="shared" si="10"/>
        <v>106.24</v>
      </c>
      <c r="K121" s="14">
        <v>3.16</v>
      </c>
      <c r="L121" s="18">
        <f t="shared" si="11"/>
        <v>0</v>
      </c>
      <c r="M121" s="18">
        <f t="shared" si="12"/>
        <v>3.16</v>
      </c>
      <c r="N121" s="15">
        <f t="shared" si="13"/>
        <v>1048.116</v>
      </c>
      <c r="O121" s="15">
        <f>+N121-P121</f>
        <v>0</v>
      </c>
      <c r="P121" s="15">
        <f>+IF(N121&gt;D121,N121-D121,0)</f>
        <v>1048.116</v>
      </c>
      <c r="Q121" s="5">
        <f>+IF(P121=0,P121,P121/N121)</f>
        <v>1</v>
      </c>
    </row>
    <row r="122" spans="1:17" x14ac:dyDescent="0.25">
      <c r="A122" s="7">
        <v>46240</v>
      </c>
      <c r="B122" s="6">
        <v>0</v>
      </c>
      <c r="C122" s="13">
        <v>0</v>
      </c>
      <c r="D122" s="18">
        <f>+B122+C122</f>
        <v>0</v>
      </c>
      <c r="E122" s="14">
        <v>1077.319</v>
      </c>
      <c r="F122" s="18">
        <f t="shared" si="7"/>
        <v>0</v>
      </c>
      <c r="G122" s="18">
        <f t="shared" si="8"/>
        <v>1077.319</v>
      </c>
      <c r="H122" s="14">
        <v>106.72</v>
      </c>
      <c r="I122" s="18">
        <f t="shared" si="9"/>
        <v>0</v>
      </c>
      <c r="J122" s="18">
        <f t="shared" si="10"/>
        <v>106.72</v>
      </c>
      <c r="K122" s="14">
        <v>3.04</v>
      </c>
      <c r="L122" s="18">
        <f t="shared" si="11"/>
        <v>0</v>
      </c>
      <c r="M122" s="18">
        <f t="shared" si="12"/>
        <v>3.04</v>
      </c>
      <c r="N122" s="15">
        <f t="shared" si="13"/>
        <v>1187.079</v>
      </c>
      <c r="O122" s="15">
        <f>+N122-P122</f>
        <v>0</v>
      </c>
      <c r="P122" s="15">
        <f>+IF(N122&gt;D122,N122-D122,0)</f>
        <v>1187.079</v>
      </c>
      <c r="Q122" s="5">
        <f>+IF(P122=0,P122,P122/N122)</f>
        <v>1</v>
      </c>
    </row>
    <row r="123" spans="1:17" x14ac:dyDescent="0.25">
      <c r="A123" s="7">
        <v>46240.041666666664</v>
      </c>
      <c r="B123" s="6">
        <v>0</v>
      </c>
      <c r="C123" s="13">
        <v>0</v>
      </c>
      <c r="D123" s="18">
        <f>+B123+C123</f>
        <v>0</v>
      </c>
      <c r="E123" s="14">
        <v>78.751000000000005</v>
      </c>
      <c r="F123" s="18">
        <f t="shared" si="7"/>
        <v>0</v>
      </c>
      <c r="G123" s="18">
        <f t="shared" si="8"/>
        <v>78.751000000000005</v>
      </c>
      <c r="H123" s="14">
        <v>97.48</v>
      </c>
      <c r="I123" s="18">
        <f t="shared" si="9"/>
        <v>0</v>
      </c>
      <c r="J123" s="18">
        <f t="shared" si="10"/>
        <v>97.48</v>
      </c>
      <c r="K123" s="14">
        <v>2.92</v>
      </c>
      <c r="L123" s="18">
        <f t="shared" si="11"/>
        <v>0</v>
      </c>
      <c r="M123" s="18">
        <f t="shared" si="12"/>
        <v>2.92</v>
      </c>
      <c r="N123" s="15">
        <f t="shared" si="13"/>
        <v>179.15099999999998</v>
      </c>
      <c r="O123" s="15">
        <f>+N123-P123</f>
        <v>0</v>
      </c>
      <c r="P123" s="15">
        <f>+IF(N123&gt;D123,N123-D123,0)</f>
        <v>179.15099999999998</v>
      </c>
      <c r="Q123" s="5">
        <f>+IF(P123=0,P123,P123/N123)</f>
        <v>1</v>
      </c>
    </row>
    <row r="124" spans="1:17" x14ac:dyDescent="0.25">
      <c r="A124" s="7">
        <v>46240.083333333336</v>
      </c>
      <c r="B124" s="6">
        <v>0</v>
      </c>
      <c r="C124" s="13">
        <v>0</v>
      </c>
      <c r="D124" s="18">
        <f>+B124+C124</f>
        <v>0</v>
      </c>
      <c r="E124" s="14">
        <v>1026.9179999999999</v>
      </c>
      <c r="F124" s="18">
        <f t="shared" si="7"/>
        <v>0</v>
      </c>
      <c r="G124" s="18">
        <f t="shared" si="8"/>
        <v>1026.9179999999999</v>
      </c>
      <c r="H124" s="14">
        <v>119.2</v>
      </c>
      <c r="I124" s="18">
        <f t="shared" si="9"/>
        <v>0</v>
      </c>
      <c r="J124" s="18">
        <f t="shared" si="10"/>
        <v>119.2</v>
      </c>
      <c r="K124" s="14">
        <v>2.8</v>
      </c>
      <c r="L124" s="18">
        <f t="shared" si="11"/>
        <v>0</v>
      </c>
      <c r="M124" s="18">
        <f t="shared" si="12"/>
        <v>2.8</v>
      </c>
      <c r="N124" s="15">
        <f t="shared" si="13"/>
        <v>1148.9179999999999</v>
      </c>
      <c r="O124" s="15">
        <f>+N124-P124</f>
        <v>0</v>
      </c>
      <c r="P124" s="15">
        <f>+IF(N124&gt;D124,N124-D124,0)</f>
        <v>1148.9179999999999</v>
      </c>
      <c r="Q124" s="5">
        <f>+IF(P124=0,P124,P124/N124)</f>
        <v>1</v>
      </c>
    </row>
    <row r="125" spans="1:17" x14ac:dyDescent="0.25">
      <c r="A125" s="7">
        <v>46240.125</v>
      </c>
      <c r="B125" s="6">
        <v>0</v>
      </c>
      <c r="C125" s="13">
        <v>0</v>
      </c>
      <c r="D125" s="18">
        <f>+B125+C125</f>
        <v>0</v>
      </c>
      <c r="E125" s="14">
        <v>1228.521</v>
      </c>
      <c r="F125" s="18">
        <f t="shared" si="7"/>
        <v>0</v>
      </c>
      <c r="G125" s="18">
        <f t="shared" si="8"/>
        <v>1228.521</v>
      </c>
      <c r="H125" s="14">
        <v>112.83999999999999</v>
      </c>
      <c r="I125" s="18">
        <f t="shared" si="9"/>
        <v>0</v>
      </c>
      <c r="J125" s="18">
        <f t="shared" si="10"/>
        <v>112.83999999999999</v>
      </c>
      <c r="K125" s="14">
        <v>2.92</v>
      </c>
      <c r="L125" s="18">
        <f t="shared" si="11"/>
        <v>0</v>
      </c>
      <c r="M125" s="18">
        <f t="shared" si="12"/>
        <v>2.92</v>
      </c>
      <c r="N125" s="15">
        <f t="shared" si="13"/>
        <v>1344.2809999999999</v>
      </c>
      <c r="O125" s="15">
        <f>+N125-P125</f>
        <v>0</v>
      </c>
      <c r="P125" s="15">
        <f>+IF(N125&gt;D125,N125-D125,0)</f>
        <v>1344.2809999999999</v>
      </c>
      <c r="Q125" s="5">
        <f>+IF(P125=0,P125,P125/N125)</f>
        <v>1</v>
      </c>
    </row>
    <row r="126" spans="1:17" x14ac:dyDescent="0.25">
      <c r="A126" s="7">
        <v>46240.166666666664</v>
      </c>
      <c r="B126" s="6">
        <v>0</v>
      </c>
      <c r="C126" s="13">
        <v>0</v>
      </c>
      <c r="D126" s="18">
        <f>+B126+C126</f>
        <v>0</v>
      </c>
      <c r="E126" s="14">
        <v>1275.7719999999999</v>
      </c>
      <c r="F126" s="18">
        <f t="shared" si="7"/>
        <v>0</v>
      </c>
      <c r="G126" s="18">
        <f t="shared" si="8"/>
        <v>1275.7719999999999</v>
      </c>
      <c r="H126" s="14">
        <v>99.76</v>
      </c>
      <c r="I126" s="18">
        <f t="shared" si="9"/>
        <v>0</v>
      </c>
      <c r="J126" s="18">
        <f t="shared" si="10"/>
        <v>99.76</v>
      </c>
      <c r="K126" s="14">
        <v>2.68</v>
      </c>
      <c r="L126" s="18">
        <f t="shared" si="11"/>
        <v>0</v>
      </c>
      <c r="M126" s="18">
        <f t="shared" si="12"/>
        <v>2.68</v>
      </c>
      <c r="N126" s="15">
        <f t="shared" si="13"/>
        <v>1378.212</v>
      </c>
      <c r="O126" s="15">
        <f>+N126-P126</f>
        <v>0</v>
      </c>
      <c r="P126" s="15">
        <f>+IF(N126&gt;D126,N126-D126,0)</f>
        <v>1378.212</v>
      </c>
      <c r="Q126" s="5">
        <f>+IF(P126=0,P126,P126/N126)</f>
        <v>1</v>
      </c>
    </row>
    <row r="127" spans="1:17" x14ac:dyDescent="0.25">
      <c r="A127" s="7">
        <v>46240.208333333336</v>
      </c>
      <c r="B127" s="6">
        <v>0</v>
      </c>
      <c r="C127" s="13">
        <v>0</v>
      </c>
      <c r="D127" s="18">
        <f>+B127+C127</f>
        <v>0</v>
      </c>
      <c r="E127" s="14">
        <v>1190.721</v>
      </c>
      <c r="F127" s="18">
        <f t="shared" si="7"/>
        <v>0</v>
      </c>
      <c r="G127" s="18">
        <f t="shared" si="8"/>
        <v>1190.721</v>
      </c>
      <c r="H127" s="14">
        <v>62.92</v>
      </c>
      <c r="I127" s="18">
        <f t="shared" si="9"/>
        <v>0</v>
      </c>
      <c r="J127" s="18">
        <f t="shared" si="10"/>
        <v>62.92</v>
      </c>
      <c r="K127" s="14">
        <v>3.28</v>
      </c>
      <c r="L127" s="18">
        <f t="shared" si="11"/>
        <v>0</v>
      </c>
      <c r="M127" s="18">
        <f t="shared" si="12"/>
        <v>3.28</v>
      </c>
      <c r="N127" s="15">
        <f t="shared" si="13"/>
        <v>1256.921</v>
      </c>
      <c r="O127" s="15">
        <f>+N127-P127</f>
        <v>0</v>
      </c>
      <c r="P127" s="15">
        <f>+IF(N127&gt;D127,N127-D127,0)</f>
        <v>1256.921</v>
      </c>
      <c r="Q127" s="5">
        <f>+IF(P127=0,P127,P127/N127)</f>
        <v>1</v>
      </c>
    </row>
    <row r="128" spans="1:17" x14ac:dyDescent="0.25">
      <c r="A128" s="7">
        <v>46240.25</v>
      </c>
      <c r="B128" s="6">
        <v>59.85</v>
      </c>
      <c r="C128" s="13">
        <v>0</v>
      </c>
      <c r="D128" s="18">
        <f>+B128+C128</f>
        <v>59.85</v>
      </c>
      <c r="E128" s="14">
        <v>3.15</v>
      </c>
      <c r="F128" s="18">
        <f t="shared" si="7"/>
        <v>3.15</v>
      </c>
      <c r="G128" s="18">
        <f t="shared" si="8"/>
        <v>0</v>
      </c>
      <c r="H128" s="14">
        <v>39.04</v>
      </c>
      <c r="I128" s="18">
        <f t="shared" si="9"/>
        <v>39.04</v>
      </c>
      <c r="J128" s="18">
        <f t="shared" si="10"/>
        <v>0</v>
      </c>
      <c r="K128" s="14">
        <v>3.16</v>
      </c>
      <c r="L128" s="18">
        <f t="shared" si="11"/>
        <v>3.16</v>
      </c>
      <c r="M128" s="18">
        <f t="shared" si="12"/>
        <v>0</v>
      </c>
      <c r="N128" s="15">
        <f t="shared" si="13"/>
        <v>45.349999999999994</v>
      </c>
      <c r="O128" s="15">
        <f>+N128-P128</f>
        <v>45.349999999999994</v>
      </c>
      <c r="P128" s="15">
        <f>+IF(N128&gt;D128,N128-D128,0)</f>
        <v>0</v>
      </c>
      <c r="Q128" s="5">
        <f>+IF(P128=0,P128,P128/N128)</f>
        <v>0</v>
      </c>
    </row>
    <row r="129" spans="1:17" x14ac:dyDescent="0.25">
      <c r="A129" s="7">
        <v>46240.291666666664</v>
      </c>
      <c r="B129" s="6">
        <v>519.75</v>
      </c>
      <c r="C129" s="13">
        <v>0</v>
      </c>
      <c r="D129" s="18">
        <f>+B129+C129</f>
        <v>519.75</v>
      </c>
      <c r="E129" s="14">
        <v>0</v>
      </c>
      <c r="F129" s="18">
        <f t="shared" si="7"/>
        <v>0</v>
      </c>
      <c r="G129" s="18">
        <f t="shared" si="8"/>
        <v>0</v>
      </c>
      <c r="H129" s="14">
        <v>49.6</v>
      </c>
      <c r="I129" s="18">
        <f t="shared" si="9"/>
        <v>49.6</v>
      </c>
      <c r="J129" s="18">
        <f t="shared" si="10"/>
        <v>0</v>
      </c>
      <c r="K129" s="14">
        <v>2.44</v>
      </c>
      <c r="L129" s="18">
        <f t="shared" si="11"/>
        <v>2.44</v>
      </c>
      <c r="M129" s="18">
        <f t="shared" si="12"/>
        <v>0</v>
      </c>
      <c r="N129" s="15">
        <f t="shared" si="13"/>
        <v>52.04</v>
      </c>
      <c r="O129" s="15">
        <f>+N129-P129</f>
        <v>52.04</v>
      </c>
      <c r="P129" s="15">
        <f>+IF(N129&gt;D129,N129-D129,0)</f>
        <v>0</v>
      </c>
      <c r="Q129" s="5">
        <f>+IF(P129=0,P129,P129/N129)</f>
        <v>0</v>
      </c>
    </row>
    <row r="130" spans="1:17" x14ac:dyDescent="0.25">
      <c r="A130" s="7">
        <v>46240.333333333336</v>
      </c>
      <c r="B130" s="6">
        <v>491.4</v>
      </c>
      <c r="C130" s="13">
        <v>0</v>
      </c>
      <c r="D130" s="18">
        <f>+B130+C130</f>
        <v>491.4</v>
      </c>
      <c r="E130" s="14">
        <v>37.799999999999997</v>
      </c>
      <c r="F130" s="18">
        <f t="shared" si="7"/>
        <v>37.799999999999997</v>
      </c>
      <c r="G130" s="18">
        <f t="shared" si="8"/>
        <v>0</v>
      </c>
      <c r="H130" s="14">
        <v>144.16</v>
      </c>
      <c r="I130" s="18">
        <f t="shared" si="9"/>
        <v>144.16</v>
      </c>
      <c r="J130" s="18">
        <f t="shared" si="10"/>
        <v>0</v>
      </c>
      <c r="K130" s="14">
        <v>16.36</v>
      </c>
      <c r="L130" s="18">
        <f t="shared" si="11"/>
        <v>16.36</v>
      </c>
      <c r="M130" s="18">
        <f t="shared" si="12"/>
        <v>0</v>
      </c>
      <c r="N130" s="15">
        <f t="shared" si="13"/>
        <v>198.32</v>
      </c>
      <c r="O130" s="15">
        <f>+N130-P130</f>
        <v>198.32</v>
      </c>
      <c r="P130" s="15">
        <f>+IF(N130&gt;D130,N130-D130,0)</f>
        <v>0</v>
      </c>
      <c r="Q130" s="5">
        <f>+IF(P130=0,P130,P130/N130)</f>
        <v>0</v>
      </c>
    </row>
    <row r="131" spans="1:17" x14ac:dyDescent="0.25">
      <c r="A131" s="7">
        <v>46240.375</v>
      </c>
      <c r="B131" s="6">
        <v>752.85</v>
      </c>
      <c r="C131" s="13">
        <v>0.36</v>
      </c>
      <c r="D131" s="18">
        <f>+B131+C131</f>
        <v>753.21</v>
      </c>
      <c r="E131" s="14">
        <v>0</v>
      </c>
      <c r="F131" s="18">
        <f t="shared" ref="F131:F194" si="14">+E131-G131</f>
        <v>0</v>
      </c>
      <c r="G131" s="18">
        <f t="shared" ref="G131:G194" si="15">+E131*Q131</f>
        <v>0</v>
      </c>
      <c r="H131" s="14">
        <v>49.24</v>
      </c>
      <c r="I131" s="18">
        <f t="shared" ref="I131:I194" si="16">+H131-J131</f>
        <v>49.24</v>
      </c>
      <c r="J131" s="18">
        <f t="shared" ref="J131:J194" si="17">+H131*Q131</f>
        <v>0</v>
      </c>
      <c r="K131" s="14">
        <v>63.4</v>
      </c>
      <c r="L131" s="18">
        <f t="shared" ref="L131:L194" si="18">+K131-M131</f>
        <v>63.4</v>
      </c>
      <c r="M131" s="18">
        <f t="shared" ref="M131:M194" si="19">+K131*Q131</f>
        <v>0</v>
      </c>
      <c r="N131" s="15">
        <f t="shared" ref="N131:N194" si="20">+E131+H131+K131</f>
        <v>112.64</v>
      </c>
      <c r="O131" s="15">
        <f>+N131-P131</f>
        <v>112.64</v>
      </c>
      <c r="P131" s="15">
        <f>+IF(N131&gt;D131,N131-D131,0)</f>
        <v>0</v>
      </c>
      <c r="Q131" s="5">
        <f>+IF(P131=0,P131,P131/N131)</f>
        <v>0</v>
      </c>
    </row>
    <row r="132" spans="1:17" x14ac:dyDescent="0.25">
      <c r="A132" s="7">
        <v>46240.416666666664</v>
      </c>
      <c r="B132" s="6">
        <v>1241.0999999999999</v>
      </c>
      <c r="C132" s="13">
        <v>2.2799999999999998</v>
      </c>
      <c r="D132" s="18">
        <f>+B132+C132</f>
        <v>1243.3799999999999</v>
      </c>
      <c r="E132" s="14">
        <v>0</v>
      </c>
      <c r="F132" s="18">
        <f t="shared" si="14"/>
        <v>0</v>
      </c>
      <c r="G132" s="18">
        <f t="shared" si="15"/>
        <v>0</v>
      </c>
      <c r="H132" s="14">
        <v>50.56</v>
      </c>
      <c r="I132" s="18">
        <f t="shared" si="16"/>
        <v>50.56</v>
      </c>
      <c r="J132" s="18">
        <f t="shared" si="17"/>
        <v>0</v>
      </c>
      <c r="K132" s="14">
        <v>42.4</v>
      </c>
      <c r="L132" s="18">
        <f t="shared" si="18"/>
        <v>42.4</v>
      </c>
      <c r="M132" s="18">
        <f t="shared" si="19"/>
        <v>0</v>
      </c>
      <c r="N132" s="15">
        <f t="shared" si="20"/>
        <v>92.960000000000008</v>
      </c>
      <c r="O132" s="15">
        <f>+N132-P132</f>
        <v>92.960000000000008</v>
      </c>
      <c r="P132" s="15">
        <f>+IF(N132&gt;D132,N132-D132,0)</f>
        <v>0</v>
      </c>
      <c r="Q132" s="5">
        <f>+IF(P132=0,P132,P132/N132)</f>
        <v>0</v>
      </c>
    </row>
    <row r="133" spans="1:17" x14ac:dyDescent="0.25">
      <c r="A133" s="7">
        <v>46240.458333333336</v>
      </c>
      <c r="B133" s="6">
        <v>1593.9</v>
      </c>
      <c r="C133" s="13">
        <v>3.72</v>
      </c>
      <c r="D133" s="18">
        <f>+B133+C133</f>
        <v>1597.6200000000001</v>
      </c>
      <c r="E133" s="14">
        <v>0</v>
      </c>
      <c r="F133" s="18">
        <f t="shared" si="14"/>
        <v>0</v>
      </c>
      <c r="G133" s="18">
        <f t="shared" si="15"/>
        <v>0</v>
      </c>
      <c r="H133" s="14">
        <v>41.2</v>
      </c>
      <c r="I133" s="18">
        <f t="shared" si="16"/>
        <v>41.2</v>
      </c>
      <c r="J133" s="18">
        <f t="shared" si="17"/>
        <v>0</v>
      </c>
      <c r="K133" s="14">
        <v>30.759999999999998</v>
      </c>
      <c r="L133" s="18">
        <f t="shared" si="18"/>
        <v>30.759999999999998</v>
      </c>
      <c r="M133" s="18">
        <f t="shared" si="19"/>
        <v>0</v>
      </c>
      <c r="N133" s="15">
        <f t="shared" si="20"/>
        <v>71.960000000000008</v>
      </c>
      <c r="O133" s="15">
        <f>+N133-P133</f>
        <v>71.960000000000008</v>
      </c>
      <c r="P133" s="15">
        <f>+IF(N133&gt;D133,N133-D133,0)</f>
        <v>0</v>
      </c>
      <c r="Q133" s="5">
        <f>+IF(P133=0,P133,P133/N133)</f>
        <v>0</v>
      </c>
    </row>
    <row r="134" spans="1:17" x14ac:dyDescent="0.25">
      <c r="A134" s="7">
        <v>46240.5</v>
      </c>
      <c r="B134" s="6">
        <v>2277.4499999999998</v>
      </c>
      <c r="C134" s="13">
        <v>20.88</v>
      </c>
      <c r="D134" s="18">
        <f>+B134+C134</f>
        <v>2298.33</v>
      </c>
      <c r="E134" s="14">
        <v>0</v>
      </c>
      <c r="F134" s="18">
        <f t="shared" si="14"/>
        <v>0</v>
      </c>
      <c r="G134" s="18">
        <f t="shared" si="15"/>
        <v>0</v>
      </c>
      <c r="H134" s="14">
        <v>11.799999999999999</v>
      </c>
      <c r="I134" s="18">
        <f t="shared" si="16"/>
        <v>11.799999999999999</v>
      </c>
      <c r="J134" s="18">
        <f t="shared" si="17"/>
        <v>0</v>
      </c>
      <c r="K134" s="14">
        <v>40.599999999999994</v>
      </c>
      <c r="L134" s="18">
        <f t="shared" si="18"/>
        <v>40.599999999999994</v>
      </c>
      <c r="M134" s="18">
        <f t="shared" si="19"/>
        <v>0</v>
      </c>
      <c r="N134" s="15">
        <f t="shared" si="20"/>
        <v>52.399999999999991</v>
      </c>
      <c r="O134" s="15">
        <f>+N134-P134</f>
        <v>52.399999999999991</v>
      </c>
      <c r="P134" s="15">
        <f>+IF(N134&gt;D134,N134-D134,0)</f>
        <v>0</v>
      </c>
      <c r="Q134" s="5">
        <f>+IF(P134=0,P134,P134/N134)</f>
        <v>0</v>
      </c>
    </row>
    <row r="135" spans="1:17" x14ac:dyDescent="0.25">
      <c r="A135" s="7">
        <v>46240.541666666664</v>
      </c>
      <c r="B135" s="6">
        <v>2327.85</v>
      </c>
      <c r="C135" s="13">
        <v>9.84</v>
      </c>
      <c r="D135" s="18">
        <f>+B135+C135</f>
        <v>2337.69</v>
      </c>
      <c r="E135" s="14">
        <v>0</v>
      </c>
      <c r="F135" s="18">
        <f t="shared" si="14"/>
        <v>0</v>
      </c>
      <c r="G135" s="18">
        <f t="shared" si="15"/>
        <v>0</v>
      </c>
      <c r="H135" s="14">
        <v>25</v>
      </c>
      <c r="I135" s="18">
        <f t="shared" si="16"/>
        <v>25</v>
      </c>
      <c r="J135" s="18">
        <f t="shared" si="17"/>
        <v>0</v>
      </c>
      <c r="K135" s="14">
        <v>48.52</v>
      </c>
      <c r="L135" s="18">
        <f t="shared" si="18"/>
        <v>48.52</v>
      </c>
      <c r="M135" s="18">
        <f t="shared" si="19"/>
        <v>0</v>
      </c>
      <c r="N135" s="15">
        <f t="shared" si="20"/>
        <v>73.52000000000001</v>
      </c>
      <c r="O135" s="15">
        <f>+N135-P135</f>
        <v>73.52000000000001</v>
      </c>
      <c r="P135" s="15">
        <f>+IF(N135&gt;D135,N135-D135,0)</f>
        <v>0</v>
      </c>
      <c r="Q135" s="5">
        <f>+IF(P135=0,P135,P135/N135)</f>
        <v>0</v>
      </c>
    </row>
    <row r="136" spans="1:17" x14ac:dyDescent="0.25">
      <c r="A136" s="7">
        <v>46240.583333333336</v>
      </c>
      <c r="B136" s="6">
        <v>1436.4</v>
      </c>
      <c r="C136" s="13">
        <v>13.2</v>
      </c>
      <c r="D136" s="18">
        <f>+B136+C136</f>
        <v>1449.6000000000001</v>
      </c>
      <c r="E136" s="14">
        <v>0</v>
      </c>
      <c r="F136" s="18">
        <f t="shared" si="14"/>
        <v>0</v>
      </c>
      <c r="G136" s="18">
        <f t="shared" si="15"/>
        <v>0</v>
      </c>
      <c r="H136" s="14">
        <v>18.28</v>
      </c>
      <c r="I136" s="18">
        <f t="shared" si="16"/>
        <v>18.28</v>
      </c>
      <c r="J136" s="18">
        <f t="shared" si="17"/>
        <v>0</v>
      </c>
      <c r="K136" s="14">
        <v>43.6</v>
      </c>
      <c r="L136" s="18">
        <f t="shared" si="18"/>
        <v>43.6</v>
      </c>
      <c r="M136" s="18">
        <f t="shared" si="19"/>
        <v>0</v>
      </c>
      <c r="N136" s="15">
        <f t="shared" si="20"/>
        <v>61.88</v>
      </c>
      <c r="O136" s="15">
        <f>+N136-P136</f>
        <v>61.88</v>
      </c>
      <c r="P136" s="15">
        <f>+IF(N136&gt;D136,N136-D136,0)</f>
        <v>0</v>
      </c>
      <c r="Q136" s="5">
        <f>+IF(P136=0,P136,P136/N136)</f>
        <v>0</v>
      </c>
    </row>
    <row r="137" spans="1:17" x14ac:dyDescent="0.25">
      <c r="A137" s="7">
        <v>46240.625</v>
      </c>
      <c r="B137" s="6">
        <v>1055.25</v>
      </c>
      <c r="C137" s="13">
        <v>2.64</v>
      </c>
      <c r="D137" s="18">
        <f>+B137+C137</f>
        <v>1057.8900000000001</v>
      </c>
      <c r="E137" s="14">
        <v>0</v>
      </c>
      <c r="F137" s="18">
        <f t="shared" si="14"/>
        <v>0</v>
      </c>
      <c r="G137" s="18">
        <f t="shared" si="15"/>
        <v>0</v>
      </c>
      <c r="H137" s="14">
        <v>47.440000000000005</v>
      </c>
      <c r="I137" s="18">
        <f t="shared" si="16"/>
        <v>47.440000000000005</v>
      </c>
      <c r="J137" s="18">
        <f t="shared" si="17"/>
        <v>0</v>
      </c>
      <c r="K137" s="14">
        <v>41.92</v>
      </c>
      <c r="L137" s="18">
        <f t="shared" si="18"/>
        <v>41.92</v>
      </c>
      <c r="M137" s="18">
        <f t="shared" si="19"/>
        <v>0</v>
      </c>
      <c r="N137" s="15">
        <f t="shared" si="20"/>
        <v>89.360000000000014</v>
      </c>
      <c r="O137" s="15">
        <f>+N137-P137</f>
        <v>89.360000000000014</v>
      </c>
      <c r="P137" s="15">
        <f>+IF(N137&gt;D137,N137-D137,0)</f>
        <v>0</v>
      </c>
      <c r="Q137" s="5">
        <f>+IF(P137=0,P137,P137/N137)</f>
        <v>0</v>
      </c>
    </row>
    <row r="138" spans="1:17" x14ac:dyDescent="0.25">
      <c r="A138" s="7">
        <v>46240.666666666664</v>
      </c>
      <c r="B138" s="6">
        <v>500.85</v>
      </c>
      <c r="C138" s="13">
        <v>0.84</v>
      </c>
      <c r="D138" s="18">
        <f>+B138+C138</f>
        <v>501.69</v>
      </c>
      <c r="E138" s="14">
        <v>75.599999999999994</v>
      </c>
      <c r="F138" s="18">
        <f t="shared" si="14"/>
        <v>75.599999999999994</v>
      </c>
      <c r="G138" s="18">
        <f t="shared" si="15"/>
        <v>0</v>
      </c>
      <c r="H138" s="14">
        <v>96.4</v>
      </c>
      <c r="I138" s="18">
        <f t="shared" si="16"/>
        <v>96.4</v>
      </c>
      <c r="J138" s="18">
        <f t="shared" si="17"/>
        <v>0</v>
      </c>
      <c r="K138" s="14">
        <v>44.68</v>
      </c>
      <c r="L138" s="18">
        <f t="shared" si="18"/>
        <v>44.68</v>
      </c>
      <c r="M138" s="18">
        <f t="shared" si="19"/>
        <v>0</v>
      </c>
      <c r="N138" s="15">
        <f t="shared" si="20"/>
        <v>216.68</v>
      </c>
      <c r="O138" s="15">
        <f>+N138-P138</f>
        <v>216.68</v>
      </c>
      <c r="P138" s="15">
        <f>+IF(N138&gt;D138,N138-D138,0)</f>
        <v>0</v>
      </c>
      <c r="Q138" s="5">
        <f>+IF(P138=0,P138,P138/N138)</f>
        <v>0</v>
      </c>
    </row>
    <row r="139" spans="1:17" x14ac:dyDescent="0.25">
      <c r="A139" s="7">
        <v>46240.708333333336</v>
      </c>
      <c r="B139" s="6">
        <v>280.35000000000002</v>
      </c>
      <c r="C139" s="13">
        <v>0.12</v>
      </c>
      <c r="D139" s="18">
        <f>+B139+C139</f>
        <v>280.47000000000003</v>
      </c>
      <c r="E139" s="14">
        <v>50.395000000000003</v>
      </c>
      <c r="F139" s="18">
        <f t="shared" si="14"/>
        <v>50.395000000000003</v>
      </c>
      <c r="G139" s="18">
        <f t="shared" si="15"/>
        <v>0</v>
      </c>
      <c r="H139" s="14">
        <v>52.96</v>
      </c>
      <c r="I139" s="18">
        <f t="shared" si="16"/>
        <v>52.96</v>
      </c>
      <c r="J139" s="18">
        <f t="shared" si="17"/>
        <v>0</v>
      </c>
      <c r="K139" s="14">
        <v>21.88</v>
      </c>
      <c r="L139" s="18">
        <f t="shared" si="18"/>
        <v>21.88</v>
      </c>
      <c r="M139" s="18">
        <f t="shared" si="19"/>
        <v>0</v>
      </c>
      <c r="N139" s="15">
        <f t="shared" si="20"/>
        <v>125.235</v>
      </c>
      <c r="O139" s="15">
        <f>+N139-P139</f>
        <v>125.235</v>
      </c>
      <c r="P139" s="15">
        <f>+IF(N139&gt;D139,N139-D139,0)</f>
        <v>0</v>
      </c>
      <c r="Q139" s="5">
        <f>+IF(P139=0,P139,P139/N139)</f>
        <v>0</v>
      </c>
    </row>
    <row r="140" spans="1:17" x14ac:dyDescent="0.25">
      <c r="A140" s="7">
        <v>46240.75</v>
      </c>
      <c r="B140" s="6">
        <v>9.4499999999999993</v>
      </c>
      <c r="C140" s="13">
        <v>0</v>
      </c>
      <c r="D140" s="18">
        <f>+B140+C140</f>
        <v>9.4499999999999993</v>
      </c>
      <c r="E140" s="14">
        <v>270.87099999999998</v>
      </c>
      <c r="F140" s="18">
        <f t="shared" si="14"/>
        <v>6.9146223165878951</v>
      </c>
      <c r="G140" s="18">
        <f t="shared" si="15"/>
        <v>263.95637768341209</v>
      </c>
      <c r="H140" s="14">
        <v>63.16</v>
      </c>
      <c r="I140" s="18">
        <f t="shared" si="16"/>
        <v>1.6123082408810561</v>
      </c>
      <c r="J140" s="18">
        <f t="shared" si="17"/>
        <v>61.547691759118941</v>
      </c>
      <c r="K140" s="14">
        <v>36.159999999999997</v>
      </c>
      <c r="L140" s="18">
        <f t="shared" si="18"/>
        <v>0.92306944253101619</v>
      </c>
      <c r="M140" s="18">
        <f t="shared" si="19"/>
        <v>35.23693055746898</v>
      </c>
      <c r="N140" s="15">
        <f t="shared" si="20"/>
        <v>370.19099999999992</v>
      </c>
      <c r="O140" s="15">
        <f>+N140-P140</f>
        <v>9.4499999999999886</v>
      </c>
      <c r="P140" s="15">
        <f>+IF(N140&gt;D140,N140-D140,0)</f>
        <v>360.74099999999993</v>
      </c>
      <c r="Q140" s="5">
        <f>+IF(P140=0,P140,P140/N140)</f>
        <v>0.97447263709814669</v>
      </c>
    </row>
    <row r="141" spans="1:17" x14ac:dyDescent="0.25">
      <c r="A141" s="7">
        <v>46240.791666666664</v>
      </c>
      <c r="B141" s="6">
        <v>31.5</v>
      </c>
      <c r="C141" s="13">
        <v>0</v>
      </c>
      <c r="D141" s="18">
        <f>+B141+C141</f>
        <v>31.5</v>
      </c>
      <c r="E141" s="14">
        <v>44.094999999999999</v>
      </c>
      <c r="F141" s="18">
        <f t="shared" si="14"/>
        <v>10.197059795176742</v>
      </c>
      <c r="G141" s="18">
        <f t="shared" si="15"/>
        <v>33.897940204823257</v>
      </c>
      <c r="H141" s="14">
        <v>71.2</v>
      </c>
      <c r="I141" s="18">
        <f t="shared" si="16"/>
        <v>16.465147010241161</v>
      </c>
      <c r="J141" s="18">
        <f t="shared" si="17"/>
        <v>54.734852989758842</v>
      </c>
      <c r="K141" s="14">
        <v>20.92</v>
      </c>
      <c r="L141" s="18">
        <f t="shared" si="18"/>
        <v>4.837793194582094</v>
      </c>
      <c r="M141" s="18">
        <f t="shared" si="19"/>
        <v>16.082206805417908</v>
      </c>
      <c r="N141" s="15">
        <f t="shared" si="20"/>
        <v>136.215</v>
      </c>
      <c r="O141" s="15">
        <f>+N141-P141</f>
        <v>31.5</v>
      </c>
      <c r="P141" s="15">
        <f>+IF(N141&gt;D141,N141-D141,0)</f>
        <v>104.715</v>
      </c>
      <c r="Q141" s="5">
        <f>+IF(P141=0,P141,P141/N141)</f>
        <v>0.76874793524942187</v>
      </c>
    </row>
    <row r="142" spans="1:17" x14ac:dyDescent="0.25">
      <c r="A142" s="7">
        <v>46240.833333333336</v>
      </c>
      <c r="B142" s="6">
        <v>0</v>
      </c>
      <c r="C142" s="13">
        <v>0</v>
      </c>
      <c r="D142" s="18">
        <f>+B142+C142</f>
        <v>0</v>
      </c>
      <c r="E142" s="14">
        <v>982.69399999999996</v>
      </c>
      <c r="F142" s="18">
        <f t="shared" si="14"/>
        <v>0</v>
      </c>
      <c r="G142" s="18">
        <f t="shared" si="15"/>
        <v>982.69399999999996</v>
      </c>
      <c r="H142" s="14">
        <v>112.36</v>
      </c>
      <c r="I142" s="18">
        <f t="shared" si="16"/>
        <v>0</v>
      </c>
      <c r="J142" s="18">
        <f t="shared" si="17"/>
        <v>112.36</v>
      </c>
      <c r="K142" s="14">
        <v>4.5999999999999996</v>
      </c>
      <c r="L142" s="18">
        <f t="shared" si="18"/>
        <v>0</v>
      </c>
      <c r="M142" s="18">
        <f t="shared" si="19"/>
        <v>4.5999999999999996</v>
      </c>
      <c r="N142" s="15">
        <f t="shared" si="20"/>
        <v>1099.6539999999998</v>
      </c>
      <c r="O142" s="15">
        <f>+N142-P142</f>
        <v>0</v>
      </c>
      <c r="P142" s="15">
        <f>+IF(N142&gt;D142,N142-D142,0)</f>
        <v>1099.6539999999998</v>
      </c>
      <c r="Q142" s="5">
        <f>+IF(P142=0,P142,P142/N142)</f>
        <v>1</v>
      </c>
    </row>
    <row r="143" spans="1:17" x14ac:dyDescent="0.25">
      <c r="A143" s="7">
        <v>46240.875</v>
      </c>
      <c r="B143" s="6">
        <v>0</v>
      </c>
      <c r="C143" s="13">
        <v>0</v>
      </c>
      <c r="D143" s="18">
        <f>+B143+C143</f>
        <v>0</v>
      </c>
      <c r="E143" s="14">
        <v>1033.0889999999999</v>
      </c>
      <c r="F143" s="18">
        <f t="shared" si="14"/>
        <v>0</v>
      </c>
      <c r="G143" s="18">
        <f t="shared" si="15"/>
        <v>1033.0889999999999</v>
      </c>
      <c r="H143" s="14">
        <v>123.75999999999999</v>
      </c>
      <c r="I143" s="18">
        <f t="shared" si="16"/>
        <v>0</v>
      </c>
      <c r="J143" s="18">
        <f t="shared" si="17"/>
        <v>123.75999999999999</v>
      </c>
      <c r="K143" s="14">
        <v>3.04</v>
      </c>
      <c r="L143" s="18">
        <f t="shared" si="18"/>
        <v>0</v>
      </c>
      <c r="M143" s="18">
        <f t="shared" si="19"/>
        <v>3.04</v>
      </c>
      <c r="N143" s="15">
        <f t="shared" si="20"/>
        <v>1159.8889999999999</v>
      </c>
      <c r="O143" s="15">
        <f>+N143-P143</f>
        <v>0</v>
      </c>
      <c r="P143" s="15">
        <f>+IF(N143&gt;D143,N143-D143,0)</f>
        <v>1159.8889999999999</v>
      </c>
      <c r="Q143" s="5">
        <f>+IF(P143=0,P143,P143/N143)</f>
        <v>1</v>
      </c>
    </row>
    <row r="144" spans="1:17" x14ac:dyDescent="0.25">
      <c r="A144" s="7">
        <v>46240.916666666664</v>
      </c>
      <c r="B144" s="6">
        <v>0</v>
      </c>
      <c r="C144" s="13">
        <v>0</v>
      </c>
      <c r="D144" s="18">
        <f>+B144+C144</f>
        <v>0</v>
      </c>
      <c r="E144" s="14">
        <v>1140.32</v>
      </c>
      <c r="F144" s="18">
        <f t="shared" si="14"/>
        <v>0</v>
      </c>
      <c r="G144" s="18">
        <f t="shared" si="15"/>
        <v>1140.32</v>
      </c>
      <c r="H144" s="14">
        <v>119.2</v>
      </c>
      <c r="I144" s="18">
        <f t="shared" si="16"/>
        <v>0</v>
      </c>
      <c r="J144" s="18">
        <f t="shared" si="17"/>
        <v>119.2</v>
      </c>
      <c r="K144" s="14">
        <v>2.8</v>
      </c>
      <c r="L144" s="18">
        <f t="shared" si="18"/>
        <v>0</v>
      </c>
      <c r="M144" s="18">
        <f t="shared" si="19"/>
        <v>2.8</v>
      </c>
      <c r="N144" s="15">
        <f t="shared" si="20"/>
        <v>1262.32</v>
      </c>
      <c r="O144" s="15">
        <f>+N144-P144</f>
        <v>0</v>
      </c>
      <c r="P144" s="15">
        <f>+IF(N144&gt;D144,N144-D144,0)</f>
        <v>1262.32</v>
      </c>
      <c r="Q144" s="5">
        <f>+IF(P144=0,P144,P144/N144)</f>
        <v>1</v>
      </c>
    </row>
    <row r="145" spans="1:17" x14ac:dyDescent="0.25">
      <c r="A145" s="7">
        <v>46240.958333333336</v>
      </c>
      <c r="B145" s="6">
        <v>0</v>
      </c>
      <c r="C145" s="13">
        <v>0</v>
      </c>
      <c r="D145" s="18">
        <f>+B145+C145</f>
        <v>0</v>
      </c>
      <c r="E145" s="14">
        <v>1023.768</v>
      </c>
      <c r="F145" s="18">
        <f t="shared" si="14"/>
        <v>0</v>
      </c>
      <c r="G145" s="18">
        <f t="shared" si="15"/>
        <v>1023.768</v>
      </c>
      <c r="H145" s="14">
        <v>104.44000000000001</v>
      </c>
      <c r="I145" s="18">
        <f t="shared" si="16"/>
        <v>0</v>
      </c>
      <c r="J145" s="18">
        <f t="shared" si="17"/>
        <v>104.44000000000001</v>
      </c>
      <c r="K145" s="14">
        <v>2.68</v>
      </c>
      <c r="L145" s="18">
        <f t="shared" si="18"/>
        <v>0</v>
      </c>
      <c r="M145" s="18">
        <f t="shared" si="19"/>
        <v>2.68</v>
      </c>
      <c r="N145" s="15">
        <f t="shared" si="20"/>
        <v>1130.8880000000001</v>
      </c>
      <c r="O145" s="15">
        <f>+N145-P145</f>
        <v>0</v>
      </c>
      <c r="P145" s="15">
        <f>+IF(N145&gt;D145,N145-D145,0)</f>
        <v>1130.8880000000001</v>
      </c>
      <c r="Q145" s="5">
        <f>+IF(P145=0,P145,P145/N145)</f>
        <v>1</v>
      </c>
    </row>
    <row r="146" spans="1:17" x14ac:dyDescent="0.25">
      <c r="A146" s="7">
        <v>46241</v>
      </c>
      <c r="B146" s="6">
        <v>0</v>
      </c>
      <c r="C146" s="13">
        <v>0</v>
      </c>
      <c r="D146" s="18">
        <f>+B146+C146</f>
        <v>0</v>
      </c>
      <c r="E146" s="14">
        <v>1146.6199999999999</v>
      </c>
      <c r="F146" s="18">
        <f t="shared" si="14"/>
        <v>0</v>
      </c>
      <c r="G146" s="18">
        <f t="shared" si="15"/>
        <v>1146.6199999999999</v>
      </c>
      <c r="H146" s="14">
        <v>98.199999999999989</v>
      </c>
      <c r="I146" s="18">
        <f t="shared" si="16"/>
        <v>0</v>
      </c>
      <c r="J146" s="18">
        <f t="shared" si="17"/>
        <v>98.199999999999989</v>
      </c>
      <c r="K146" s="14">
        <v>3.04</v>
      </c>
      <c r="L146" s="18">
        <f t="shared" si="18"/>
        <v>0</v>
      </c>
      <c r="M146" s="18">
        <f t="shared" si="19"/>
        <v>3.04</v>
      </c>
      <c r="N146" s="15">
        <f t="shared" si="20"/>
        <v>1247.8599999999999</v>
      </c>
      <c r="O146" s="15">
        <f>+N146-P146</f>
        <v>0</v>
      </c>
      <c r="P146" s="15">
        <f>+IF(N146&gt;D146,N146-D146,0)</f>
        <v>1247.8599999999999</v>
      </c>
      <c r="Q146" s="5">
        <f>+IF(P146=0,P146,P146/N146)</f>
        <v>1</v>
      </c>
    </row>
    <row r="147" spans="1:17" x14ac:dyDescent="0.25">
      <c r="A147" s="7">
        <v>46241.041666666664</v>
      </c>
      <c r="B147" s="6">
        <v>0</v>
      </c>
      <c r="C147" s="13">
        <v>0</v>
      </c>
      <c r="D147" s="18">
        <f>+B147+C147</f>
        <v>0</v>
      </c>
      <c r="E147" s="14">
        <v>78.751000000000005</v>
      </c>
      <c r="F147" s="18">
        <f t="shared" si="14"/>
        <v>0</v>
      </c>
      <c r="G147" s="18">
        <f t="shared" si="15"/>
        <v>78.751000000000005</v>
      </c>
      <c r="H147" s="14">
        <v>105.28</v>
      </c>
      <c r="I147" s="18">
        <f t="shared" si="16"/>
        <v>0</v>
      </c>
      <c r="J147" s="18">
        <f t="shared" si="17"/>
        <v>105.28</v>
      </c>
      <c r="K147" s="14">
        <v>2.8</v>
      </c>
      <c r="L147" s="18">
        <f t="shared" si="18"/>
        <v>0</v>
      </c>
      <c r="M147" s="18">
        <f t="shared" si="19"/>
        <v>2.8</v>
      </c>
      <c r="N147" s="15">
        <f t="shared" si="20"/>
        <v>186.83100000000002</v>
      </c>
      <c r="O147" s="15">
        <f>+N147-P147</f>
        <v>0</v>
      </c>
      <c r="P147" s="15">
        <f>+IF(N147&gt;D147,N147-D147,0)</f>
        <v>186.83100000000002</v>
      </c>
      <c r="Q147" s="5">
        <f>+IF(P147=0,P147,P147/N147)</f>
        <v>1</v>
      </c>
    </row>
    <row r="148" spans="1:17" x14ac:dyDescent="0.25">
      <c r="A148" s="7">
        <v>46241.083333333336</v>
      </c>
      <c r="B148" s="6">
        <v>0</v>
      </c>
      <c r="C148" s="13">
        <v>0</v>
      </c>
      <c r="D148" s="18">
        <f>+B148+C148</f>
        <v>0</v>
      </c>
      <c r="E148" s="14">
        <v>1115.1189999999999</v>
      </c>
      <c r="F148" s="18">
        <f t="shared" si="14"/>
        <v>0</v>
      </c>
      <c r="G148" s="18">
        <f t="shared" si="15"/>
        <v>1115.1189999999999</v>
      </c>
      <c r="H148" s="14">
        <v>111.88</v>
      </c>
      <c r="I148" s="18">
        <f t="shared" si="16"/>
        <v>0</v>
      </c>
      <c r="J148" s="18">
        <f t="shared" si="17"/>
        <v>111.88</v>
      </c>
      <c r="K148" s="14">
        <v>2.68</v>
      </c>
      <c r="L148" s="18">
        <f t="shared" si="18"/>
        <v>0</v>
      </c>
      <c r="M148" s="18">
        <f t="shared" si="19"/>
        <v>2.68</v>
      </c>
      <c r="N148" s="15">
        <f t="shared" si="20"/>
        <v>1229.6789999999999</v>
      </c>
      <c r="O148" s="15">
        <f>+N148-P148</f>
        <v>0</v>
      </c>
      <c r="P148" s="15">
        <f>+IF(N148&gt;D148,N148-D148,0)</f>
        <v>1229.6789999999999</v>
      </c>
      <c r="Q148" s="5">
        <f>+IF(P148=0,P148,P148/N148)</f>
        <v>1</v>
      </c>
    </row>
    <row r="149" spans="1:17" x14ac:dyDescent="0.25">
      <c r="A149" s="7">
        <v>46241.125</v>
      </c>
      <c r="B149" s="6">
        <v>0</v>
      </c>
      <c r="C149" s="13">
        <v>0</v>
      </c>
      <c r="D149" s="18">
        <f>+B149+C149</f>
        <v>0</v>
      </c>
      <c r="E149" s="14">
        <v>1096.2190000000001</v>
      </c>
      <c r="F149" s="18">
        <f t="shared" si="14"/>
        <v>0</v>
      </c>
      <c r="G149" s="18">
        <f t="shared" si="15"/>
        <v>1096.2190000000001</v>
      </c>
      <c r="H149" s="14">
        <v>97.48</v>
      </c>
      <c r="I149" s="18">
        <f t="shared" si="16"/>
        <v>0</v>
      </c>
      <c r="J149" s="18">
        <f t="shared" si="17"/>
        <v>97.48</v>
      </c>
      <c r="K149" s="14">
        <v>2.92</v>
      </c>
      <c r="L149" s="18">
        <f t="shared" si="18"/>
        <v>0</v>
      </c>
      <c r="M149" s="18">
        <f t="shared" si="19"/>
        <v>2.92</v>
      </c>
      <c r="N149" s="15">
        <f t="shared" si="20"/>
        <v>1196.6190000000001</v>
      </c>
      <c r="O149" s="15">
        <f>+N149-P149</f>
        <v>0</v>
      </c>
      <c r="P149" s="15">
        <f>+IF(N149&gt;D149,N149-D149,0)</f>
        <v>1196.6190000000001</v>
      </c>
      <c r="Q149" s="5">
        <f>+IF(P149=0,P149,P149/N149)</f>
        <v>1</v>
      </c>
    </row>
    <row r="150" spans="1:17" x14ac:dyDescent="0.25">
      <c r="A150" s="7">
        <v>46241.166666666664</v>
      </c>
      <c r="B150" s="6">
        <v>0</v>
      </c>
      <c r="C150" s="13">
        <v>0</v>
      </c>
      <c r="D150" s="18">
        <f>+B150+C150</f>
        <v>0</v>
      </c>
      <c r="E150" s="14">
        <v>790.66399999999999</v>
      </c>
      <c r="F150" s="18">
        <f t="shared" si="14"/>
        <v>0</v>
      </c>
      <c r="G150" s="18">
        <f t="shared" si="15"/>
        <v>790.66399999999999</v>
      </c>
      <c r="H150" s="14">
        <v>63.4</v>
      </c>
      <c r="I150" s="18">
        <f t="shared" si="16"/>
        <v>0</v>
      </c>
      <c r="J150" s="18">
        <f t="shared" si="17"/>
        <v>63.4</v>
      </c>
      <c r="K150" s="14">
        <v>2.92</v>
      </c>
      <c r="L150" s="18">
        <f t="shared" si="18"/>
        <v>0</v>
      </c>
      <c r="M150" s="18">
        <f t="shared" si="19"/>
        <v>2.92</v>
      </c>
      <c r="N150" s="15">
        <f t="shared" si="20"/>
        <v>856.98399999999992</v>
      </c>
      <c r="O150" s="15">
        <f>+N150-P150</f>
        <v>0</v>
      </c>
      <c r="P150" s="15">
        <f>+IF(N150&gt;D150,N150-D150,0)</f>
        <v>856.98399999999992</v>
      </c>
      <c r="Q150" s="5">
        <f>+IF(P150=0,P150,P150/N150)</f>
        <v>1</v>
      </c>
    </row>
    <row r="151" spans="1:17" x14ac:dyDescent="0.25">
      <c r="A151" s="7">
        <v>46241.208333333336</v>
      </c>
      <c r="B151" s="6">
        <v>0</v>
      </c>
      <c r="C151" s="13">
        <v>0</v>
      </c>
      <c r="D151" s="18">
        <f>+B151+C151</f>
        <v>0</v>
      </c>
      <c r="E151" s="14">
        <v>1067.8689999999999</v>
      </c>
      <c r="F151" s="18">
        <f t="shared" si="14"/>
        <v>0</v>
      </c>
      <c r="G151" s="18">
        <f t="shared" si="15"/>
        <v>1067.8689999999999</v>
      </c>
      <c r="H151" s="14">
        <v>56.08</v>
      </c>
      <c r="I151" s="18">
        <f t="shared" si="16"/>
        <v>0</v>
      </c>
      <c r="J151" s="18">
        <f t="shared" si="17"/>
        <v>56.08</v>
      </c>
      <c r="K151" s="14">
        <v>3.16</v>
      </c>
      <c r="L151" s="18">
        <f t="shared" si="18"/>
        <v>0</v>
      </c>
      <c r="M151" s="18">
        <f t="shared" si="19"/>
        <v>3.16</v>
      </c>
      <c r="N151" s="15">
        <f t="shared" si="20"/>
        <v>1127.1089999999999</v>
      </c>
      <c r="O151" s="15">
        <f>+N151-P151</f>
        <v>0</v>
      </c>
      <c r="P151" s="15">
        <f>+IF(N151&gt;D151,N151-D151,0)</f>
        <v>1127.1089999999999</v>
      </c>
      <c r="Q151" s="5">
        <f>+IF(P151=0,P151,P151/N151)</f>
        <v>1</v>
      </c>
    </row>
    <row r="152" spans="1:17" x14ac:dyDescent="0.25">
      <c r="A152" s="7">
        <v>46241.25</v>
      </c>
      <c r="B152" s="6">
        <v>69.3</v>
      </c>
      <c r="C152" s="13">
        <v>0</v>
      </c>
      <c r="D152" s="18">
        <f>+B152+C152</f>
        <v>69.3</v>
      </c>
      <c r="E152" s="14">
        <v>3.15</v>
      </c>
      <c r="F152" s="18">
        <f t="shared" si="14"/>
        <v>3.15</v>
      </c>
      <c r="G152" s="18">
        <f t="shared" si="15"/>
        <v>0</v>
      </c>
      <c r="H152" s="14">
        <v>48.4</v>
      </c>
      <c r="I152" s="18">
        <f t="shared" si="16"/>
        <v>48.4</v>
      </c>
      <c r="J152" s="18">
        <f t="shared" si="17"/>
        <v>0</v>
      </c>
      <c r="K152" s="14">
        <v>3.16</v>
      </c>
      <c r="L152" s="18">
        <f t="shared" si="18"/>
        <v>3.16</v>
      </c>
      <c r="M152" s="18">
        <f t="shared" si="19"/>
        <v>0</v>
      </c>
      <c r="N152" s="15">
        <f t="shared" si="20"/>
        <v>54.709999999999994</v>
      </c>
      <c r="O152" s="15">
        <f>+N152-P152</f>
        <v>54.709999999999994</v>
      </c>
      <c r="P152" s="15">
        <f>+IF(N152&gt;D152,N152-D152,0)</f>
        <v>0</v>
      </c>
      <c r="Q152" s="5">
        <f>+IF(P152=0,P152,P152/N152)</f>
        <v>0</v>
      </c>
    </row>
    <row r="153" spans="1:17" x14ac:dyDescent="0.25">
      <c r="A153" s="7">
        <v>46241.291666666664</v>
      </c>
      <c r="B153" s="6">
        <v>497.7</v>
      </c>
      <c r="C153" s="13">
        <v>0</v>
      </c>
      <c r="D153" s="18">
        <f>+B153+C153</f>
        <v>497.7</v>
      </c>
      <c r="E153" s="14">
        <v>0</v>
      </c>
      <c r="F153" s="18">
        <f t="shared" si="14"/>
        <v>0</v>
      </c>
      <c r="G153" s="18">
        <f t="shared" si="15"/>
        <v>0</v>
      </c>
      <c r="H153" s="14">
        <v>55.120000000000005</v>
      </c>
      <c r="I153" s="18">
        <f t="shared" si="16"/>
        <v>55.120000000000005</v>
      </c>
      <c r="J153" s="18">
        <f t="shared" si="17"/>
        <v>0</v>
      </c>
      <c r="K153" s="14">
        <v>2.44</v>
      </c>
      <c r="L153" s="18">
        <f t="shared" si="18"/>
        <v>2.44</v>
      </c>
      <c r="M153" s="18">
        <f t="shared" si="19"/>
        <v>0</v>
      </c>
      <c r="N153" s="15">
        <f t="shared" si="20"/>
        <v>57.56</v>
      </c>
      <c r="O153" s="15">
        <f>+N153-P153</f>
        <v>57.56</v>
      </c>
      <c r="P153" s="15">
        <f>+IF(N153&gt;D153,N153-D153,0)</f>
        <v>0</v>
      </c>
      <c r="Q153" s="5">
        <f>+IF(P153=0,P153,P153/N153)</f>
        <v>0</v>
      </c>
    </row>
    <row r="154" spans="1:17" x14ac:dyDescent="0.25">
      <c r="A154" s="7">
        <v>46241.333333333336</v>
      </c>
      <c r="B154" s="6">
        <v>330.75</v>
      </c>
      <c r="C154" s="13">
        <v>0</v>
      </c>
      <c r="D154" s="18">
        <f>+B154+C154</f>
        <v>330.75</v>
      </c>
      <c r="E154" s="14">
        <v>9.4499999999999993</v>
      </c>
      <c r="F154" s="18">
        <f t="shared" si="14"/>
        <v>9.4499999999999993</v>
      </c>
      <c r="G154" s="18">
        <f t="shared" si="15"/>
        <v>0</v>
      </c>
      <c r="H154" s="14">
        <v>142.84</v>
      </c>
      <c r="I154" s="18">
        <f t="shared" si="16"/>
        <v>142.84</v>
      </c>
      <c r="J154" s="18">
        <f t="shared" si="17"/>
        <v>0</v>
      </c>
      <c r="K154" s="14">
        <v>15.4</v>
      </c>
      <c r="L154" s="18">
        <f t="shared" si="18"/>
        <v>15.4</v>
      </c>
      <c r="M154" s="18">
        <f t="shared" si="19"/>
        <v>0</v>
      </c>
      <c r="N154" s="15">
        <f t="shared" si="20"/>
        <v>167.69</v>
      </c>
      <c r="O154" s="15">
        <f>+N154-P154</f>
        <v>167.69</v>
      </c>
      <c r="P154" s="15">
        <f>+IF(N154&gt;D154,N154-D154,0)</f>
        <v>0</v>
      </c>
      <c r="Q154" s="5">
        <f>+IF(P154=0,P154,P154/N154)</f>
        <v>0</v>
      </c>
    </row>
    <row r="155" spans="1:17" x14ac:dyDescent="0.25">
      <c r="A155" s="7">
        <v>46241.375</v>
      </c>
      <c r="B155" s="6">
        <v>904.05</v>
      </c>
      <c r="C155" s="13">
        <v>0.24</v>
      </c>
      <c r="D155" s="18">
        <f>+B155+C155</f>
        <v>904.29</v>
      </c>
      <c r="E155" s="14">
        <v>0</v>
      </c>
      <c r="F155" s="18">
        <f t="shared" si="14"/>
        <v>0</v>
      </c>
      <c r="G155" s="18">
        <f t="shared" si="15"/>
        <v>0</v>
      </c>
      <c r="H155" s="14">
        <v>65.199999999999989</v>
      </c>
      <c r="I155" s="18">
        <f t="shared" si="16"/>
        <v>65.199999999999989</v>
      </c>
      <c r="J155" s="18">
        <f t="shared" si="17"/>
        <v>0</v>
      </c>
      <c r="K155" s="14">
        <v>33.64</v>
      </c>
      <c r="L155" s="18">
        <f t="shared" si="18"/>
        <v>33.64</v>
      </c>
      <c r="M155" s="18">
        <f t="shared" si="19"/>
        <v>0</v>
      </c>
      <c r="N155" s="15">
        <f t="shared" si="20"/>
        <v>98.839999999999989</v>
      </c>
      <c r="O155" s="15">
        <f>+N155-P155</f>
        <v>98.839999999999989</v>
      </c>
      <c r="P155" s="15">
        <f>+IF(N155&gt;D155,N155-D155,0)</f>
        <v>0</v>
      </c>
      <c r="Q155" s="5">
        <f>+IF(P155=0,P155,P155/N155)</f>
        <v>0</v>
      </c>
    </row>
    <row r="156" spans="1:17" x14ac:dyDescent="0.25">
      <c r="A156" s="7">
        <v>46241.416666666664</v>
      </c>
      <c r="B156" s="6">
        <v>1471.05</v>
      </c>
      <c r="C156" s="13">
        <v>0.72</v>
      </c>
      <c r="D156" s="18">
        <f>+B156+C156</f>
        <v>1471.77</v>
      </c>
      <c r="E156" s="14">
        <v>0</v>
      </c>
      <c r="F156" s="18">
        <f t="shared" si="14"/>
        <v>0</v>
      </c>
      <c r="G156" s="18">
        <f t="shared" si="15"/>
        <v>0</v>
      </c>
      <c r="H156" s="14">
        <v>68.8</v>
      </c>
      <c r="I156" s="18">
        <f t="shared" si="16"/>
        <v>68.8</v>
      </c>
      <c r="J156" s="18">
        <f t="shared" si="17"/>
        <v>0</v>
      </c>
      <c r="K156" s="14">
        <v>47.800000000000004</v>
      </c>
      <c r="L156" s="18">
        <f t="shared" si="18"/>
        <v>47.800000000000004</v>
      </c>
      <c r="M156" s="18">
        <f t="shared" si="19"/>
        <v>0</v>
      </c>
      <c r="N156" s="15">
        <f t="shared" si="20"/>
        <v>116.6</v>
      </c>
      <c r="O156" s="15">
        <f>+N156-P156</f>
        <v>116.6</v>
      </c>
      <c r="P156" s="15">
        <f>+IF(N156&gt;D156,N156-D156,0)</f>
        <v>0</v>
      </c>
      <c r="Q156" s="5">
        <f>+IF(P156=0,P156,P156/N156)</f>
        <v>0</v>
      </c>
    </row>
    <row r="157" spans="1:17" x14ac:dyDescent="0.25">
      <c r="A157" s="7">
        <v>46241.458333333336</v>
      </c>
      <c r="B157" s="6">
        <v>1663.2</v>
      </c>
      <c r="C157" s="13">
        <v>14.64</v>
      </c>
      <c r="D157" s="18">
        <f>+B157+C157</f>
        <v>1677.8400000000001</v>
      </c>
      <c r="E157" s="14">
        <v>3.15</v>
      </c>
      <c r="F157" s="18">
        <f t="shared" si="14"/>
        <v>3.15</v>
      </c>
      <c r="G157" s="18">
        <f t="shared" si="15"/>
        <v>0</v>
      </c>
      <c r="H157" s="14">
        <v>35.32</v>
      </c>
      <c r="I157" s="18">
        <f t="shared" si="16"/>
        <v>35.32</v>
      </c>
      <c r="J157" s="18">
        <f t="shared" si="17"/>
        <v>0</v>
      </c>
      <c r="K157" s="14">
        <v>20.56</v>
      </c>
      <c r="L157" s="18">
        <f t="shared" si="18"/>
        <v>20.56</v>
      </c>
      <c r="M157" s="18">
        <f t="shared" si="19"/>
        <v>0</v>
      </c>
      <c r="N157" s="15">
        <f t="shared" si="20"/>
        <v>59.03</v>
      </c>
      <c r="O157" s="15">
        <f>+N157-P157</f>
        <v>59.03</v>
      </c>
      <c r="P157" s="15">
        <f>+IF(N157&gt;D157,N157-D157,0)</f>
        <v>0</v>
      </c>
      <c r="Q157" s="5">
        <f>+IF(P157=0,P157,P157/N157)</f>
        <v>0</v>
      </c>
    </row>
    <row r="158" spans="1:17" x14ac:dyDescent="0.25">
      <c r="A158" s="7">
        <v>46241.5</v>
      </c>
      <c r="B158" s="6">
        <v>2356.1999999999998</v>
      </c>
      <c r="C158" s="13">
        <v>13.56</v>
      </c>
      <c r="D158" s="18">
        <f>+B158+C158</f>
        <v>2369.7599999999998</v>
      </c>
      <c r="E158" s="14">
        <v>0</v>
      </c>
      <c r="F158" s="18">
        <f t="shared" si="14"/>
        <v>0</v>
      </c>
      <c r="G158" s="18">
        <f t="shared" si="15"/>
        <v>0</v>
      </c>
      <c r="H158" s="14">
        <v>58.84</v>
      </c>
      <c r="I158" s="18">
        <f t="shared" si="16"/>
        <v>58.84</v>
      </c>
      <c r="J158" s="18">
        <f t="shared" si="17"/>
        <v>0</v>
      </c>
      <c r="K158" s="14">
        <v>16.84</v>
      </c>
      <c r="L158" s="18">
        <f t="shared" si="18"/>
        <v>16.84</v>
      </c>
      <c r="M158" s="18">
        <f t="shared" si="19"/>
        <v>0</v>
      </c>
      <c r="N158" s="15">
        <f t="shared" si="20"/>
        <v>75.680000000000007</v>
      </c>
      <c r="O158" s="15">
        <f>+N158-P158</f>
        <v>75.680000000000007</v>
      </c>
      <c r="P158" s="15">
        <f>+IF(N158&gt;D158,N158-D158,0)</f>
        <v>0</v>
      </c>
      <c r="Q158" s="5">
        <f>+IF(P158=0,P158,P158/N158)</f>
        <v>0</v>
      </c>
    </row>
    <row r="159" spans="1:17" x14ac:dyDescent="0.25">
      <c r="A159" s="7">
        <v>46241.541666666664</v>
      </c>
      <c r="B159" s="6">
        <v>2759.4</v>
      </c>
      <c r="C159" s="13">
        <v>62.28</v>
      </c>
      <c r="D159" s="18">
        <f>+B159+C159</f>
        <v>2821.6800000000003</v>
      </c>
      <c r="E159" s="14">
        <v>0</v>
      </c>
      <c r="F159" s="18">
        <f t="shared" si="14"/>
        <v>0</v>
      </c>
      <c r="G159" s="18">
        <f t="shared" si="15"/>
        <v>0</v>
      </c>
      <c r="H159" s="14">
        <v>11.56</v>
      </c>
      <c r="I159" s="18">
        <f t="shared" si="16"/>
        <v>11.56</v>
      </c>
      <c r="J159" s="18">
        <f t="shared" si="17"/>
        <v>0</v>
      </c>
      <c r="K159" s="14">
        <v>31.119999999999997</v>
      </c>
      <c r="L159" s="18">
        <f t="shared" si="18"/>
        <v>31.119999999999997</v>
      </c>
      <c r="M159" s="18">
        <f t="shared" si="19"/>
        <v>0</v>
      </c>
      <c r="N159" s="15">
        <f t="shared" si="20"/>
        <v>42.68</v>
      </c>
      <c r="O159" s="15">
        <f>+N159-P159</f>
        <v>42.68</v>
      </c>
      <c r="P159" s="15">
        <f>+IF(N159&gt;D159,N159-D159,0)</f>
        <v>0</v>
      </c>
      <c r="Q159" s="5">
        <f>+IF(P159=0,P159,P159/N159)</f>
        <v>0</v>
      </c>
    </row>
    <row r="160" spans="1:17" x14ac:dyDescent="0.25">
      <c r="A160" s="7">
        <v>46241.583333333336</v>
      </c>
      <c r="B160" s="6">
        <v>1578.15</v>
      </c>
      <c r="C160" s="13">
        <v>5.04</v>
      </c>
      <c r="D160" s="18">
        <f>+B160+C160</f>
        <v>1583.19</v>
      </c>
      <c r="E160" s="14">
        <v>0</v>
      </c>
      <c r="F160" s="18">
        <f t="shared" si="14"/>
        <v>0</v>
      </c>
      <c r="G160" s="18">
        <f t="shared" si="15"/>
        <v>0</v>
      </c>
      <c r="H160" s="14">
        <v>36.159999999999997</v>
      </c>
      <c r="I160" s="18">
        <f t="shared" si="16"/>
        <v>36.159999999999997</v>
      </c>
      <c r="J160" s="18">
        <f t="shared" si="17"/>
        <v>0</v>
      </c>
      <c r="K160" s="14">
        <v>26.44</v>
      </c>
      <c r="L160" s="18">
        <f t="shared" si="18"/>
        <v>26.44</v>
      </c>
      <c r="M160" s="18">
        <f t="shared" si="19"/>
        <v>0</v>
      </c>
      <c r="N160" s="15">
        <f t="shared" si="20"/>
        <v>62.599999999999994</v>
      </c>
      <c r="O160" s="15">
        <f>+N160-P160</f>
        <v>62.599999999999994</v>
      </c>
      <c r="P160" s="15">
        <f>+IF(N160&gt;D160,N160-D160,0)</f>
        <v>0</v>
      </c>
      <c r="Q160" s="5">
        <f>+IF(P160=0,P160,P160/N160)</f>
        <v>0</v>
      </c>
    </row>
    <row r="161" spans="1:17" x14ac:dyDescent="0.25">
      <c r="A161" s="7">
        <v>46241.625</v>
      </c>
      <c r="B161" s="6">
        <v>1546.65</v>
      </c>
      <c r="C161" s="13">
        <v>1.8</v>
      </c>
      <c r="D161" s="18">
        <f>+B161+C161</f>
        <v>1548.45</v>
      </c>
      <c r="E161" s="14">
        <v>0</v>
      </c>
      <c r="F161" s="18">
        <f t="shared" si="14"/>
        <v>0</v>
      </c>
      <c r="G161" s="18">
        <f t="shared" si="15"/>
        <v>0</v>
      </c>
      <c r="H161" s="14">
        <v>31.96</v>
      </c>
      <c r="I161" s="18">
        <f t="shared" si="16"/>
        <v>31.96</v>
      </c>
      <c r="J161" s="18">
        <f t="shared" si="17"/>
        <v>0</v>
      </c>
      <c r="K161" s="14">
        <v>59.32</v>
      </c>
      <c r="L161" s="18">
        <f t="shared" si="18"/>
        <v>59.32</v>
      </c>
      <c r="M161" s="18">
        <f t="shared" si="19"/>
        <v>0</v>
      </c>
      <c r="N161" s="15">
        <f t="shared" si="20"/>
        <v>91.28</v>
      </c>
      <c r="O161" s="15">
        <f>+N161-P161</f>
        <v>91.28</v>
      </c>
      <c r="P161" s="15">
        <f>+IF(N161&gt;D161,N161-D161,0)</f>
        <v>0</v>
      </c>
      <c r="Q161" s="5">
        <f>+IF(P161=0,P161,P161/N161)</f>
        <v>0</v>
      </c>
    </row>
    <row r="162" spans="1:17" x14ac:dyDescent="0.25">
      <c r="A162" s="7">
        <v>46241.666666666664</v>
      </c>
      <c r="B162" s="6">
        <v>538.65</v>
      </c>
      <c r="C162" s="13">
        <v>0.36</v>
      </c>
      <c r="D162" s="18">
        <f>+B162+C162</f>
        <v>539.01</v>
      </c>
      <c r="E162" s="14">
        <v>31.5</v>
      </c>
      <c r="F162" s="18">
        <f t="shared" si="14"/>
        <v>31.5</v>
      </c>
      <c r="G162" s="18">
        <f t="shared" si="15"/>
        <v>0</v>
      </c>
      <c r="H162" s="14">
        <v>52.48</v>
      </c>
      <c r="I162" s="18">
        <f t="shared" si="16"/>
        <v>52.48</v>
      </c>
      <c r="J162" s="18">
        <f t="shared" si="17"/>
        <v>0</v>
      </c>
      <c r="K162" s="14">
        <v>52.12</v>
      </c>
      <c r="L162" s="18">
        <f t="shared" si="18"/>
        <v>52.12</v>
      </c>
      <c r="M162" s="18">
        <f t="shared" si="19"/>
        <v>0</v>
      </c>
      <c r="N162" s="15">
        <f t="shared" si="20"/>
        <v>136.1</v>
      </c>
      <c r="O162" s="15">
        <f>+N162-P162</f>
        <v>136.1</v>
      </c>
      <c r="P162" s="15">
        <f>+IF(N162&gt;D162,N162-D162,0)</f>
        <v>0</v>
      </c>
      <c r="Q162" s="5">
        <f>+IF(P162=0,P162,P162/N162)</f>
        <v>0</v>
      </c>
    </row>
    <row r="163" spans="1:17" x14ac:dyDescent="0.25">
      <c r="A163" s="7">
        <v>46241.708333333336</v>
      </c>
      <c r="B163" s="6">
        <v>538.65</v>
      </c>
      <c r="C163" s="13">
        <v>0.72</v>
      </c>
      <c r="D163" s="18">
        <f>+B163+C163</f>
        <v>539.37</v>
      </c>
      <c r="E163" s="14">
        <v>50.395000000000003</v>
      </c>
      <c r="F163" s="18">
        <f t="shared" si="14"/>
        <v>50.395000000000003</v>
      </c>
      <c r="G163" s="18">
        <f t="shared" si="15"/>
        <v>0</v>
      </c>
      <c r="H163" s="14">
        <v>44.68</v>
      </c>
      <c r="I163" s="18">
        <f t="shared" si="16"/>
        <v>44.68</v>
      </c>
      <c r="J163" s="18">
        <f t="shared" si="17"/>
        <v>0</v>
      </c>
      <c r="K163" s="14">
        <v>34.24</v>
      </c>
      <c r="L163" s="18">
        <f t="shared" si="18"/>
        <v>34.24</v>
      </c>
      <c r="M163" s="18">
        <f t="shared" si="19"/>
        <v>0</v>
      </c>
      <c r="N163" s="15">
        <f t="shared" si="20"/>
        <v>129.315</v>
      </c>
      <c r="O163" s="15">
        <f>+N163-P163</f>
        <v>129.315</v>
      </c>
      <c r="P163" s="15">
        <f>+IF(N163&gt;D163,N163-D163,0)</f>
        <v>0</v>
      </c>
      <c r="Q163" s="5">
        <f>+IF(P163=0,P163,P163/N163)</f>
        <v>0</v>
      </c>
    </row>
    <row r="164" spans="1:17" x14ac:dyDescent="0.25">
      <c r="A164" s="7">
        <v>46241.75</v>
      </c>
      <c r="B164" s="6">
        <v>12.6</v>
      </c>
      <c r="C164" s="13">
        <v>0</v>
      </c>
      <c r="D164" s="18">
        <f>+B164+C164</f>
        <v>12.6</v>
      </c>
      <c r="E164" s="14">
        <v>198.429</v>
      </c>
      <c r="F164" s="18">
        <f t="shared" si="14"/>
        <v>8.4963261505629362</v>
      </c>
      <c r="G164" s="18">
        <f t="shared" si="15"/>
        <v>189.93267384943707</v>
      </c>
      <c r="H164" s="14">
        <v>60.040000000000006</v>
      </c>
      <c r="I164" s="18">
        <f t="shared" si="16"/>
        <v>2.5707906711206476</v>
      </c>
      <c r="J164" s="18">
        <f t="shared" si="17"/>
        <v>57.469209328879359</v>
      </c>
      <c r="K164" s="14">
        <v>35.799999999999997</v>
      </c>
      <c r="L164" s="18">
        <f t="shared" si="18"/>
        <v>1.5328831783164389</v>
      </c>
      <c r="M164" s="18">
        <f t="shared" si="19"/>
        <v>34.267116821683558</v>
      </c>
      <c r="N164" s="15">
        <f t="shared" si="20"/>
        <v>294.26900000000001</v>
      </c>
      <c r="O164" s="15">
        <f>+N164-P164</f>
        <v>12.600000000000023</v>
      </c>
      <c r="P164" s="15">
        <f>+IF(N164&gt;D164,N164-D164,0)</f>
        <v>281.66899999999998</v>
      </c>
      <c r="Q164" s="5">
        <f>+IF(P164=0,P164,P164/N164)</f>
        <v>0.95718203412523906</v>
      </c>
    </row>
    <row r="165" spans="1:17" x14ac:dyDescent="0.25">
      <c r="A165" s="7">
        <v>46241.791666666664</v>
      </c>
      <c r="B165" s="6">
        <v>15.75</v>
      </c>
      <c r="C165" s="13">
        <v>0</v>
      </c>
      <c r="D165" s="18">
        <f>+B165+C165</f>
        <v>15.75</v>
      </c>
      <c r="E165" s="14">
        <v>47.245000000000005</v>
      </c>
      <c r="F165" s="18">
        <f t="shared" si="14"/>
        <v>4.5085204035263118</v>
      </c>
      <c r="G165" s="18">
        <f t="shared" si="15"/>
        <v>42.736479596473693</v>
      </c>
      <c r="H165" s="14">
        <v>81.16</v>
      </c>
      <c r="I165" s="18">
        <f t="shared" si="16"/>
        <v>7.7449786421884852</v>
      </c>
      <c r="J165" s="18">
        <f t="shared" si="17"/>
        <v>73.415021357811511</v>
      </c>
      <c r="K165" s="14">
        <v>36.64</v>
      </c>
      <c r="L165" s="18">
        <f t="shared" si="18"/>
        <v>3.4965009542851959</v>
      </c>
      <c r="M165" s="18">
        <f t="shared" si="19"/>
        <v>33.143499045714805</v>
      </c>
      <c r="N165" s="15">
        <f t="shared" si="20"/>
        <v>165.04500000000002</v>
      </c>
      <c r="O165" s="15">
        <f>+N165-P165</f>
        <v>15.75</v>
      </c>
      <c r="P165" s="15">
        <f>+IF(N165&gt;D165,N165-D165,0)</f>
        <v>149.29500000000002</v>
      </c>
      <c r="Q165" s="5">
        <f>+IF(P165=0,P165,P165/N165)</f>
        <v>0.90457148050531677</v>
      </c>
    </row>
    <row r="166" spans="1:17" x14ac:dyDescent="0.25">
      <c r="A166" s="7">
        <v>46241.833333333336</v>
      </c>
      <c r="B166" s="6">
        <v>0</v>
      </c>
      <c r="C166" s="13">
        <v>0</v>
      </c>
      <c r="D166" s="18">
        <f>+B166+C166</f>
        <v>0</v>
      </c>
      <c r="E166" s="14">
        <v>740.17</v>
      </c>
      <c r="F166" s="18">
        <f t="shared" si="14"/>
        <v>0</v>
      </c>
      <c r="G166" s="18">
        <f t="shared" si="15"/>
        <v>740.17</v>
      </c>
      <c r="H166" s="14">
        <v>134.44</v>
      </c>
      <c r="I166" s="18">
        <f t="shared" si="16"/>
        <v>0</v>
      </c>
      <c r="J166" s="18">
        <f t="shared" si="17"/>
        <v>134.44</v>
      </c>
      <c r="K166" s="14">
        <v>10.48</v>
      </c>
      <c r="L166" s="18">
        <f t="shared" si="18"/>
        <v>0</v>
      </c>
      <c r="M166" s="18">
        <f t="shared" si="19"/>
        <v>10.48</v>
      </c>
      <c r="N166" s="15">
        <f t="shared" si="20"/>
        <v>885.08999999999992</v>
      </c>
      <c r="O166" s="15">
        <f>+N166-P166</f>
        <v>0</v>
      </c>
      <c r="P166" s="15">
        <f>+IF(N166&gt;D166,N166-D166,0)</f>
        <v>885.08999999999992</v>
      </c>
      <c r="Q166" s="5">
        <f>+IF(P166=0,P166,P166/N166)</f>
        <v>1</v>
      </c>
    </row>
    <row r="167" spans="1:17" x14ac:dyDescent="0.25">
      <c r="A167" s="7">
        <v>46241.875</v>
      </c>
      <c r="B167" s="6">
        <v>0</v>
      </c>
      <c r="C167" s="13">
        <v>0</v>
      </c>
      <c r="D167" s="18">
        <f>+B167+C167</f>
        <v>0</v>
      </c>
      <c r="E167" s="14">
        <v>1209.47</v>
      </c>
      <c r="F167" s="18">
        <f t="shared" si="14"/>
        <v>0</v>
      </c>
      <c r="G167" s="18">
        <f t="shared" si="15"/>
        <v>1209.47</v>
      </c>
      <c r="H167" s="14">
        <v>126.88</v>
      </c>
      <c r="I167" s="18">
        <f t="shared" si="16"/>
        <v>0</v>
      </c>
      <c r="J167" s="18">
        <f t="shared" si="17"/>
        <v>126.88</v>
      </c>
      <c r="K167" s="14">
        <v>3.28</v>
      </c>
      <c r="L167" s="18">
        <f t="shared" si="18"/>
        <v>0</v>
      </c>
      <c r="M167" s="18">
        <f t="shared" si="19"/>
        <v>3.28</v>
      </c>
      <c r="N167" s="15">
        <f t="shared" si="20"/>
        <v>1339.6299999999999</v>
      </c>
      <c r="O167" s="15">
        <f>+N167-P167</f>
        <v>0</v>
      </c>
      <c r="P167" s="15">
        <f>+IF(N167&gt;D167,N167-D167,0)</f>
        <v>1339.6299999999999</v>
      </c>
      <c r="Q167" s="5">
        <f>+IF(P167=0,P167,P167/N167)</f>
        <v>1</v>
      </c>
    </row>
    <row r="168" spans="1:17" x14ac:dyDescent="0.25">
      <c r="A168" s="7">
        <v>46241.916666666664</v>
      </c>
      <c r="B168" s="6">
        <v>0</v>
      </c>
      <c r="C168" s="13">
        <v>0</v>
      </c>
      <c r="D168" s="18">
        <f>+B168+C168</f>
        <v>0</v>
      </c>
      <c r="E168" s="14">
        <v>1209.6210000000001</v>
      </c>
      <c r="F168" s="18">
        <f t="shared" si="14"/>
        <v>0</v>
      </c>
      <c r="G168" s="18">
        <f t="shared" si="15"/>
        <v>1209.6210000000001</v>
      </c>
      <c r="H168" s="14">
        <v>116.92</v>
      </c>
      <c r="I168" s="18">
        <f t="shared" si="16"/>
        <v>0</v>
      </c>
      <c r="J168" s="18">
        <f t="shared" si="17"/>
        <v>116.92</v>
      </c>
      <c r="K168" s="14">
        <v>2.44</v>
      </c>
      <c r="L168" s="18">
        <f t="shared" si="18"/>
        <v>0</v>
      </c>
      <c r="M168" s="18">
        <f t="shared" si="19"/>
        <v>2.44</v>
      </c>
      <c r="N168" s="15">
        <f t="shared" si="20"/>
        <v>1328.9810000000002</v>
      </c>
      <c r="O168" s="15">
        <f>+N168-P168</f>
        <v>0</v>
      </c>
      <c r="P168" s="15">
        <f>+IF(N168&gt;D168,N168-D168,0)</f>
        <v>1328.9810000000002</v>
      </c>
      <c r="Q168" s="5">
        <f>+IF(P168=0,P168,P168/N168)</f>
        <v>1</v>
      </c>
    </row>
    <row r="169" spans="1:17" x14ac:dyDescent="0.25">
      <c r="A169" s="7">
        <v>46241.958333333336</v>
      </c>
      <c r="B169" s="6">
        <v>0</v>
      </c>
      <c r="C169" s="13">
        <v>0</v>
      </c>
      <c r="D169" s="18">
        <f>+B169+C169</f>
        <v>0</v>
      </c>
      <c r="E169" s="14">
        <v>1137.17</v>
      </c>
      <c r="F169" s="18">
        <f t="shared" si="14"/>
        <v>0</v>
      </c>
      <c r="G169" s="18">
        <f t="shared" si="15"/>
        <v>1137.17</v>
      </c>
      <c r="H169" s="14">
        <v>112.12</v>
      </c>
      <c r="I169" s="18">
        <f t="shared" si="16"/>
        <v>0</v>
      </c>
      <c r="J169" s="18">
        <f t="shared" si="17"/>
        <v>112.12</v>
      </c>
      <c r="K169" s="14">
        <v>2.44</v>
      </c>
      <c r="L169" s="18">
        <f t="shared" si="18"/>
        <v>0</v>
      </c>
      <c r="M169" s="18">
        <f t="shared" si="19"/>
        <v>2.44</v>
      </c>
      <c r="N169" s="15">
        <f t="shared" si="20"/>
        <v>1251.73</v>
      </c>
      <c r="O169" s="15">
        <f>+N169-P169</f>
        <v>0</v>
      </c>
      <c r="P169" s="15">
        <f>+IF(N169&gt;D169,N169-D169,0)</f>
        <v>1251.73</v>
      </c>
      <c r="Q169" s="5">
        <f>+IF(P169=0,P169,P169/N169)</f>
        <v>1</v>
      </c>
    </row>
    <row r="170" spans="1:17" x14ac:dyDescent="0.25">
      <c r="A170" s="7">
        <v>46242</v>
      </c>
      <c r="B170" s="6">
        <v>0</v>
      </c>
      <c r="C170" s="13">
        <v>0</v>
      </c>
      <c r="D170" s="18">
        <f>+B170+C170</f>
        <v>0</v>
      </c>
      <c r="E170" s="14">
        <v>929.26600000000008</v>
      </c>
      <c r="F170" s="18">
        <f t="shared" si="14"/>
        <v>0</v>
      </c>
      <c r="G170" s="18">
        <f t="shared" si="15"/>
        <v>929.26600000000008</v>
      </c>
      <c r="H170" s="14">
        <v>93.759999999999991</v>
      </c>
      <c r="I170" s="18">
        <f t="shared" si="16"/>
        <v>0</v>
      </c>
      <c r="J170" s="18">
        <f t="shared" si="17"/>
        <v>93.759999999999991</v>
      </c>
      <c r="K170" s="14">
        <v>2.44</v>
      </c>
      <c r="L170" s="18">
        <f t="shared" si="18"/>
        <v>0</v>
      </c>
      <c r="M170" s="18">
        <f t="shared" si="19"/>
        <v>2.44</v>
      </c>
      <c r="N170" s="15">
        <f t="shared" si="20"/>
        <v>1025.4660000000001</v>
      </c>
      <c r="O170" s="15">
        <f>+N170-P170</f>
        <v>0</v>
      </c>
      <c r="P170" s="15">
        <f>+IF(N170&gt;D170,N170-D170,0)</f>
        <v>1025.4660000000001</v>
      </c>
      <c r="Q170" s="5">
        <f>+IF(P170=0,P170,P170/N170)</f>
        <v>1</v>
      </c>
    </row>
    <row r="171" spans="1:17" x14ac:dyDescent="0.25">
      <c r="A171" s="7">
        <v>46242.041666666664</v>
      </c>
      <c r="B171" s="6">
        <v>0</v>
      </c>
      <c r="C171" s="13">
        <v>0</v>
      </c>
      <c r="D171" s="18">
        <f>+B171+C171</f>
        <v>0</v>
      </c>
      <c r="E171" s="14">
        <v>63.001000000000005</v>
      </c>
      <c r="F171" s="18">
        <f t="shared" si="14"/>
        <v>0</v>
      </c>
      <c r="G171" s="18">
        <f t="shared" si="15"/>
        <v>63.001000000000005</v>
      </c>
      <c r="H171" s="14">
        <v>110.2</v>
      </c>
      <c r="I171" s="18">
        <f t="shared" si="16"/>
        <v>0</v>
      </c>
      <c r="J171" s="18">
        <f t="shared" si="17"/>
        <v>110.2</v>
      </c>
      <c r="K171" s="14">
        <v>2.44</v>
      </c>
      <c r="L171" s="18">
        <f t="shared" si="18"/>
        <v>0</v>
      </c>
      <c r="M171" s="18">
        <f t="shared" si="19"/>
        <v>2.44</v>
      </c>
      <c r="N171" s="15">
        <f t="shared" si="20"/>
        <v>175.64100000000002</v>
      </c>
      <c r="O171" s="15">
        <f>+N171-P171</f>
        <v>0</v>
      </c>
      <c r="P171" s="15">
        <f>+IF(N171&gt;D171,N171-D171,0)</f>
        <v>175.64100000000002</v>
      </c>
      <c r="Q171" s="5">
        <f>+IF(P171=0,P171,P171/N171)</f>
        <v>1</v>
      </c>
    </row>
    <row r="172" spans="1:17" x14ac:dyDescent="0.25">
      <c r="A172" s="7">
        <v>46242.083333333336</v>
      </c>
      <c r="B172" s="6">
        <v>0</v>
      </c>
      <c r="C172" s="13">
        <v>0</v>
      </c>
      <c r="D172" s="18">
        <f>+B172+C172</f>
        <v>0</v>
      </c>
      <c r="E172" s="14">
        <v>1187.5709999999999</v>
      </c>
      <c r="F172" s="18">
        <f t="shared" si="14"/>
        <v>0</v>
      </c>
      <c r="G172" s="18">
        <f t="shared" si="15"/>
        <v>1187.5709999999999</v>
      </c>
      <c r="H172" s="14">
        <v>109.36</v>
      </c>
      <c r="I172" s="18">
        <f t="shared" si="16"/>
        <v>0</v>
      </c>
      <c r="J172" s="18">
        <f t="shared" si="17"/>
        <v>109.36</v>
      </c>
      <c r="K172" s="14">
        <v>2.3199999999999998</v>
      </c>
      <c r="L172" s="18">
        <f t="shared" si="18"/>
        <v>0</v>
      </c>
      <c r="M172" s="18">
        <f t="shared" si="19"/>
        <v>2.3199999999999998</v>
      </c>
      <c r="N172" s="15">
        <f t="shared" si="20"/>
        <v>1299.2509999999997</v>
      </c>
      <c r="O172" s="15">
        <f>+N172-P172</f>
        <v>0</v>
      </c>
      <c r="P172" s="15">
        <f>+IF(N172&gt;D172,N172-D172,0)</f>
        <v>1299.2509999999997</v>
      </c>
      <c r="Q172" s="5">
        <f>+IF(P172=0,P172,P172/N172)</f>
        <v>1</v>
      </c>
    </row>
    <row r="173" spans="1:17" x14ac:dyDescent="0.25">
      <c r="A173" s="7">
        <v>46242.125</v>
      </c>
      <c r="B173" s="6">
        <v>0</v>
      </c>
      <c r="C173" s="13">
        <v>0</v>
      </c>
      <c r="D173" s="18">
        <f>+B173+C173</f>
        <v>0</v>
      </c>
      <c r="E173" s="14">
        <v>1269.472</v>
      </c>
      <c r="F173" s="18">
        <f t="shared" si="14"/>
        <v>0</v>
      </c>
      <c r="G173" s="18">
        <f t="shared" si="15"/>
        <v>1269.472</v>
      </c>
      <c r="H173" s="14">
        <v>120.52</v>
      </c>
      <c r="I173" s="18">
        <f t="shared" si="16"/>
        <v>0</v>
      </c>
      <c r="J173" s="18">
        <f t="shared" si="17"/>
        <v>120.52</v>
      </c>
      <c r="K173" s="14">
        <v>2.3199999999999998</v>
      </c>
      <c r="L173" s="18">
        <f t="shared" si="18"/>
        <v>0</v>
      </c>
      <c r="M173" s="18">
        <f t="shared" si="19"/>
        <v>2.3199999999999998</v>
      </c>
      <c r="N173" s="15">
        <f t="shared" si="20"/>
        <v>1392.3119999999999</v>
      </c>
      <c r="O173" s="15">
        <f>+N173-P173</f>
        <v>0</v>
      </c>
      <c r="P173" s="15">
        <f>+IF(N173&gt;D173,N173-D173,0)</f>
        <v>1392.3119999999999</v>
      </c>
      <c r="Q173" s="5">
        <f>+IF(P173=0,P173,P173/N173)</f>
        <v>1</v>
      </c>
    </row>
    <row r="174" spans="1:17" x14ac:dyDescent="0.25">
      <c r="A174" s="7">
        <v>46242.166666666664</v>
      </c>
      <c r="B174" s="6">
        <v>0</v>
      </c>
      <c r="C174" s="13">
        <v>0</v>
      </c>
      <c r="D174" s="18">
        <f>+B174+C174</f>
        <v>0</v>
      </c>
      <c r="E174" s="14">
        <v>1269.472</v>
      </c>
      <c r="F174" s="18">
        <f t="shared" si="14"/>
        <v>0</v>
      </c>
      <c r="G174" s="18">
        <f t="shared" si="15"/>
        <v>1269.472</v>
      </c>
      <c r="H174" s="14">
        <v>94.240000000000009</v>
      </c>
      <c r="I174" s="18">
        <f t="shared" si="16"/>
        <v>0</v>
      </c>
      <c r="J174" s="18">
        <f t="shared" si="17"/>
        <v>94.240000000000009</v>
      </c>
      <c r="K174" s="14">
        <v>2.3199999999999998</v>
      </c>
      <c r="L174" s="18">
        <f t="shared" si="18"/>
        <v>0</v>
      </c>
      <c r="M174" s="18">
        <f t="shared" si="19"/>
        <v>2.3199999999999998</v>
      </c>
      <c r="N174" s="15">
        <f t="shared" si="20"/>
        <v>1366.0319999999999</v>
      </c>
      <c r="O174" s="15">
        <f>+N174-P174</f>
        <v>0</v>
      </c>
      <c r="P174" s="15">
        <f>+IF(N174&gt;D174,N174-D174,0)</f>
        <v>1366.0319999999999</v>
      </c>
      <c r="Q174" s="5">
        <f>+IF(P174=0,P174,P174/N174)</f>
        <v>1</v>
      </c>
    </row>
    <row r="175" spans="1:17" x14ac:dyDescent="0.25">
      <c r="A175" s="7">
        <v>46242.208333333336</v>
      </c>
      <c r="B175" s="6">
        <v>0</v>
      </c>
      <c r="C175" s="13">
        <v>0</v>
      </c>
      <c r="D175" s="18">
        <f>+B175+C175</f>
        <v>0</v>
      </c>
      <c r="E175" s="14">
        <v>1156.07</v>
      </c>
      <c r="F175" s="18">
        <f t="shared" si="14"/>
        <v>0</v>
      </c>
      <c r="G175" s="18">
        <f t="shared" si="15"/>
        <v>1156.07</v>
      </c>
      <c r="H175" s="14">
        <v>64.600000000000009</v>
      </c>
      <c r="I175" s="18">
        <f t="shared" si="16"/>
        <v>0</v>
      </c>
      <c r="J175" s="18">
        <f t="shared" si="17"/>
        <v>64.600000000000009</v>
      </c>
      <c r="K175" s="14">
        <v>3.04</v>
      </c>
      <c r="L175" s="18">
        <f t="shared" si="18"/>
        <v>0</v>
      </c>
      <c r="M175" s="18">
        <f t="shared" si="19"/>
        <v>3.04</v>
      </c>
      <c r="N175" s="15">
        <f t="shared" si="20"/>
        <v>1223.7099999999998</v>
      </c>
      <c r="O175" s="15">
        <f>+N175-P175</f>
        <v>0</v>
      </c>
      <c r="P175" s="15">
        <f>+IF(N175&gt;D175,N175-D175,0)</f>
        <v>1223.7099999999998</v>
      </c>
      <c r="Q175" s="5">
        <f>+IF(P175=0,P175,P175/N175)</f>
        <v>1</v>
      </c>
    </row>
    <row r="176" spans="1:17" x14ac:dyDescent="0.25">
      <c r="A176" s="7">
        <v>46242.25</v>
      </c>
      <c r="B176" s="6">
        <v>69.3</v>
      </c>
      <c r="C176" s="13">
        <v>0</v>
      </c>
      <c r="D176" s="18">
        <f>+B176+C176</f>
        <v>69.3</v>
      </c>
      <c r="E176" s="14">
        <v>0</v>
      </c>
      <c r="F176" s="18">
        <f t="shared" si="14"/>
        <v>0</v>
      </c>
      <c r="G176" s="18">
        <f t="shared" si="15"/>
        <v>0</v>
      </c>
      <c r="H176" s="14">
        <v>45.64</v>
      </c>
      <c r="I176" s="18">
        <f t="shared" si="16"/>
        <v>45.64</v>
      </c>
      <c r="J176" s="18">
        <f t="shared" si="17"/>
        <v>0</v>
      </c>
      <c r="K176" s="14">
        <v>2.56</v>
      </c>
      <c r="L176" s="18">
        <f t="shared" si="18"/>
        <v>2.56</v>
      </c>
      <c r="M176" s="18">
        <f t="shared" si="19"/>
        <v>0</v>
      </c>
      <c r="N176" s="15">
        <f t="shared" si="20"/>
        <v>48.2</v>
      </c>
      <c r="O176" s="15">
        <f>+N176-P176</f>
        <v>48.2</v>
      </c>
      <c r="P176" s="15">
        <f>+IF(N176&gt;D176,N176-D176,0)</f>
        <v>0</v>
      </c>
      <c r="Q176" s="5">
        <f>+IF(P176=0,P176,P176/N176)</f>
        <v>0</v>
      </c>
    </row>
    <row r="177" spans="1:17" x14ac:dyDescent="0.25">
      <c r="A177" s="7">
        <v>46242.291666666664</v>
      </c>
      <c r="B177" s="6">
        <v>507.15</v>
      </c>
      <c r="C177" s="13">
        <v>1.32</v>
      </c>
      <c r="D177" s="18">
        <f>+B177+C177</f>
        <v>508.46999999999997</v>
      </c>
      <c r="E177" s="14">
        <v>0</v>
      </c>
      <c r="F177" s="18">
        <f t="shared" si="14"/>
        <v>0</v>
      </c>
      <c r="G177" s="18">
        <f t="shared" si="15"/>
        <v>0</v>
      </c>
      <c r="H177" s="14">
        <v>31.36</v>
      </c>
      <c r="I177" s="18">
        <f t="shared" si="16"/>
        <v>31.36</v>
      </c>
      <c r="J177" s="18">
        <f t="shared" si="17"/>
        <v>0</v>
      </c>
      <c r="K177" s="14">
        <v>1.84</v>
      </c>
      <c r="L177" s="18">
        <f t="shared" si="18"/>
        <v>1.84</v>
      </c>
      <c r="M177" s="18">
        <f t="shared" si="19"/>
        <v>0</v>
      </c>
      <c r="N177" s="15">
        <f t="shared" si="20"/>
        <v>33.200000000000003</v>
      </c>
      <c r="O177" s="15">
        <f>+N177-P177</f>
        <v>33.200000000000003</v>
      </c>
      <c r="P177" s="15">
        <f>+IF(N177&gt;D177,N177-D177,0)</f>
        <v>0</v>
      </c>
      <c r="Q177" s="5">
        <f>+IF(P177=0,P177,P177/N177)</f>
        <v>0</v>
      </c>
    </row>
    <row r="178" spans="1:17" x14ac:dyDescent="0.25">
      <c r="A178" s="7">
        <v>46242.333333333336</v>
      </c>
      <c r="B178" s="6">
        <v>570.15</v>
      </c>
      <c r="C178" s="13">
        <v>0</v>
      </c>
      <c r="D178" s="18">
        <f>+B178+C178</f>
        <v>570.15</v>
      </c>
      <c r="E178" s="14">
        <v>0</v>
      </c>
      <c r="F178" s="18">
        <f t="shared" si="14"/>
        <v>0</v>
      </c>
      <c r="G178" s="18">
        <f t="shared" si="15"/>
        <v>0</v>
      </c>
      <c r="H178" s="14">
        <v>114.76</v>
      </c>
      <c r="I178" s="18">
        <f t="shared" si="16"/>
        <v>114.76</v>
      </c>
      <c r="J178" s="18">
        <f t="shared" si="17"/>
        <v>0</v>
      </c>
      <c r="K178" s="14">
        <v>11.08</v>
      </c>
      <c r="L178" s="18">
        <f t="shared" si="18"/>
        <v>11.08</v>
      </c>
      <c r="M178" s="18">
        <f t="shared" si="19"/>
        <v>0</v>
      </c>
      <c r="N178" s="15">
        <f t="shared" si="20"/>
        <v>125.84</v>
      </c>
      <c r="O178" s="15">
        <f>+N178-P178</f>
        <v>125.84</v>
      </c>
      <c r="P178" s="15">
        <f>+IF(N178&gt;D178,N178-D178,0)</f>
        <v>0</v>
      </c>
      <c r="Q178" s="5">
        <f>+IF(P178=0,P178,P178/N178)</f>
        <v>0</v>
      </c>
    </row>
    <row r="179" spans="1:17" x14ac:dyDescent="0.25">
      <c r="A179" s="7">
        <v>46242.375</v>
      </c>
      <c r="B179" s="6">
        <v>1055.25</v>
      </c>
      <c r="C179" s="13">
        <v>0.84</v>
      </c>
      <c r="D179" s="18">
        <f>+B179+C179</f>
        <v>1056.0899999999999</v>
      </c>
      <c r="E179" s="14">
        <v>0</v>
      </c>
      <c r="F179" s="18">
        <f t="shared" si="14"/>
        <v>0</v>
      </c>
      <c r="G179" s="18">
        <f t="shared" si="15"/>
        <v>0</v>
      </c>
      <c r="H179" s="14">
        <v>52</v>
      </c>
      <c r="I179" s="18">
        <f t="shared" si="16"/>
        <v>52</v>
      </c>
      <c r="J179" s="18">
        <f t="shared" si="17"/>
        <v>0</v>
      </c>
      <c r="K179" s="14">
        <v>39.04</v>
      </c>
      <c r="L179" s="18">
        <f t="shared" si="18"/>
        <v>39.04</v>
      </c>
      <c r="M179" s="18">
        <f t="shared" si="19"/>
        <v>0</v>
      </c>
      <c r="N179" s="15">
        <f t="shared" si="20"/>
        <v>91.039999999999992</v>
      </c>
      <c r="O179" s="15">
        <f>+N179-P179</f>
        <v>91.039999999999992</v>
      </c>
      <c r="P179" s="15">
        <f>+IF(N179&gt;D179,N179-D179,0)</f>
        <v>0</v>
      </c>
      <c r="Q179" s="5">
        <f>+IF(P179=0,P179,P179/N179)</f>
        <v>0</v>
      </c>
    </row>
    <row r="180" spans="1:17" x14ac:dyDescent="0.25">
      <c r="A180" s="7">
        <v>46242.416666666664</v>
      </c>
      <c r="B180" s="6">
        <v>1423.8</v>
      </c>
      <c r="C180" s="13">
        <v>5.28</v>
      </c>
      <c r="D180" s="18">
        <f>+B180+C180</f>
        <v>1429.08</v>
      </c>
      <c r="E180" s="14">
        <v>0</v>
      </c>
      <c r="F180" s="18">
        <f t="shared" si="14"/>
        <v>0</v>
      </c>
      <c r="G180" s="18">
        <f t="shared" si="15"/>
        <v>0</v>
      </c>
      <c r="H180" s="14">
        <v>50.2</v>
      </c>
      <c r="I180" s="18">
        <f t="shared" si="16"/>
        <v>50.2</v>
      </c>
      <c r="J180" s="18">
        <f t="shared" si="17"/>
        <v>0</v>
      </c>
      <c r="K180" s="14">
        <v>26.68</v>
      </c>
      <c r="L180" s="18">
        <f t="shared" si="18"/>
        <v>26.68</v>
      </c>
      <c r="M180" s="18">
        <f t="shared" si="19"/>
        <v>0</v>
      </c>
      <c r="N180" s="15">
        <f t="shared" si="20"/>
        <v>76.88</v>
      </c>
      <c r="O180" s="15">
        <f>+N180-P180</f>
        <v>76.88</v>
      </c>
      <c r="P180" s="15">
        <f>+IF(N180&gt;D180,N180-D180,0)</f>
        <v>0</v>
      </c>
      <c r="Q180" s="5">
        <f>+IF(P180=0,P180,P180/N180)</f>
        <v>0</v>
      </c>
    </row>
    <row r="181" spans="1:17" x14ac:dyDescent="0.25">
      <c r="A181" s="7">
        <v>46242.458333333336</v>
      </c>
      <c r="B181" s="6">
        <v>1861.65</v>
      </c>
      <c r="C181" s="13">
        <v>29.76</v>
      </c>
      <c r="D181" s="18">
        <f>+B181+C181</f>
        <v>1891.41</v>
      </c>
      <c r="E181" s="14">
        <v>0</v>
      </c>
      <c r="F181" s="18">
        <f t="shared" si="14"/>
        <v>0</v>
      </c>
      <c r="G181" s="18">
        <f t="shared" si="15"/>
        <v>0</v>
      </c>
      <c r="H181" s="14">
        <v>9.879999999999999</v>
      </c>
      <c r="I181" s="18">
        <f t="shared" si="16"/>
        <v>9.879999999999999</v>
      </c>
      <c r="J181" s="18">
        <f t="shared" si="17"/>
        <v>0</v>
      </c>
      <c r="K181" s="14">
        <v>48.76</v>
      </c>
      <c r="L181" s="18">
        <f t="shared" si="18"/>
        <v>48.76</v>
      </c>
      <c r="M181" s="18">
        <f t="shared" si="19"/>
        <v>0</v>
      </c>
      <c r="N181" s="15">
        <f t="shared" si="20"/>
        <v>58.64</v>
      </c>
      <c r="O181" s="15">
        <f>+N181-P181</f>
        <v>58.64</v>
      </c>
      <c r="P181" s="15">
        <f>+IF(N181&gt;D181,N181-D181,0)</f>
        <v>0</v>
      </c>
      <c r="Q181" s="5">
        <f>+IF(P181=0,P181,P181/N181)</f>
        <v>0</v>
      </c>
    </row>
    <row r="182" spans="1:17" x14ac:dyDescent="0.25">
      <c r="A182" s="7">
        <v>46242.5</v>
      </c>
      <c r="B182" s="6">
        <v>1896.3</v>
      </c>
      <c r="C182" s="13">
        <v>8.8800000000000008</v>
      </c>
      <c r="D182" s="18">
        <f>+B182+C182</f>
        <v>1905.18</v>
      </c>
      <c r="E182" s="14">
        <v>0</v>
      </c>
      <c r="F182" s="18">
        <f t="shared" si="14"/>
        <v>0</v>
      </c>
      <c r="G182" s="18">
        <f t="shared" si="15"/>
        <v>0</v>
      </c>
      <c r="H182" s="14">
        <v>77.44</v>
      </c>
      <c r="I182" s="18">
        <f t="shared" si="16"/>
        <v>77.44</v>
      </c>
      <c r="J182" s="18">
        <f t="shared" si="17"/>
        <v>0</v>
      </c>
      <c r="K182" s="14">
        <v>49.96</v>
      </c>
      <c r="L182" s="18">
        <f t="shared" si="18"/>
        <v>49.96</v>
      </c>
      <c r="M182" s="18">
        <f t="shared" si="19"/>
        <v>0</v>
      </c>
      <c r="N182" s="15">
        <f t="shared" si="20"/>
        <v>127.4</v>
      </c>
      <c r="O182" s="15">
        <f>+N182-P182</f>
        <v>127.4</v>
      </c>
      <c r="P182" s="15">
        <f>+IF(N182&gt;D182,N182-D182,0)</f>
        <v>0</v>
      </c>
      <c r="Q182" s="5">
        <f>+IF(P182=0,P182,P182/N182)</f>
        <v>0</v>
      </c>
    </row>
    <row r="183" spans="1:17" x14ac:dyDescent="0.25">
      <c r="A183" s="7">
        <v>46242.541666666664</v>
      </c>
      <c r="B183" s="6">
        <v>960.75</v>
      </c>
      <c r="C183" s="13">
        <v>5.88</v>
      </c>
      <c r="D183" s="18">
        <f>+B183+C183</f>
        <v>966.63</v>
      </c>
      <c r="E183" s="14">
        <v>12.6</v>
      </c>
      <c r="F183" s="18">
        <f t="shared" si="14"/>
        <v>12.6</v>
      </c>
      <c r="G183" s="18">
        <f t="shared" si="15"/>
        <v>0</v>
      </c>
      <c r="H183" s="14">
        <v>73.599999999999994</v>
      </c>
      <c r="I183" s="18">
        <f t="shared" si="16"/>
        <v>73.599999999999994</v>
      </c>
      <c r="J183" s="18">
        <f t="shared" si="17"/>
        <v>0</v>
      </c>
      <c r="K183" s="14">
        <v>55.599999999999994</v>
      </c>
      <c r="L183" s="18">
        <f t="shared" si="18"/>
        <v>55.599999999999994</v>
      </c>
      <c r="M183" s="18">
        <f t="shared" si="19"/>
        <v>0</v>
      </c>
      <c r="N183" s="15">
        <f t="shared" si="20"/>
        <v>141.79999999999998</v>
      </c>
      <c r="O183" s="15">
        <f>+N183-P183</f>
        <v>141.79999999999998</v>
      </c>
      <c r="P183" s="15">
        <f>+IF(N183&gt;D183,N183-D183,0)</f>
        <v>0</v>
      </c>
      <c r="Q183" s="5">
        <f>+IF(P183=0,P183,P183/N183)</f>
        <v>0</v>
      </c>
    </row>
    <row r="184" spans="1:17" x14ac:dyDescent="0.25">
      <c r="A184" s="7">
        <v>46242.583333333336</v>
      </c>
      <c r="B184" s="6">
        <v>1020.6</v>
      </c>
      <c r="C184" s="13">
        <v>18.48</v>
      </c>
      <c r="D184" s="18">
        <f>+B184+C184</f>
        <v>1039.08</v>
      </c>
      <c r="E184" s="14">
        <v>3.15</v>
      </c>
      <c r="F184" s="18">
        <f t="shared" si="14"/>
        <v>3.15</v>
      </c>
      <c r="G184" s="18">
        <f t="shared" si="15"/>
        <v>0</v>
      </c>
      <c r="H184" s="14">
        <v>38.68</v>
      </c>
      <c r="I184" s="18">
        <f t="shared" si="16"/>
        <v>38.68</v>
      </c>
      <c r="J184" s="18">
        <f t="shared" si="17"/>
        <v>0</v>
      </c>
      <c r="K184" s="14">
        <v>41.2</v>
      </c>
      <c r="L184" s="18">
        <f t="shared" si="18"/>
        <v>41.2</v>
      </c>
      <c r="M184" s="18">
        <f t="shared" si="19"/>
        <v>0</v>
      </c>
      <c r="N184" s="15">
        <f t="shared" si="20"/>
        <v>83.03</v>
      </c>
      <c r="O184" s="15">
        <f>+N184-P184</f>
        <v>83.03</v>
      </c>
      <c r="P184" s="15">
        <f>+IF(N184&gt;D184,N184-D184,0)</f>
        <v>0</v>
      </c>
      <c r="Q184" s="5">
        <f>+IF(P184=0,P184,P184/N184)</f>
        <v>0</v>
      </c>
    </row>
    <row r="185" spans="1:17" x14ac:dyDescent="0.25">
      <c r="A185" s="7">
        <v>46242.625</v>
      </c>
      <c r="B185" s="6">
        <v>173.25</v>
      </c>
      <c r="C185" s="13">
        <v>0</v>
      </c>
      <c r="D185" s="18">
        <f>+B185+C185</f>
        <v>173.25</v>
      </c>
      <c r="E185" s="14">
        <v>252</v>
      </c>
      <c r="F185" s="18">
        <f t="shared" si="14"/>
        <v>115.84323922734026</v>
      </c>
      <c r="G185" s="18">
        <f t="shared" si="15"/>
        <v>136.15676077265974</v>
      </c>
      <c r="H185" s="14">
        <v>82</v>
      </c>
      <c r="I185" s="18">
        <f t="shared" si="16"/>
        <v>37.695022288261519</v>
      </c>
      <c r="J185" s="18">
        <f t="shared" si="17"/>
        <v>44.304977711738481</v>
      </c>
      <c r="K185" s="14">
        <v>42.88</v>
      </c>
      <c r="L185" s="18">
        <f t="shared" si="18"/>
        <v>19.711738484398218</v>
      </c>
      <c r="M185" s="18">
        <f t="shared" si="19"/>
        <v>23.168261515601785</v>
      </c>
      <c r="N185" s="15">
        <f t="shared" si="20"/>
        <v>376.88</v>
      </c>
      <c r="O185" s="15">
        <f>+N185-P185</f>
        <v>173.25</v>
      </c>
      <c r="P185" s="15">
        <f>+IF(N185&gt;D185,N185-D185,0)</f>
        <v>203.63</v>
      </c>
      <c r="Q185" s="5">
        <f>+IF(P185=0,P185,P185/N185)</f>
        <v>0.54030460624071319</v>
      </c>
    </row>
    <row r="186" spans="1:17" x14ac:dyDescent="0.25">
      <c r="A186" s="7">
        <v>46242.666666666664</v>
      </c>
      <c r="B186" s="6">
        <v>296.10000000000002</v>
      </c>
      <c r="C186" s="13">
        <v>10.44</v>
      </c>
      <c r="D186" s="18">
        <f>+B186+C186</f>
        <v>306.54000000000002</v>
      </c>
      <c r="E186" s="14">
        <v>252</v>
      </c>
      <c r="F186" s="18">
        <f t="shared" si="14"/>
        <v>227.17350899894132</v>
      </c>
      <c r="G186" s="18">
        <f t="shared" si="15"/>
        <v>24.826491001058699</v>
      </c>
      <c r="H186" s="14">
        <v>40.840000000000003</v>
      </c>
      <c r="I186" s="18">
        <f t="shared" si="16"/>
        <v>36.816532172685569</v>
      </c>
      <c r="J186" s="18">
        <f t="shared" si="17"/>
        <v>4.023467827314434</v>
      </c>
      <c r="K186" s="14">
        <v>47.199999999999996</v>
      </c>
      <c r="L186" s="18">
        <f t="shared" si="18"/>
        <v>42.549958828373128</v>
      </c>
      <c r="M186" s="18">
        <f t="shared" si="19"/>
        <v>4.6500411716268673</v>
      </c>
      <c r="N186" s="15">
        <f t="shared" si="20"/>
        <v>340.04</v>
      </c>
      <c r="O186" s="15">
        <f>+N186-P186</f>
        <v>306.54000000000002</v>
      </c>
      <c r="P186" s="15">
        <f>+IF(N186&gt;D186,N186-D186,0)</f>
        <v>33.5</v>
      </c>
      <c r="Q186" s="5">
        <f>+IF(P186=0,P186,P186/N186)</f>
        <v>9.8517821432772615E-2</v>
      </c>
    </row>
    <row r="187" spans="1:17" x14ac:dyDescent="0.25">
      <c r="A187" s="7">
        <v>46242.708333333336</v>
      </c>
      <c r="B187" s="6">
        <v>18.899999999999999</v>
      </c>
      <c r="C187" s="13">
        <v>0</v>
      </c>
      <c r="D187" s="18">
        <f>+B187+C187</f>
        <v>18.899999999999999</v>
      </c>
      <c r="E187" s="14">
        <v>588.98700000000008</v>
      </c>
      <c r="F187" s="18">
        <f t="shared" si="14"/>
        <v>15.60160488965073</v>
      </c>
      <c r="G187" s="18">
        <f t="shared" si="15"/>
        <v>573.38539511034935</v>
      </c>
      <c r="H187" s="14">
        <v>85.84</v>
      </c>
      <c r="I187" s="18">
        <f t="shared" si="16"/>
        <v>2.273805302540822</v>
      </c>
      <c r="J187" s="18">
        <f t="shared" si="17"/>
        <v>83.566194697459181</v>
      </c>
      <c r="K187" s="14">
        <v>38.68</v>
      </c>
      <c r="L187" s="18">
        <f t="shared" si="18"/>
        <v>1.024589807808475</v>
      </c>
      <c r="M187" s="18">
        <f t="shared" si="19"/>
        <v>37.655410192191525</v>
      </c>
      <c r="N187" s="15">
        <f t="shared" si="20"/>
        <v>713.50700000000006</v>
      </c>
      <c r="O187" s="15">
        <f>+N187-P187</f>
        <v>18.899999999999977</v>
      </c>
      <c r="P187" s="15">
        <f>+IF(N187&gt;D187,N187-D187,0)</f>
        <v>694.60700000000008</v>
      </c>
      <c r="Q187" s="5">
        <f>+IF(P187=0,P187,P187/N187)</f>
        <v>0.97351112182501365</v>
      </c>
    </row>
    <row r="188" spans="1:17" x14ac:dyDescent="0.25">
      <c r="A188" s="7">
        <v>46242.75</v>
      </c>
      <c r="B188" s="6">
        <v>15.75</v>
      </c>
      <c r="C188" s="13">
        <v>0</v>
      </c>
      <c r="D188" s="18">
        <f>+B188+C188</f>
        <v>15.75</v>
      </c>
      <c r="E188" s="14">
        <v>340.16300000000001</v>
      </c>
      <c r="F188" s="18">
        <f t="shared" si="14"/>
        <v>12.754806650747696</v>
      </c>
      <c r="G188" s="18">
        <f t="shared" si="15"/>
        <v>327.40819334925231</v>
      </c>
      <c r="H188" s="14">
        <v>54.16</v>
      </c>
      <c r="I188" s="18">
        <f t="shared" si="16"/>
        <v>2.0307920855721946</v>
      </c>
      <c r="J188" s="18">
        <f t="shared" si="17"/>
        <v>52.129207914427802</v>
      </c>
      <c r="K188" s="14">
        <v>25.72</v>
      </c>
      <c r="L188" s="18">
        <f t="shared" si="18"/>
        <v>0.96440126368014845</v>
      </c>
      <c r="M188" s="18">
        <f t="shared" si="19"/>
        <v>24.75559873631985</v>
      </c>
      <c r="N188" s="15">
        <f t="shared" si="20"/>
        <v>420.04300000000001</v>
      </c>
      <c r="O188" s="15">
        <f>+N188-P188</f>
        <v>15.75</v>
      </c>
      <c r="P188" s="15">
        <f>+IF(N188&gt;D188,N188-D188,0)</f>
        <v>404.29300000000001</v>
      </c>
      <c r="Q188" s="5">
        <f>+IF(P188=0,P188,P188/N188)</f>
        <v>0.96250383889268476</v>
      </c>
    </row>
    <row r="189" spans="1:17" x14ac:dyDescent="0.25">
      <c r="A189" s="7">
        <v>46242.791666666664</v>
      </c>
      <c r="B189" s="6">
        <v>12.6</v>
      </c>
      <c r="C189" s="13">
        <v>0</v>
      </c>
      <c r="D189" s="18">
        <f>+B189+C189</f>
        <v>12.6</v>
      </c>
      <c r="E189" s="14">
        <v>31.496999999999996</v>
      </c>
      <c r="F189" s="18">
        <f t="shared" si="14"/>
        <v>3.6578172668368687</v>
      </c>
      <c r="G189" s="18">
        <f t="shared" si="15"/>
        <v>27.839182733163128</v>
      </c>
      <c r="H189" s="14">
        <v>66.88</v>
      </c>
      <c r="I189" s="18">
        <f t="shared" si="16"/>
        <v>7.7669244310902528</v>
      </c>
      <c r="J189" s="18">
        <f t="shared" si="17"/>
        <v>59.113075568909743</v>
      </c>
      <c r="K189" s="14">
        <v>10.120000000000001</v>
      </c>
      <c r="L189" s="18">
        <f t="shared" si="18"/>
        <v>1.1752583020728675</v>
      </c>
      <c r="M189" s="18">
        <f t="shared" si="19"/>
        <v>8.9447416979271335</v>
      </c>
      <c r="N189" s="15">
        <f t="shared" si="20"/>
        <v>108.497</v>
      </c>
      <c r="O189" s="15">
        <f>+N189-P189</f>
        <v>12.599999999999994</v>
      </c>
      <c r="P189" s="15">
        <f>+IF(N189&gt;D189,N189-D189,0)</f>
        <v>95.897000000000006</v>
      </c>
      <c r="Q189" s="5">
        <f>+IF(P189=0,P189,P189/N189)</f>
        <v>0.88386775671216722</v>
      </c>
    </row>
    <row r="190" spans="1:17" x14ac:dyDescent="0.25">
      <c r="A190" s="7">
        <v>46242.833333333336</v>
      </c>
      <c r="B190" s="6">
        <v>0</v>
      </c>
      <c r="C190" s="13">
        <v>0</v>
      </c>
      <c r="D190" s="18">
        <f>+B190+C190</f>
        <v>0</v>
      </c>
      <c r="E190" s="14">
        <v>966.94600000000003</v>
      </c>
      <c r="F190" s="18">
        <f t="shared" si="14"/>
        <v>0</v>
      </c>
      <c r="G190" s="18">
        <f t="shared" si="15"/>
        <v>966.94600000000003</v>
      </c>
      <c r="H190" s="14">
        <v>89.32</v>
      </c>
      <c r="I190" s="18">
        <f t="shared" si="16"/>
        <v>0</v>
      </c>
      <c r="J190" s="18">
        <f t="shared" si="17"/>
        <v>89.32</v>
      </c>
      <c r="K190" s="14">
        <v>8.44</v>
      </c>
      <c r="L190" s="18">
        <f t="shared" si="18"/>
        <v>0</v>
      </c>
      <c r="M190" s="18">
        <f t="shared" si="19"/>
        <v>8.44</v>
      </c>
      <c r="N190" s="15">
        <f t="shared" si="20"/>
        <v>1064.7060000000001</v>
      </c>
      <c r="O190" s="15">
        <f>+N190-P190</f>
        <v>0</v>
      </c>
      <c r="P190" s="15">
        <f>+IF(N190&gt;D190,N190-D190,0)</f>
        <v>1064.7060000000001</v>
      </c>
      <c r="Q190" s="5">
        <f>+IF(P190=0,P190,P190/N190)</f>
        <v>1</v>
      </c>
    </row>
    <row r="191" spans="1:17" x14ac:dyDescent="0.25">
      <c r="A191" s="7">
        <v>46242.875</v>
      </c>
      <c r="B191" s="6">
        <v>0</v>
      </c>
      <c r="C191" s="13">
        <v>0</v>
      </c>
      <c r="D191" s="18">
        <f>+B191+C191</f>
        <v>0</v>
      </c>
      <c r="E191" s="14">
        <v>1266.164</v>
      </c>
      <c r="F191" s="18">
        <f t="shared" si="14"/>
        <v>0</v>
      </c>
      <c r="G191" s="18">
        <f t="shared" si="15"/>
        <v>1266.164</v>
      </c>
      <c r="H191" s="14">
        <v>56.08</v>
      </c>
      <c r="I191" s="18">
        <f t="shared" si="16"/>
        <v>0</v>
      </c>
      <c r="J191" s="18">
        <f t="shared" si="17"/>
        <v>56.08</v>
      </c>
      <c r="K191" s="14">
        <v>2.44</v>
      </c>
      <c r="L191" s="18">
        <f t="shared" si="18"/>
        <v>0</v>
      </c>
      <c r="M191" s="18">
        <f t="shared" si="19"/>
        <v>2.44</v>
      </c>
      <c r="N191" s="15">
        <f t="shared" si="20"/>
        <v>1324.684</v>
      </c>
      <c r="O191" s="15">
        <f>+N191-P191</f>
        <v>0</v>
      </c>
      <c r="P191" s="15">
        <f>+IF(N191&gt;D191,N191-D191,0)</f>
        <v>1324.684</v>
      </c>
      <c r="Q191" s="5">
        <f>+IF(P191=0,P191,P191/N191)</f>
        <v>1</v>
      </c>
    </row>
    <row r="192" spans="1:17" x14ac:dyDescent="0.25">
      <c r="A192" s="7">
        <v>46242.916666666664</v>
      </c>
      <c r="B192" s="6">
        <v>0</v>
      </c>
      <c r="C192" s="13">
        <v>0</v>
      </c>
      <c r="D192" s="18">
        <f>+B192+C192</f>
        <v>0</v>
      </c>
      <c r="E192" s="14">
        <v>916.66599999999994</v>
      </c>
      <c r="F192" s="18">
        <f t="shared" si="14"/>
        <v>0</v>
      </c>
      <c r="G192" s="18">
        <f t="shared" si="15"/>
        <v>916.66599999999994</v>
      </c>
      <c r="H192" s="14">
        <v>76.240000000000009</v>
      </c>
      <c r="I192" s="18">
        <f t="shared" si="16"/>
        <v>0</v>
      </c>
      <c r="J192" s="18">
        <f t="shared" si="17"/>
        <v>76.240000000000009</v>
      </c>
      <c r="K192" s="14">
        <v>2.8</v>
      </c>
      <c r="L192" s="18">
        <f t="shared" si="18"/>
        <v>0</v>
      </c>
      <c r="M192" s="18">
        <f t="shared" si="19"/>
        <v>2.8</v>
      </c>
      <c r="N192" s="15">
        <f t="shared" si="20"/>
        <v>995.7059999999999</v>
      </c>
      <c r="O192" s="15">
        <f>+N192-P192</f>
        <v>0</v>
      </c>
      <c r="P192" s="15">
        <f>+IF(N192&gt;D192,N192-D192,0)</f>
        <v>995.7059999999999</v>
      </c>
      <c r="Q192" s="5">
        <f>+IF(P192=0,P192,P192/N192)</f>
        <v>1</v>
      </c>
    </row>
    <row r="193" spans="1:17" x14ac:dyDescent="0.25">
      <c r="A193" s="7">
        <v>46242.958333333336</v>
      </c>
      <c r="B193" s="6">
        <v>0</v>
      </c>
      <c r="C193" s="13">
        <v>0</v>
      </c>
      <c r="D193" s="18">
        <f>+B193+C193</f>
        <v>0</v>
      </c>
      <c r="E193" s="14">
        <v>970.21699999999998</v>
      </c>
      <c r="F193" s="18">
        <f t="shared" si="14"/>
        <v>0</v>
      </c>
      <c r="G193" s="18">
        <f t="shared" si="15"/>
        <v>970.21699999999998</v>
      </c>
      <c r="H193" s="14">
        <v>53.68</v>
      </c>
      <c r="I193" s="18">
        <f t="shared" si="16"/>
        <v>0</v>
      </c>
      <c r="J193" s="18">
        <f t="shared" si="17"/>
        <v>53.68</v>
      </c>
      <c r="K193" s="14">
        <v>2.8</v>
      </c>
      <c r="L193" s="18">
        <f t="shared" si="18"/>
        <v>0</v>
      </c>
      <c r="M193" s="18">
        <f t="shared" si="19"/>
        <v>2.8</v>
      </c>
      <c r="N193" s="15">
        <f t="shared" si="20"/>
        <v>1026.6969999999999</v>
      </c>
      <c r="O193" s="15">
        <f>+N193-P193</f>
        <v>0</v>
      </c>
      <c r="P193" s="15">
        <f>+IF(N193&gt;D193,N193-D193,0)</f>
        <v>1026.6969999999999</v>
      </c>
      <c r="Q193" s="5">
        <f>+IF(P193=0,P193,P193/N193)</f>
        <v>1</v>
      </c>
    </row>
    <row r="194" spans="1:17" x14ac:dyDescent="0.25">
      <c r="A194" s="7">
        <v>46243</v>
      </c>
      <c r="B194" s="6">
        <v>0</v>
      </c>
      <c r="C194" s="13">
        <v>0</v>
      </c>
      <c r="D194" s="18">
        <f>+B194+C194</f>
        <v>0</v>
      </c>
      <c r="E194" s="14">
        <v>941.86599999999999</v>
      </c>
      <c r="F194" s="18">
        <f t="shared" si="14"/>
        <v>0</v>
      </c>
      <c r="G194" s="18">
        <f t="shared" si="15"/>
        <v>941.86599999999999</v>
      </c>
      <c r="H194" s="14">
        <v>34.96</v>
      </c>
      <c r="I194" s="18">
        <f t="shared" si="16"/>
        <v>0</v>
      </c>
      <c r="J194" s="18">
        <f t="shared" si="17"/>
        <v>34.96</v>
      </c>
      <c r="K194" s="14">
        <v>2.68</v>
      </c>
      <c r="L194" s="18">
        <f t="shared" si="18"/>
        <v>0</v>
      </c>
      <c r="M194" s="18">
        <f t="shared" si="19"/>
        <v>2.68</v>
      </c>
      <c r="N194" s="15">
        <f t="shared" si="20"/>
        <v>979.50599999999997</v>
      </c>
      <c r="O194" s="15">
        <f>+N194-P194</f>
        <v>0</v>
      </c>
      <c r="P194" s="15">
        <f>+IF(N194&gt;D194,N194-D194,0)</f>
        <v>979.50599999999997</v>
      </c>
      <c r="Q194" s="5">
        <f>+IF(P194=0,P194,P194/N194)</f>
        <v>1</v>
      </c>
    </row>
    <row r="195" spans="1:17" x14ac:dyDescent="0.25">
      <c r="A195" s="7">
        <v>46243.041666666664</v>
      </c>
      <c r="B195" s="6">
        <v>0</v>
      </c>
      <c r="C195" s="13">
        <v>0</v>
      </c>
      <c r="D195" s="18">
        <f>+B195+C195</f>
        <v>0</v>
      </c>
      <c r="E195" s="14">
        <v>59.850999999999999</v>
      </c>
      <c r="F195" s="18">
        <f t="shared" ref="F195:F258" si="21">+E195-G195</f>
        <v>0</v>
      </c>
      <c r="G195" s="18">
        <f t="shared" ref="G195:G258" si="22">+E195*Q195</f>
        <v>59.850999999999999</v>
      </c>
      <c r="H195" s="14">
        <v>59.32</v>
      </c>
      <c r="I195" s="18">
        <f t="shared" ref="I195:I258" si="23">+H195-J195</f>
        <v>0</v>
      </c>
      <c r="J195" s="18">
        <f t="shared" ref="J195:J258" si="24">+H195*Q195</f>
        <v>59.32</v>
      </c>
      <c r="K195" s="14">
        <v>2.8</v>
      </c>
      <c r="L195" s="18">
        <f t="shared" ref="L195:L258" si="25">+K195-M195</f>
        <v>0</v>
      </c>
      <c r="M195" s="18">
        <f t="shared" ref="M195:M258" si="26">+K195*Q195</f>
        <v>2.8</v>
      </c>
      <c r="N195" s="15">
        <f t="shared" ref="N195:N258" si="27">+E195+H195+K195</f>
        <v>121.97099999999999</v>
      </c>
      <c r="O195" s="15">
        <f>+N195-P195</f>
        <v>0</v>
      </c>
      <c r="P195" s="15">
        <f>+IF(N195&gt;D195,N195-D195,0)</f>
        <v>121.97099999999999</v>
      </c>
      <c r="Q195" s="5">
        <f>+IF(P195=0,P195,P195/N195)</f>
        <v>1</v>
      </c>
    </row>
    <row r="196" spans="1:17" x14ac:dyDescent="0.25">
      <c r="A196" s="7">
        <v>46243.083333333336</v>
      </c>
      <c r="B196" s="6">
        <v>0</v>
      </c>
      <c r="C196" s="13">
        <v>0</v>
      </c>
      <c r="D196" s="18">
        <f>+B196+C196</f>
        <v>0</v>
      </c>
      <c r="E196" s="14">
        <v>995.41700000000003</v>
      </c>
      <c r="F196" s="18">
        <f t="shared" si="21"/>
        <v>0</v>
      </c>
      <c r="G196" s="18">
        <f t="shared" si="22"/>
        <v>995.41700000000003</v>
      </c>
      <c r="H196" s="14">
        <v>58.48</v>
      </c>
      <c r="I196" s="18">
        <f t="shared" si="23"/>
        <v>0</v>
      </c>
      <c r="J196" s="18">
        <f t="shared" si="24"/>
        <v>58.48</v>
      </c>
      <c r="K196" s="14">
        <v>2.68</v>
      </c>
      <c r="L196" s="18">
        <f t="shared" si="25"/>
        <v>0</v>
      </c>
      <c r="M196" s="18">
        <f t="shared" si="26"/>
        <v>2.68</v>
      </c>
      <c r="N196" s="15">
        <f t="shared" si="27"/>
        <v>1056.577</v>
      </c>
      <c r="O196" s="15">
        <f>+N196-P196</f>
        <v>0</v>
      </c>
      <c r="P196" s="15">
        <f>+IF(N196&gt;D196,N196-D196,0)</f>
        <v>1056.577</v>
      </c>
      <c r="Q196" s="5">
        <f>+IF(P196=0,P196,P196/N196)</f>
        <v>1</v>
      </c>
    </row>
    <row r="197" spans="1:17" x14ac:dyDescent="0.25">
      <c r="A197" s="7">
        <v>46243.125</v>
      </c>
      <c r="B197" s="6">
        <v>0</v>
      </c>
      <c r="C197" s="13">
        <v>0</v>
      </c>
      <c r="D197" s="18">
        <f>+B197+C197</f>
        <v>0</v>
      </c>
      <c r="E197" s="14">
        <v>1017.4680000000001</v>
      </c>
      <c r="F197" s="18">
        <f t="shared" si="21"/>
        <v>0</v>
      </c>
      <c r="G197" s="18">
        <f t="shared" si="22"/>
        <v>1017.4680000000001</v>
      </c>
      <c r="H197" s="14">
        <v>60.879999999999995</v>
      </c>
      <c r="I197" s="18">
        <f t="shared" si="23"/>
        <v>0</v>
      </c>
      <c r="J197" s="18">
        <f t="shared" si="24"/>
        <v>60.879999999999995</v>
      </c>
      <c r="K197" s="14">
        <v>2.92</v>
      </c>
      <c r="L197" s="18">
        <f t="shared" si="25"/>
        <v>0</v>
      </c>
      <c r="M197" s="18">
        <f t="shared" si="26"/>
        <v>2.92</v>
      </c>
      <c r="N197" s="15">
        <f t="shared" si="27"/>
        <v>1081.268</v>
      </c>
      <c r="O197" s="15">
        <f>+N197-P197</f>
        <v>0</v>
      </c>
      <c r="P197" s="15">
        <f>+IF(N197&gt;D197,N197-D197,0)</f>
        <v>1081.268</v>
      </c>
      <c r="Q197" s="5">
        <f>+IF(P197=0,P197,P197/N197)</f>
        <v>1</v>
      </c>
    </row>
    <row r="198" spans="1:17" x14ac:dyDescent="0.25">
      <c r="A198" s="7">
        <v>46243.166666666664</v>
      </c>
      <c r="B198" s="6">
        <v>0</v>
      </c>
      <c r="C198" s="13">
        <v>0</v>
      </c>
      <c r="D198" s="18">
        <f>+B198+C198</f>
        <v>0</v>
      </c>
      <c r="E198" s="14">
        <v>941.86599999999999</v>
      </c>
      <c r="F198" s="18">
        <f t="shared" si="21"/>
        <v>0</v>
      </c>
      <c r="G198" s="18">
        <f t="shared" si="22"/>
        <v>941.86599999999999</v>
      </c>
      <c r="H198" s="14">
        <v>29.56</v>
      </c>
      <c r="I198" s="18">
        <f t="shared" si="23"/>
        <v>0</v>
      </c>
      <c r="J198" s="18">
        <f t="shared" si="24"/>
        <v>29.56</v>
      </c>
      <c r="K198" s="14">
        <v>3.04</v>
      </c>
      <c r="L198" s="18">
        <f t="shared" si="25"/>
        <v>0</v>
      </c>
      <c r="M198" s="18">
        <f t="shared" si="26"/>
        <v>3.04</v>
      </c>
      <c r="N198" s="15">
        <f t="shared" si="27"/>
        <v>974.46599999999989</v>
      </c>
      <c r="O198" s="15">
        <f>+N198-P198</f>
        <v>0</v>
      </c>
      <c r="P198" s="15">
        <f>+IF(N198&gt;D198,N198-D198,0)</f>
        <v>974.46599999999989</v>
      </c>
      <c r="Q198" s="5">
        <f>+IF(P198=0,P198,P198/N198)</f>
        <v>1</v>
      </c>
    </row>
    <row r="199" spans="1:17" x14ac:dyDescent="0.25">
      <c r="A199" s="7">
        <v>46243.208333333336</v>
      </c>
      <c r="B199" s="6">
        <v>0</v>
      </c>
      <c r="C199" s="13">
        <v>0</v>
      </c>
      <c r="D199" s="18">
        <f>+B199+C199</f>
        <v>0</v>
      </c>
      <c r="E199" s="14">
        <v>403.20699999999999</v>
      </c>
      <c r="F199" s="18">
        <f t="shared" si="21"/>
        <v>0</v>
      </c>
      <c r="G199" s="18">
        <f t="shared" si="22"/>
        <v>403.20699999999999</v>
      </c>
      <c r="H199" s="14">
        <v>18.28</v>
      </c>
      <c r="I199" s="18">
        <f t="shared" si="23"/>
        <v>0</v>
      </c>
      <c r="J199" s="18">
        <f t="shared" si="24"/>
        <v>18.28</v>
      </c>
      <c r="K199" s="14">
        <v>3.52</v>
      </c>
      <c r="L199" s="18">
        <f t="shared" si="25"/>
        <v>0</v>
      </c>
      <c r="M199" s="18">
        <f t="shared" si="26"/>
        <v>3.52</v>
      </c>
      <c r="N199" s="15">
        <f t="shared" si="27"/>
        <v>425.00699999999995</v>
      </c>
      <c r="O199" s="15">
        <f>+N199-P199</f>
        <v>0</v>
      </c>
      <c r="P199" s="15">
        <f>+IF(N199&gt;D199,N199-D199,0)</f>
        <v>425.00699999999995</v>
      </c>
      <c r="Q199" s="5">
        <f>+IF(P199=0,P199,P199/N199)</f>
        <v>1</v>
      </c>
    </row>
    <row r="200" spans="1:17" x14ac:dyDescent="0.25">
      <c r="A200" s="7">
        <v>46243.25</v>
      </c>
      <c r="B200" s="6">
        <v>113.4</v>
      </c>
      <c r="C200" s="13">
        <v>5.04</v>
      </c>
      <c r="D200" s="18">
        <f>+B200+C200</f>
        <v>118.44000000000001</v>
      </c>
      <c r="E200" s="14">
        <v>3.15</v>
      </c>
      <c r="F200" s="18">
        <f t="shared" si="21"/>
        <v>3.15</v>
      </c>
      <c r="G200" s="18">
        <f t="shared" si="22"/>
        <v>0</v>
      </c>
      <c r="H200" s="14">
        <v>6.7600000000000007</v>
      </c>
      <c r="I200" s="18">
        <f t="shared" si="23"/>
        <v>6.7600000000000007</v>
      </c>
      <c r="J200" s="18">
        <f t="shared" si="24"/>
        <v>0</v>
      </c>
      <c r="K200" s="14">
        <v>3.16</v>
      </c>
      <c r="L200" s="18">
        <f t="shared" si="25"/>
        <v>3.16</v>
      </c>
      <c r="M200" s="18">
        <f t="shared" si="26"/>
        <v>0</v>
      </c>
      <c r="N200" s="15">
        <f t="shared" si="27"/>
        <v>13.07</v>
      </c>
      <c r="O200" s="15">
        <f>+N200-P200</f>
        <v>13.07</v>
      </c>
      <c r="P200" s="15">
        <f>+IF(N200&gt;D200,N200-D200,0)</f>
        <v>0</v>
      </c>
      <c r="Q200" s="5">
        <f>+IF(P200=0,P200,P200/N200)</f>
        <v>0</v>
      </c>
    </row>
    <row r="201" spans="1:17" x14ac:dyDescent="0.25">
      <c r="A201" s="7">
        <v>46243.291666666664</v>
      </c>
      <c r="B201" s="6">
        <v>617.4</v>
      </c>
      <c r="C201" s="13">
        <v>34.32</v>
      </c>
      <c r="D201" s="18">
        <f>+B201+C201</f>
        <v>651.72</v>
      </c>
      <c r="E201" s="14">
        <v>0</v>
      </c>
      <c r="F201" s="18">
        <f t="shared" si="21"/>
        <v>0</v>
      </c>
      <c r="G201" s="18">
        <f t="shared" si="22"/>
        <v>0</v>
      </c>
      <c r="H201" s="14">
        <v>1.36</v>
      </c>
      <c r="I201" s="18">
        <f t="shared" si="23"/>
        <v>1.36</v>
      </c>
      <c r="J201" s="18">
        <f t="shared" si="24"/>
        <v>0</v>
      </c>
      <c r="K201" s="14">
        <v>5.32</v>
      </c>
      <c r="L201" s="18">
        <f t="shared" si="25"/>
        <v>5.32</v>
      </c>
      <c r="M201" s="18">
        <f t="shared" si="26"/>
        <v>0</v>
      </c>
      <c r="N201" s="15">
        <f t="shared" si="27"/>
        <v>6.6800000000000006</v>
      </c>
      <c r="O201" s="15">
        <f>+N201-P201</f>
        <v>6.6800000000000006</v>
      </c>
      <c r="P201" s="15">
        <f>+IF(N201&gt;D201,N201-D201,0)</f>
        <v>0</v>
      </c>
      <c r="Q201" s="5">
        <f>+IF(P201=0,P201,P201/N201)</f>
        <v>0</v>
      </c>
    </row>
    <row r="202" spans="1:17" x14ac:dyDescent="0.25">
      <c r="A202" s="7">
        <v>46243.333333333336</v>
      </c>
      <c r="B202" s="6">
        <v>1190.7</v>
      </c>
      <c r="C202" s="13">
        <v>25.56</v>
      </c>
      <c r="D202" s="18">
        <f>+B202+C202</f>
        <v>1216.26</v>
      </c>
      <c r="E202" s="14">
        <v>0</v>
      </c>
      <c r="F202" s="18">
        <f t="shared" si="21"/>
        <v>0</v>
      </c>
      <c r="G202" s="18">
        <f t="shared" si="22"/>
        <v>0</v>
      </c>
      <c r="H202" s="14">
        <v>14.68</v>
      </c>
      <c r="I202" s="18">
        <f t="shared" si="23"/>
        <v>14.68</v>
      </c>
      <c r="J202" s="18">
        <f t="shared" si="24"/>
        <v>0</v>
      </c>
      <c r="K202" s="14">
        <v>24.16</v>
      </c>
      <c r="L202" s="18">
        <f t="shared" si="25"/>
        <v>24.16</v>
      </c>
      <c r="M202" s="18">
        <f t="shared" si="26"/>
        <v>0</v>
      </c>
      <c r="N202" s="15">
        <f t="shared" si="27"/>
        <v>38.840000000000003</v>
      </c>
      <c r="O202" s="15">
        <f>+N202-P202</f>
        <v>38.840000000000003</v>
      </c>
      <c r="P202" s="15">
        <f>+IF(N202&gt;D202,N202-D202,0)</f>
        <v>0</v>
      </c>
      <c r="Q202" s="5">
        <f>+IF(P202=0,P202,P202/N202)</f>
        <v>0</v>
      </c>
    </row>
    <row r="203" spans="1:17" x14ac:dyDescent="0.25">
      <c r="A203" s="7">
        <v>46243.375</v>
      </c>
      <c r="B203" s="6">
        <v>1795.5</v>
      </c>
      <c r="C203" s="13">
        <v>67.8</v>
      </c>
      <c r="D203" s="18">
        <f>+B203+C203</f>
        <v>1863.3</v>
      </c>
      <c r="E203" s="14">
        <v>0</v>
      </c>
      <c r="F203" s="18">
        <f t="shared" si="21"/>
        <v>0</v>
      </c>
      <c r="G203" s="18">
        <f t="shared" si="22"/>
        <v>0</v>
      </c>
      <c r="H203" s="14">
        <v>2.44</v>
      </c>
      <c r="I203" s="18">
        <f t="shared" si="23"/>
        <v>2.44</v>
      </c>
      <c r="J203" s="18">
        <f t="shared" si="24"/>
        <v>0</v>
      </c>
      <c r="K203" s="14">
        <v>30.64</v>
      </c>
      <c r="L203" s="18">
        <f t="shared" si="25"/>
        <v>30.64</v>
      </c>
      <c r="M203" s="18">
        <f t="shared" si="26"/>
        <v>0</v>
      </c>
      <c r="N203" s="15">
        <f t="shared" si="27"/>
        <v>33.08</v>
      </c>
      <c r="O203" s="15">
        <f>+N203-P203</f>
        <v>33.08</v>
      </c>
      <c r="P203" s="15">
        <f>+IF(N203&gt;D203,N203-D203,0)</f>
        <v>0</v>
      </c>
      <c r="Q203" s="5">
        <f>+IF(P203=0,P203,P203/N203)</f>
        <v>0</v>
      </c>
    </row>
    <row r="204" spans="1:17" x14ac:dyDescent="0.25">
      <c r="A204" s="7">
        <v>46243.416666666664</v>
      </c>
      <c r="B204" s="6">
        <v>2208.15</v>
      </c>
      <c r="C204" s="13">
        <v>86.04</v>
      </c>
      <c r="D204" s="18">
        <f>+B204+C204</f>
        <v>2294.19</v>
      </c>
      <c r="E204" s="14">
        <v>0</v>
      </c>
      <c r="F204" s="18">
        <f t="shared" si="21"/>
        <v>0</v>
      </c>
      <c r="G204" s="18">
        <f t="shared" si="22"/>
        <v>0</v>
      </c>
      <c r="H204" s="14">
        <v>3.52</v>
      </c>
      <c r="I204" s="18">
        <f t="shared" si="23"/>
        <v>3.52</v>
      </c>
      <c r="J204" s="18">
        <f t="shared" si="24"/>
        <v>0</v>
      </c>
      <c r="K204" s="14">
        <v>43.48</v>
      </c>
      <c r="L204" s="18">
        <f t="shared" si="25"/>
        <v>43.48</v>
      </c>
      <c r="M204" s="18">
        <f t="shared" si="26"/>
        <v>0</v>
      </c>
      <c r="N204" s="15">
        <f t="shared" si="27"/>
        <v>47</v>
      </c>
      <c r="O204" s="15">
        <f>+N204-P204</f>
        <v>47</v>
      </c>
      <c r="P204" s="15">
        <f>+IF(N204&gt;D204,N204-D204,0)</f>
        <v>0</v>
      </c>
      <c r="Q204" s="5">
        <f>+IF(P204=0,P204,P204/N204)</f>
        <v>0</v>
      </c>
    </row>
    <row r="205" spans="1:17" x14ac:dyDescent="0.25">
      <c r="A205" s="7">
        <v>46243.458333333336</v>
      </c>
      <c r="B205" s="6">
        <v>2598.75</v>
      </c>
      <c r="C205" s="13">
        <v>119.28</v>
      </c>
      <c r="D205" s="18">
        <f>+B205+C205</f>
        <v>2718.03</v>
      </c>
      <c r="E205" s="14">
        <v>0</v>
      </c>
      <c r="F205" s="18">
        <f t="shared" si="21"/>
        <v>0</v>
      </c>
      <c r="G205" s="18">
        <f t="shared" si="22"/>
        <v>0</v>
      </c>
      <c r="H205" s="14">
        <v>1.1199999999999999</v>
      </c>
      <c r="I205" s="18">
        <f t="shared" si="23"/>
        <v>1.1199999999999999</v>
      </c>
      <c r="J205" s="18">
        <f t="shared" si="24"/>
        <v>0</v>
      </c>
      <c r="K205" s="14">
        <v>34.119999999999997</v>
      </c>
      <c r="L205" s="18">
        <f t="shared" si="25"/>
        <v>34.119999999999997</v>
      </c>
      <c r="M205" s="18">
        <f t="shared" si="26"/>
        <v>0</v>
      </c>
      <c r="N205" s="15">
        <f t="shared" si="27"/>
        <v>35.239999999999995</v>
      </c>
      <c r="O205" s="15">
        <f>+N205-P205</f>
        <v>35.239999999999995</v>
      </c>
      <c r="P205" s="15">
        <f>+IF(N205&gt;D205,N205-D205,0)</f>
        <v>0</v>
      </c>
      <c r="Q205" s="5">
        <f>+IF(P205=0,P205,P205/N205)</f>
        <v>0</v>
      </c>
    </row>
    <row r="206" spans="1:17" x14ac:dyDescent="0.25">
      <c r="A206" s="7">
        <v>46243.5</v>
      </c>
      <c r="B206" s="6">
        <v>2583</v>
      </c>
      <c r="C206" s="13">
        <v>119.88</v>
      </c>
      <c r="D206" s="18">
        <f>+B206+C206</f>
        <v>2702.88</v>
      </c>
      <c r="E206" s="14">
        <v>0</v>
      </c>
      <c r="F206" s="18">
        <f t="shared" si="21"/>
        <v>0</v>
      </c>
      <c r="G206" s="18">
        <f t="shared" si="22"/>
        <v>0</v>
      </c>
      <c r="H206" s="14">
        <v>1.6</v>
      </c>
      <c r="I206" s="18">
        <f t="shared" si="23"/>
        <v>1.6</v>
      </c>
      <c r="J206" s="18">
        <f t="shared" si="24"/>
        <v>0</v>
      </c>
      <c r="K206" s="14">
        <v>33.04</v>
      </c>
      <c r="L206" s="18">
        <f t="shared" si="25"/>
        <v>33.04</v>
      </c>
      <c r="M206" s="18">
        <f t="shared" si="26"/>
        <v>0</v>
      </c>
      <c r="N206" s="15">
        <f t="shared" si="27"/>
        <v>34.64</v>
      </c>
      <c r="O206" s="15">
        <f>+N206-P206</f>
        <v>34.64</v>
      </c>
      <c r="P206" s="15">
        <f>+IF(N206&gt;D206,N206-D206,0)</f>
        <v>0</v>
      </c>
      <c r="Q206" s="5">
        <f>+IF(P206=0,P206,P206/N206)</f>
        <v>0</v>
      </c>
    </row>
    <row r="207" spans="1:17" x14ac:dyDescent="0.25">
      <c r="A207" s="7">
        <v>46243.541666666664</v>
      </c>
      <c r="B207" s="6">
        <v>2198.6999999999998</v>
      </c>
      <c r="C207" s="13">
        <v>110.64</v>
      </c>
      <c r="D207" s="18">
        <f>+B207+C207</f>
        <v>2309.3399999999997</v>
      </c>
      <c r="E207" s="14">
        <v>0</v>
      </c>
      <c r="F207" s="18">
        <f t="shared" si="21"/>
        <v>0</v>
      </c>
      <c r="G207" s="18">
        <f t="shared" si="22"/>
        <v>0</v>
      </c>
      <c r="H207" s="14">
        <v>1.24</v>
      </c>
      <c r="I207" s="18">
        <f t="shared" si="23"/>
        <v>1.24</v>
      </c>
      <c r="J207" s="18">
        <f t="shared" si="24"/>
        <v>0</v>
      </c>
      <c r="K207" s="14">
        <v>38.199999999999996</v>
      </c>
      <c r="L207" s="18">
        <f t="shared" si="25"/>
        <v>38.199999999999996</v>
      </c>
      <c r="M207" s="18">
        <f t="shared" si="26"/>
        <v>0</v>
      </c>
      <c r="N207" s="15">
        <f t="shared" si="27"/>
        <v>39.44</v>
      </c>
      <c r="O207" s="15">
        <f>+N207-P207</f>
        <v>39.44</v>
      </c>
      <c r="P207" s="15">
        <f>+IF(N207&gt;D207,N207-D207,0)</f>
        <v>0</v>
      </c>
      <c r="Q207" s="5">
        <f>+IF(P207=0,P207,P207/N207)</f>
        <v>0</v>
      </c>
    </row>
    <row r="208" spans="1:17" x14ac:dyDescent="0.25">
      <c r="A208" s="7">
        <v>46243.583333333336</v>
      </c>
      <c r="B208" s="6">
        <v>1975.05</v>
      </c>
      <c r="C208" s="13">
        <v>84.6</v>
      </c>
      <c r="D208" s="18">
        <f>+B208+C208</f>
        <v>2059.65</v>
      </c>
      <c r="E208" s="14">
        <v>0</v>
      </c>
      <c r="F208" s="18">
        <f t="shared" si="21"/>
        <v>0</v>
      </c>
      <c r="G208" s="18">
        <f t="shared" si="22"/>
        <v>0</v>
      </c>
      <c r="H208" s="14">
        <v>1.72</v>
      </c>
      <c r="I208" s="18">
        <f t="shared" si="23"/>
        <v>1.72</v>
      </c>
      <c r="J208" s="18">
        <f t="shared" si="24"/>
        <v>0</v>
      </c>
      <c r="K208" s="14">
        <v>34.96</v>
      </c>
      <c r="L208" s="18">
        <f t="shared" si="25"/>
        <v>34.96</v>
      </c>
      <c r="M208" s="18">
        <f t="shared" si="26"/>
        <v>0</v>
      </c>
      <c r="N208" s="15">
        <f t="shared" si="27"/>
        <v>36.68</v>
      </c>
      <c r="O208" s="15">
        <f>+N208-P208</f>
        <v>36.68</v>
      </c>
      <c r="P208" s="15">
        <f>+IF(N208&gt;D208,N208-D208,0)</f>
        <v>0</v>
      </c>
      <c r="Q208" s="5">
        <f>+IF(P208=0,P208,P208/N208)</f>
        <v>0</v>
      </c>
    </row>
    <row r="209" spans="1:17" x14ac:dyDescent="0.25">
      <c r="A209" s="7">
        <v>46243.625</v>
      </c>
      <c r="B209" s="6">
        <v>1984.5</v>
      </c>
      <c r="C209" s="13">
        <v>73.92</v>
      </c>
      <c r="D209" s="18">
        <f>+B209+C209</f>
        <v>2058.42</v>
      </c>
      <c r="E209" s="14">
        <v>0</v>
      </c>
      <c r="F209" s="18">
        <f t="shared" si="21"/>
        <v>0</v>
      </c>
      <c r="G209" s="18">
        <f t="shared" si="22"/>
        <v>0</v>
      </c>
      <c r="H209" s="14">
        <v>2.44</v>
      </c>
      <c r="I209" s="18">
        <f t="shared" si="23"/>
        <v>2.44</v>
      </c>
      <c r="J209" s="18">
        <f t="shared" si="24"/>
        <v>0</v>
      </c>
      <c r="K209" s="14">
        <v>39.519999999999996</v>
      </c>
      <c r="L209" s="18">
        <f t="shared" si="25"/>
        <v>39.519999999999996</v>
      </c>
      <c r="M209" s="18">
        <f t="shared" si="26"/>
        <v>0</v>
      </c>
      <c r="N209" s="15">
        <f t="shared" si="27"/>
        <v>41.959999999999994</v>
      </c>
      <c r="O209" s="15">
        <f>+N209-P209</f>
        <v>41.959999999999994</v>
      </c>
      <c r="P209" s="15">
        <f>+IF(N209&gt;D209,N209-D209,0)</f>
        <v>0</v>
      </c>
      <c r="Q209" s="5">
        <f>+IF(P209=0,P209,P209/N209)</f>
        <v>0</v>
      </c>
    </row>
    <row r="210" spans="1:17" x14ac:dyDescent="0.25">
      <c r="A210" s="7">
        <v>46243.666666666664</v>
      </c>
      <c r="B210" s="6">
        <v>815.85</v>
      </c>
      <c r="C210" s="13">
        <v>8.2799999999999994</v>
      </c>
      <c r="D210" s="18">
        <f>+B210+C210</f>
        <v>824.13</v>
      </c>
      <c r="E210" s="14">
        <v>0</v>
      </c>
      <c r="F210" s="18">
        <f t="shared" si="21"/>
        <v>0</v>
      </c>
      <c r="G210" s="18">
        <f t="shared" si="22"/>
        <v>0</v>
      </c>
      <c r="H210" s="14">
        <v>32.800000000000004</v>
      </c>
      <c r="I210" s="18">
        <f t="shared" si="23"/>
        <v>32.800000000000004</v>
      </c>
      <c r="J210" s="18">
        <f t="shared" si="24"/>
        <v>0</v>
      </c>
      <c r="K210" s="14">
        <v>33.160000000000004</v>
      </c>
      <c r="L210" s="18">
        <f t="shared" si="25"/>
        <v>33.160000000000004</v>
      </c>
      <c r="M210" s="18">
        <f t="shared" si="26"/>
        <v>0</v>
      </c>
      <c r="N210" s="15">
        <f t="shared" si="27"/>
        <v>65.960000000000008</v>
      </c>
      <c r="O210" s="15">
        <f>+N210-P210</f>
        <v>65.960000000000008</v>
      </c>
      <c r="P210" s="15">
        <f>+IF(N210&gt;D210,N210-D210,0)</f>
        <v>0</v>
      </c>
      <c r="Q210" s="5">
        <f>+IF(P210=0,P210,P210/N210)</f>
        <v>0</v>
      </c>
    </row>
    <row r="211" spans="1:17" x14ac:dyDescent="0.25">
      <c r="A211" s="7">
        <v>46243.708333333336</v>
      </c>
      <c r="B211" s="6">
        <v>50.4</v>
      </c>
      <c r="C211" s="13">
        <v>0</v>
      </c>
      <c r="D211" s="18">
        <f>+B211+C211</f>
        <v>50.4</v>
      </c>
      <c r="E211" s="14">
        <v>9.4490000000000016</v>
      </c>
      <c r="F211" s="18">
        <f t="shared" si="21"/>
        <v>5.5241285712628621</v>
      </c>
      <c r="G211" s="18">
        <f t="shared" si="22"/>
        <v>3.92487142873714</v>
      </c>
      <c r="H211" s="14">
        <v>47.559999999999995</v>
      </c>
      <c r="I211" s="18">
        <f t="shared" si="23"/>
        <v>27.804799962880899</v>
      </c>
      <c r="J211" s="18">
        <f t="shared" si="24"/>
        <v>19.755200037119096</v>
      </c>
      <c r="K211" s="14">
        <v>29.2</v>
      </c>
      <c r="L211" s="18">
        <f t="shared" si="25"/>
        <v>17.071071465856232</v>
      </c>
      <c r="M211" s="18">
        <f t="shared" si="26"/>
        <v>12.128928534143768</v>
      </c>
      <c r="N211" s="15">
        <f t="shared" si="27"/>
        <v>86.209000000000003</v>
      </c>
      <c r="O211" s="15">
        <f>+N211-P211</f>
        <v>50.4</v>
      </c>
      <c r="P211" s="15">
        <f>+IF(N211&gt;D211,N211-D211,0)</f>
        <v>35.809000000000005</v>
      </c>
      <c r="Q211" s="5">
        <f>+IF(P211=0,P211,P211/N211)</f>
        <v>0.41537426486793727</v>
      </c>
    </row>
    <row r="212" spans="1:17" x14ac:dyDescent="0.25">
      <c r="A212" s="7">
        <v>46243.75</v>
      </c>
      <c r="B212" s="6">
        <v>0</v>
      </c>
      <c r="C212" s="13">
        <v>0</v>
      </c>
      <c r="D212" s="18">
        <f>+B212+C212</f>
        <v>0</v>
      </c>
      <c r="E212" s="14">
        <v>40.946000000000005</v>
      </c>
      <c r="F212" s="18">
        <f t="shared" si="21"/>
        <v>0</v>
      </c>
      <c r="G212" s="18">
        <f t="shared" si="22"/>
        <v>40.946000000000005</v>
      </c>
      <c r="H212" s="14">
        <v>49.72</v>
      </c>
      <c r="I212" s="18">
        <f t="shared" si="23"/>
        <v>0</v>
      </c>
      <c r="J212" s="18">
        <f t="shared" si="24"/>
        <v>49.72</v>
      </c>
      <c r="K212" s="14">
        <v>12.88</v>
      </c>
      <c r="L212" s="18">
        <f t="shared" si="25"/>
        <v>0</v>
      </c>
      <c r="M212" s="18">
        <f t="shared" si="26"/>
        <v>12.88</v>
      </c>
      <c r="N212" s="15">
        <f t="shared" si="27"/>
        <v>103.54599999999999</v>
      </c>
      <c r="O212" s="15">
        <f>+N212-P212</f>
        <v>0</v>
      </c>
      <c r="P212" s="15">
        <f>+IF(N212&gt;D212,N212-D212,0)</f>
        <v>103.54599999999999</v>
      </c>
      <c r="Q212" s="5">
        <f>+IF(P212=0,P212,P212/N212)</f>
        <v>1</v>
      </c>
    </row>
    <row r="213" spans="1:17" x14ac:dyDescent="0.25">
      <c r="A213" s="7">
        <v>46243.791666666664</v>
      </c>
      <c r="B213" s="6">
        <v>0</v>
      </c>
      <c r="C213" s="13">
        <v>0</v>
      </c>
      <c r="D213" s="18">
        <f>+B213+C213</f>
        <v>0</v>
      </c>
      <c r="E213" s="14">
        <v>110.238</v>
      </c>
      <c r="F213" s="18">
        <f t="shared" si="21"/>
        <v>0</v>
      </c>
      <c r="G213" s="18">
        <f t="shared" si="22"/>
        <v>110.238</v>
      </c>
      <c r="H213" s="14">
        <v>56.56</v>
      </c>
      <c r="I213" s="18">
        <f t="shared" si="23"/>
        <v>0</v>
      </c>
      <c r="J213" s="18">
        <f t="shared" si="24"/>
        <v>56.56</v>
      </c>
      <c r="K213" s="14">
        <v>2.56</v>
      </c>
      <c r="L213" s="18">
        <f t="shared" si="25"/>
        <v>0</v>
      </c>
      <c r="M213" s="18">
        <f t="shared" si="26"/>
        <v>2.56</v>
      </c>
      <c r="N213" s="15">
        <f t="shared" si="27"/>
        <v>169.358</v>
      </c>
      <c r="O213" s="15">
        <f>+N213-P213</f>
        <v>0</v>
      </c>
      <c r="P213" s="15">
        <f>+IF(N213&gt;D213,N213-D213,0)</f>
        <v>169.358</v>
      </c>
      <c r="Q213" s="5">
        <f>+IF(P213=0,P213,P213/N213)</f>
        <v>1</v>
      </c>
    </row>
    <row r="214" spans="1:17" x14ac:dyDescent="0.25">
      <c r="A214" s="7">
        <v>46243.833333333336</v>
      </c>
      <c r="B214" s="6">
        <v>0</v>
      </c>
      <c r="C214" s="13">
        <v>0</v>
      </c>
      <c r="D214" s="18">
        <f>+B214+C214</f>
        <v>0</v>
      </c>
      <c r="E214" s="14">
        <v>119.687</v>
      </c>
      <c r="F214" s="18">
        <f t="shared" si="21"/>
        <v>0</v>
      </c>
      <c r="G214" s="18">
        <f t="shared" si="22"/>
        <v>119.687</v>
      </c>
      <c r="H214" s="14">
        <v>48.4</v>
      </c>
      <c r="I214" s="18">
        <f t="shared" si="23"/>
        <v>0</v>
      </c>
      <c r="J214" s="18">
        <f t="shared" si="24"/>
        <v>48.4</v>
      </c>
      <c r="K214" s="14">
        <v>2.3199999999999998</v>
      </c>
      <c r="L214" s="18">
        <f t="shared" si="25"/>
        <v>0</v>
      </c>
      <c r="M214" s="18">
        <f t="shared" si="26"/>
        <v>2.3199999999999998</v>
      </c>
      <c r="N214" s="15">
        <f t="shared" si="27"/>
        <v>170.40699999999998</v>
      </c>
      <c r="O214" s="15">
        <f>+N214-P214</f>
        <v>0</v>
      </c>
      <c r="P214" s="15">
        <f>+IF(N214&gt;D214,N214-D214,0)</f>
        <v>170.40699999999998</v>
      </c>
      <c r="Q214" s="5">
        <f>+IF(P214=0,P214,P214/N214)</f>
        <v>1</v>
      </c>
    </row>
    <row r="215" spans="1:17" x14ac:dyDescent="0.25">
      <c r="A215" s="7">
        <v>46243.875</v>
      </c>
      <c r="B215" s="6">
        <v>0</v>
      </c>
      <c r="C215" s="13">
        <v>0</v>
      </c>
      <c r="D215" s="18">
        <f>+B215+C215</f>
        <v>0</v>
      </c>
      <c r="E215" s="14">
        <v>122.837</v>
      </c>
      <c r="F215" s="18">
        <f t="shared" si="21"/>
        <v>0</v>
      </c>
      <c r="G215" s="18">
        <f t="shared" si="22"/>
        <v>122.837</v>
      </c>
      <c r="H215" s="14">
        <v>43</v>
      </c>
      <c r="I215" s="18">
        <f t="shared" si="23"/>
        <v>0</v>
      </c>
      <c r="J215" s="18">
        <f t="shared" si="24"/>
        <v>43</v>
      </c>
      <c r="K215" s="14">
        <v>2.8</v>
      </c>
      <c r="L215" s="18">
        <f t="shared" si="25"/>
        <v>0</v>
      </c>
      <c r="M215" s="18">
        <f t="shared" si="26"/>
        <v>2.8</v>
      </c>
      <c r="N215" s="15">
        <f t="shared" si="27"/>
        <v>168.637</v>
      </c>
      <c r="O215" s="15">
        <f>+N215-P215</f>
        <v>0</v>
      </c>
      <c r="P215" s="15">
        <f>+IF(N215&gt;D215,N215-D215,0)</f>
        <v>168.637</v>
      </c>
      <c r="Q215" s="5">
        <f>+IF(P215=0,P215,P215/N215)</f>
        <v>1</v>
      </c>
    </row>
    <row r="216" spans="1:17" x14ac:dyDescent="0.25">
      <c r="A216" s="7">
        <v>46243.916666666664</v>
      </c>
      <c r="B216" s="6">
        <v>0</v>
      </c>
      <c r="C216" s="13">
        <v>0</v>
      </c>
      <c r="D216" s="18">
        <f>+B216+C216</f>
        <v>0</v>
      </c>
      <c r="E216" s="14">
        <v>119.702</v>
      </c>
      <c r="F216" s="18">
        <f t="shared" si="21"/>
        <v>0</v>
      </c>
      <c r="G216" s="18">
        <f t="shared" si="22"/>
        <v>119.702</v>
      </c>
      <c r="H216" s="14">
        <v>45.04</v>
      </c>
      <c r="I216" s="18">
        <f t="shared" si="23"/>
        <v>0</v>
      </c>
      <c r="J216" s="18">
        <f t="shared" si="24"/>
        <v>45.04</v>
      </c>
      <c r="K216" s="14">
        <v>2.68</v>
      </c>
      <c r="L216" s="18">
        <f t="shared" si="25"/>
        <v>0</v>
      </c>
      <c r="M216" s="18">
        <f t="shared" si="26"/>
        <v>2.68</v>
      </c>
      <c r="N216" s="15">
        <f t="shared" si="27"/>
        <v>167.422</v>
      </c>
      <c r="O216" s="15">
        <f>+N216-P216</f>
        <v>0</v>
      </c>
      <c r="P216" s="15">
        <f>+IF(N216&gt;D216,N216-D216,0)</f>
        <v>167.422</v>
      </c>
      <c r="Q216" s="5">
        <f>+IF(P216=0,P216,P216/N216)</f>
        <v>1</v>
      </c>
    </row>
    <row r="217" spans="1:17" x14ac:dyDescent="0.25">
      <c r="A217" s="7">
        <v>46243.958333333336</v>
      </c>
      <c r="B217" s="6">
        <v>0</v>
      </c>
      <c r="C217" s="13">
        <v>0</v>
      </c>
      <c r="D217" s="18">
        <f>+B217+C217</f>
        <v>0</v>
      </c>
      <c r="E217" s="14">
        <v>122.852</v>
      </c>
      <c r="F217" s="18">
        <f t="shared" si="21"/>
        <v>0</v>
      </c>
      <c r="G217" s="18">
        <f t="shared" si="22"/>
        <v>122.852</v>
      </c>
      <c r="H217" s="14">
        <v>42.88</v>
      </c>
      <c r="I217" s="18">
        <f t="shared" si="23"/>
        <v>0</v>
      </c>
      <c r="J217" s="18">
        <f t="shared" si="24"/>
        <v>42.88</v>
      </c>
      <c r="K217" s="14">
        <v>2.8</v>
      </c>
      <c r="L217" s="18">
        <f t="shared" si="25"/>
        <v>0</v>
      </c>
      <c r="M217" s="18">
        <f t="shared" si="26"/>
        <v>2.8</v>
      </c>
      <c r="N217" s="15">
        <f t="shared" si="27"/>
        <v>168.53200000000001</v>
      </c>
      <c r="O217" s="15">
        <f>+N217-P217</f>
        <v>0</v>
      </c>
      <c r="P217" s="15">
        <f>+IF(N217&gt;D217,N217-D217,0)</f>
        <v>168.53200000000001</v>
      </c>
      <c r="Q217" s="5">
        <f>+IF(P217=0,P217,P217/N217)</f>
        <v>1</v>
      </c>
    </row>
    <row r="218" spans="1:17" x14ac:dyDescent="0.25">
      <c r="A218" s="7">
        <v>46244</v>
      </c>
      <c r="B218" s="6">
        <v>0</v>
      </c>
      <c r="C218" s="13">
        <v>0</v>
      </c>
      <c r="D218" s="18">
        <f>+B218+C218</f>
        <v>0</v>
      </c>
      <c r="E218" s="14">
        <v>122.852</v>
      </c>
      <c r="F218" s="18">
        <f t="shared" si="21"/>
        <v>0</v>
      </c>
      <c r="G218" s="18">
        <f t="shared" si="22"/>
        <v>122.852</v>
      </c>
      <c r="H218" s="14">
        <v>52.839999999999996</v>
      </c>
      <c r="I218" s="18">
        <f t="shared" si="23"/>
        <v>0</v>
      </c>
      <c r="J218" s="18">
        <f t="shared" si="24"/>
        <v>52.839999999999996</v>
      </c>
      <c r="K218" s="14">
        <v>3.04</v>
      </c>
      <c r="L218" s="18">
        <f t="shared" si="25"/>
        <v>0</v>
      </c>
      <c r="M218" s="18">
        <f t="shared" si="26"/>
        <v>3.04</v>
      </c>
      <c r="N218" s="15">
        <f t="shared" si="27"/>
        <v>178.732</v>
      </c>
      <c r="O218" s="15">
        <f>+N218-P218</f>
        <v>0</v>
      </c>
      <c r="P218" s="15">
        <f>+IF(N218&gt;D218,N218-D218,0)</f>
        <v>178.732</v>
      </c>
      <c r="Q218" s="5">
        <f>+IF(P218=0,P218,P218/N218)</f>
        <v>1</v>
      </c>
    </row>
    <row r="219" spans="1:17" x14ac:dyDescent="0.25">
      <c r="A219" s="7">
        <v>46244.041666666664</v>
      </c>
      <c r="B219" s="6">
        <v>0</v>
      </c>
      <c r="C219" s="13">
        <v>0</v>
      </c>
      <c r="D219" s="18">
        <f>+B219+C219</f>
        <v>0</v>
      </c>
      <c r="E219" s="14">
        <v>122.852</v>
      </c>
      <c r="F219" s="18">
        <f t="shared" si="21"/>
        <v>0</v>
      </c>
      <c r="G219" s="18">
        <f t="shared" si="22"/>
        <v>122.852</v>
      </c>
      <c r="H219" s="14">
        <v>48.28</v>
      </c>
      <c r="I219" s="18">
        <f t="shared" si="23"/>
        <v>0</v>
      </c>
      <c r="J219" s="18">
        <f t="shared" si="24"/>
        <v>48.28</v>
      </c>
      <c r="K219" s="14">
        <v>2.68</v>
      </c>
      <c r="L219" s="18">
        <f t="shared" si="25"/>
        <v>0</v>
      </c>
      <c r="M219" s="18">
        <f t="shared" si="26"/>
        <v>2.68</v>
      </c>
      <c r="N219" s="15">
        <f t="shared" si="27"/>
        <v>173.81200000000001</v>
      </c>
      <c r="O219" s="15">
        <f>+N219-P219</f>
        <v>0</v>
      </c>
      <c r="P219" s="15">
        <f>+IF(N219&gt;D219,N219-D219,0)</f>
        <v>173.81200000000001</v>
      </c>
      <c r="Q219" s="5">
        <f>+IF(P219=0,P219,P219/N219)</f>
        <v>1</v>
      </c>
    </row>
    <row r="220" spans="1:17" x14ac:dyDescent="0.25">
      <c r="A220" s="7">
        <v>46244.083333333336</v>
      </c>
      <c r="B220" s="6">
        <v>0</v>
      </c>
      <c r="C220" s="13">
        <v>0</v>
      </c>
      <c r="D220" s="18">
        <f>+B220+C220</f>
        <v>0</v>
      </c>
      <c r="E220" s="14">
        <v>119.702</v>
      </c>
      <c r="F220" s="18">
        <f t="shared" si="21"/>
        <v>0</v>
      </c>
      <c r="G220" s="18">
        <f t="shared" si="22"/>
        <v>119.702</v>
      </c>
      <c r="H220" s="14">
        <v>43.6</v>
      </c>
      <c r="I220" s="18">
        <f t="shared" si="23"/>
        <v>0</v>
      </c>
      <c r="J220" s="18">
        <f t="shared" si="24"/>
        <v>43.6</v>
      </c>
      <c r="K220" s="14">
        <v>2.8</v>
      </c>
      <c r="L220" s="18">
        <f t="shared" si="25"/>
        <v>0</v>
      </c>
      <c r="M220" s="18">
        <f t="shared" si="26"/>
        <v>2.8</v>
      </c>
      <c r="N220" s="15">
        <f t="shared" si="27"/>
        <v>166.102</v>
      </c>
      <c r="O220" s="15">
        <f>+N220-P220</f>
        <v>0</v>
      </c>
      <c r="P220" s="15">
        <f>+IF(N220&gt;D220,N220-D220,0)</f>
        <v>166.102</v>
      </c>
      <c r="Q220" s="5">
        <f>+IF(P220=0,P220,P220/N220)</f>
        <v>1</v>
      </c>
    </row>
    <row r="221" spans="1:17" x14ac:dyDescent="0.25">
      <c r="A221" s="7">
        <v>46244.125</v>
      </c>
      <c r="B221" s="6">
        <v>0</v>
      </c>
      <c r="C221" s="13">
        <v>0</v>
      </c>
      <c r="D221" s="18">
        <f>+B221+C221</f>
        <v>0</v>
      </c>
      <c r="E221" s="14">
        <v>119.702</v>
      </c>
      <c r="F221" s="18">
        <f t="shared" si="21"/>
        <v>0</v>
      </c>
      <c r="G221" s="18">
        <f t="shared" si="22"/>
        <v>119.702</v>
      </c>
      <c r="H221" s="14">
        <v>45.64</v>
      </c>
      <c r="I221" s="18">
        <f t="shared" si="23"/>
        <v>0</v>
      </c>
      <c r="J221" s="18">
        <f t="shared" si="24"/>
        <v>45.64</v>
      </c>
      <c r="K221" s="14">
        <v>2.8</v>
      </c>
      <c r="L221" s="18">
        <f t="shared" si="25"/>
        <v>0</v>
      </c>
      <c r="M221" s="18">
        <f t="shared" si="26"/>
        <v>2.8</v>
      </c>
      <c r="N221" s="15">
        <f t="shared" si="27"/>
        <v>168.142</v>
      </c>
      <c r="O221" s="15">
        <f>+N221-P221</f>
        <v>0</v>
      </c>
      <c r="P221" s="15">
        <f>+IF(N221&gt;D221,N221-D221,0)</f>
        <v>168.142</v>
      </c>
      <c r="Q221" s="5">
        <f>+IF(P221=0,P221,P221/N221)</f>
        <v>1</v>
      </c>
    </row>
    <row r="222" spans="1:17" x14ac:dyDescent="0.25">
      <c r="A222" s="7">
        <v>46244.166666666664</v>
      </c>
      <c r="B222" s="6">
        <v>0</v>
      </c>
      <c r="C222" s="13">
        <v>0</v>
      </c>
      <c r="D222" s="18">
        <f>+B222+C222</f>
        <v>0</v>
      </c>
      <c r="E222" s="14">
        <v>122.852</v>
      </c>
      <c r="F222" s="18">
        <f t="shared" si="21"/>
        <v>0</v>
      </c>
      <c r="G222" s="18">
        <f t="shared" si="22"/>
        <v>122.852</v>
      </c>
      <c r="H222" s="14">
        <v>42.52</v>
      </c>
      <c r="I222" s="18">
        <f t="shared" si="23"/>
        <v>0</v>
      </c>
      <c r="J222" s="18">
        <f t="shared" si="24"/>
        <v>42.52</v>
      </c>
      <c r="K222" s="14">
        <v>2.68</v>
      </c>
      <c r="L222" s="18">
        <f t="shared" si="25"/>
        <v>0</v>
      </c>
      <c r="M222" s="18">
        <f t="shared" si="26"/>
        <v>2.68</v>
      </c>
      <c r="N222" s="15">
        <f t="shared" si="27"/>
        <v>168.05200000000002</v>
      </c>
      <c r="O222" s="15">
        <f>+N222-P222</f>
        <v>0</v>
      </c>
      <c r="P222" s="15">
        <f>+IF(N222&gt;D222,N222-D222,0)</f>
        <v>168.05200000000002</v>
      </c>
      <c r="Q222" s="5">
        <f>+IF(P222=0,P222,P222/N222)</f>
        <v>1</v>
      </c>
    </row>
    <row r="223" spans="1:17" x14ac:dyDescent="0.25">
      <c r="A223" s="7">
        <v>46244.208333333336</v>
      </c>
      <c r="B223" s="6">
        <v>0</v>
      </c>
      <c r="C223" s="13">
        <v>0</v>
      </c>
      <c r="D223" s="18">
        <f>+B223+C223</f>
        <v>0</v>
      </c>
      <c r="E223" s="14">
        <v>119.702</v>
      </c>
      <c r="F223" s="18">
        <f t="shared" si="21"/>
        <v>0</v>
      </c>
      <c r="G223" s="18">
        <f t="shared" si="22"/>
        <v>119.702</v>
      </c>
      <c r="H223" s="14">
        <v>52.24</v>
      </c>
      <c r="I223" s="18">
        <f t="shared" si="23"/>
        <v>0</v>
      </c>
      <c r="J223" s="18">
        <f t="shared" si="24"/>
        <v>52.24</v>
      </c>
      <c r="K223" s="14">
        <v>3.28</v>
      </c>
      <c r="L223" s="18">
        <f t="shared" si="25"/>
        <v>0</v>
      </c>
      <c r="M223" s="18">
        <f t="shared" si="26"/>
        <v>3.28</v>
      </c>
      <c r="N223" s="15">
        <f t="shared" si="27"/>
        <v>175.22200000000001</v>
      </c>
      <c r="O223" s="15">
        <f>+N223-P223</f>
        <v>0</v>
      </c>
      <c r="P223" s="15">
        <f>+IF(N223&gt;D223,N223-D223,0)</f>
        <v>175.22200000000001</v>
      </c>
      <c r="Q223" s="5">
        <f>+IF(P223=0,P223,P223/N223)</f>
        <v>1</v>
      </c>
    </row>
    <row r="224" spans="1:17" x14ac:dyDescent="0.25">
      <c r="A224" s="7">
        <v>46244.25</v>
      </c>
      <c r="B224" s="6">
        <v>12.6</v>
      </c>
      <c r="C224" s="13">
        <v>0</v>
      </c>
      <c r="D224" s="18">
        <f>+B224+C224</f>
        <v>12.6</v>
      </c>
      <c r="E224" s="14">
        <v>47.25</v>
      </c>
      <c r="F224" s="18">
        <f t="shared" si="21"/>
        <v>6.7645722077036652</v>
      </c>
      <c r="G224" s="18">
        <f t="shared" si="22"/>
        <v>40.485427792296335</v>
      </c>
      <c r="H224" s="14">
        <v>37.6</v>
      </c>
      <c r="I224" s="18">
        <f t="shared" si="23"/>
        <v>5.3830246562890522</v>
      </c>
      <c r="J224" s="18">
        <f t="shared" si="24"/>
        <v>32.216975343710949</v>
      </c>
      <c r="K224" s="14">
        <v>3.16</v>
      </c>
      <c r="L224" s="18">
        <f t="shared" si="25"/>
        <v>0.45240313600727156</v>
      </c>
      <c r="M224" s="18">
        <f t="shared" si="26"/>
        <v>2.7075968639927286</v>
      </c>
      <c r="N224" s="15">
        <f t="shared" si="27"/>
        <v>88.009999999999991</v>
      </c>
      <c r="O224" s="15">
        <f>+N224-P224</f>
        <v>12.599999999999994</v>
      </c>
      <c r="P224" s="15">
        <f>+IF(N224&gt;D224,N224-D224,0)</f>
        <v>75.41</v>
      </c>
      <c r="Q224" s="5">
        <f>+IF(P224=0,P224,P224/N224)</f>
        <v>0.85683445063061026</v>
      </c>
    </row>
    <row r="225" spans="1:17" x14ac:dyDescent="0.25">
      <c r="A225" s="7">
        <v>46244.291666666664</v>
      </c>
      <c r="B225" s="6">
        <v>349.65</v>
      </c>
      <c r="C225" s="13">
        <v>1.44</v>
      </c>
      <c r="D225" s="18">
        <f>+B225+C225</f>
        <v>351.09</v>
      </c>
      <c r="E225" s="14">
        <v>0</v>
      </c>
      <c r="F225" s="18">
        <f t="shared" si="21"/>
        <v>0</v>
      </c>
      <c r="G225" s="18">
        <f t="shared" si="22"/>
        <v>0</v>
      </c>
      <c r="H225" s="14">
        <v>22.12</v>
      </c>
      <c r="I225" s="18">
        <f t="shared" si="23"/>
        <v>22.12</v>
      </c>
      <c r="J225" s="18">
        <f t="shared" si="24"/>
        <v>0</v>
      </c>
      <c r="K225" s="14">
        <v>2.3199999999999998</v>
      </c>
      <c r="L225" s="18">
        <f t="shared" si="25"/>
        <v>2.3199999999999998</v>
      </c>
      <c r="M225" s="18">
        <f t="shared" si="26"/>
        <v>0</v>
      </c>
      <c r="N225" s="15">
        <f t="shared" si="27"/>
        <v>24.44</v>
      </c>
      <c r="O225" s="15">
        <f>+N225-P225</f>
        <v>24.44</v>
      </c>
      <c r="P225" s="15">
        <f>+IF(N225&gt;D225,N225-D225,0)</f>
        <v>0</v>
      </c>
      <c r="Q225" s="5">
        <f>+IF(P225=0,P225,P225/N225)</f>
        <v>0</v>
      </c>
    </row>
    <row r="226" spans="1:17" x14ac:dyDescent="0.25">
      <c r="A226" s="7">
        <v>46244.333333333336</v>
      </c>
      <c r="B226" s="6">
        <v>56.7</v>
      </c>
      <c r="C226" s="13">
        <v>0</v>
      </c>
      <c r="D226" s="18">
        <f>+B226+C226</f>
        <v>56.7</v>
      </c>
      <c r="E226" s="14">
        <v>53.55</v>
      </c>
      <c r="F226" s="18">
        <f t="shared" si="21"/>
        <v>16.399054820415877</v>
      </c>
      <c r="G226" s="18">
        <f t="shared" si="22"/>
        <v>37.15094517958412</v>
      </c>
      <c r="H226" s="14">
        <v>117.52</v>
      </c>
      <c r="I226" s="18">
        <f t="shared" si="23"/>
        <v>35.989111531190929</v>
      </c>
      <c r="J226" s="18">
        <f t="shared" si="24"/>
        <v>81.530888468809067</v>
      </c>
      <c r="K226" s="14">
        <v>14.08</v>
      </c>
      <c r="L226" s="18">
        <f t="shared" si="25"/>
        <v>4.3118336483931952</v>
      </c>
      <c r="M226" s="18">
        <f t="shared" si="26"/>
        <v>9.7681663516068049</v>
      </c>
      <c r="N226" s="15">
        <f t="shared" si="27"/>
        <v>185.15</v>
      </c>
      <c r="O226" s="15">
        <f>+N226-P226</f>
        <v>56.700000000000017</v>
      </c>
      <c r="P226" s="15">
        <f>+IF(N226&gt;D226,N226-D226,0)</f>
        <v>128.44999999999999</v>
      </c>
      <c r="Q226" s="5">
        <f>+IF(P226=0,P226,P226/N226)</f>
        <v>0.69376181474480147</v>
      </c>
    </row>
    <row r="227" spans="1:17" x14ac:dyDescent="0.25">
      <c r="A227" s="7">
        <v>46244.375</v>
      </c>
      <c r="B227" s="6">
        <v>680.4</v>
      </c>
      <c r="C227" s="13">
        <v>0.24</v>
      </c>
      <c r="D227" s="18">
        <f>+B227+C227</f>
        <v>680.64</v>
      </c>
      <c r="E227" s="14">
        <v>0</v>
      </c>
      <c r="F227" s="18">
        <f t="shared" si="21"/>
        <v>0</v>
      </c>
      <c r="G227" s="18">
        <f t="shared" si="22"/>
        <v>0</v>
      </c>
      <c r="H227" s="14">
        <v>78.16</v>
      </c>
      <c r="I227" s="18">
        <f t="shared" si="23"/>
        <v>78.16</v>
      </c>
      <c r="J227" s="18">
        <f t="shared" si="24"/>
        <v>0</v>
      </c>
      <c r="K227" s="14">
        <v>56.2</v>
      </c>
      <c r="L227" s="18">
        <f t="shared" si="25"/>
        <v>56.2</v>
      </c>
      <c r="M227" s="18">
        <f t="shared" si="26"/>
        <v>0</v>
      </c>
      <c r="N227" s="15">
        <f t="shared" si="27"/>
        <v>134.36000000000001</v>
      </c>
      <c r="O227" s="15">
        <f>+N227-P227</f>
        <v>134.36000000000001</v>
      </c>
      <c r="P227" s="15">
        <f>+IF(N227&gt;D227,N227-D227,0)</f>
        <v>0</v>
      </c>
      <c r="Q227" s="5">
        <f>+IF(P227=0,P227,P227/N227)</f>
        <v>0</v>
      </c>
    </row>
    <row r="228" spans="1:17" x14ac:dyDescent="0.25">
      <c r="A228" s="7">
        <v>46244.416666666664</v>
      </c>
      <c r="B228" s="6">
        <v>1178.0999999999999</v>
      </c>
      <c r="C228" s="13">
        <v>22.44</v>
      </c>
      <c r="D228" s="18">
        <f>+B228+C228</f>
        <v>1200.54</v>
      </c>
      <c r="E228" s="14">
        <v>0</v>
      </c>
      <c r="F228" s="18">
        <f t="shared" si="21"/>
        <v>0</v>
      </c>
      <c r="G228" s="18">
        <f t="shared" si="22"/>
        <v>0</v>
      </c>
      <c r="H228" s="14">
        <v>21.16</v>
      </c>
      <c r="I228" s="18">
        <f t="shared" si="23"/>
        <v>21.16</v>
      </c>
      <c r="J228" s="18">
        <f t="shared" si="24"/>
        <v>0</v>
      </c>
      <c r="K228" s="14">
        <v>42.04</v>
      </c>
      <c r="L228" s="18">
        <f t="shared" si="25"/>
        <v>42.04</v>
      </c>
      <c r="M228" s="18">
        <f t="shared" si="26"/>
        <v>0</v>
      </c>
      <c r="N228" s="15">
        <f t="shared" si="27"/>
        <v>63.2</v>
      </c>
      <c r="O228" s="15">
        <f>+N228-P228</f>
        <v>63.2</v>
      </c>
      <c r="P228" s="15">
        <f>+IF(N228&gt;D228,N228-D228,0)</f>
        <v>0</v>
      </c>
      <c r="Q228" s="5">
        <f>+IF(P228=0,P228,P228/N228)</f>
        <v>0</v>
      </c>
    </row>
    <row r="229" spans="1:17" x14ac:dyDescent="0.25">
      <c r="A229" s="7">
        <v>46244.458333333336</v>
      </c>
      <c r="B229" s="6">
        <v>1767.15</v>
      </c>
      <c r="C229" s="13">
        <v>33.479999999999997</v>
      </c>
      <c r="D229" s="18">
        <f>+B229+C229</f>
        <v>1800.63</v>
      </c>
      <c r="E229" s="14">
        <v>0</v>
      </c>
      <c r="F229" s="18">
        <f t="shared" si="21"/>
        <v>0</v>
      </c>
      <c r="G229" s="18">
        <f t="shared" si="22"/>
        <v>0</v>
      </c>
      <c r="H229" s="14">
        <v>10.36</v>
      </c>
      <c r="I229" s="18">
        <f t="shared" si="23"/>
        <v>10.36</v>
      </c>
      <c r="J229" s="18">
        <f t="shared" si="24"/>
        <v>0</v>
      </c>
      <c r="K229" s="14">
        <v>57.28</v>
      </c>
      <c r="L229" s="18">
        <f t="shared" si="25"/>
        <v>57.28</v>
      </c>
      <c r="M229" s="18">
        <f t="shared" si="26"/>
        <v>0</v>
      </c>
      <c r="N229" s="15">
        <f t="shared" si="27"/>
        <v>67.64</v>
      </c>
      <c r="O229" s="15">
        <f>+N229-P229</f>
        <v>67.64</v>
      </c>
      <c r="P229" s="15">
        <f>+IF(N229&gt;D229,N229-D229,0)</f>
        <v>0</v>
      </c>
      <c r="Q229" s="5">
        <f>+IF(P229=0,P229,P229/N229)</f>
        <v>0</v>
      </c>
    </row>
    <row r="230" spans="1:17" x14ac:dyDescent="0.25">
      <c r="A230" s="7">
        <v>46244.5</v>
      </c>
      <c r="B230" s="6">
        <v>2217.6</v>
      </c>
      <c r="C230" s="13">
        <v>9.1199999999999992</v>
      </c>
      <c r="D230" s="18">
        <f>+B230+C230</f>
        <v>2226.7199999999998</v>
      </c>
      <c r="E230" s="14">
        <v>0</v>
      </c>
      <c r="F230" s="18">
        <f t="shared" si="21"/>
        <v>0</v>
      </c>
      <c r="G230" s="18">
        <f t="shared" si="22"/>
        <v>0</v>
      </c>
      <c r="H230" s="14">
        <v>24.639999999999997</v>
      </c>
      <c r="I230" s="18">
        <f t="shared" si="23"/>
        <v>24.639999999999997</v>
      </c>
      <c r="J230" s="18">
        <f t="shared" si="24"/>
        <v>0</v>
      </c>
      <c r="K230" s="14">
        <v>54.64</v>
      </c>
      <c r="L230" s="18">
        <f t="shared" si="25"/>
        <v>54.64</v>
      </c>
      <c r="M230" s="18">
        <f t="shared" si="26"/>
        <v>0</v>
      </c>
      <c r="N230" s="15">
        <f t="shared" si="27"/>
        <v>79.28</v>
      </c>
      <c r="O230" s="15">
        <f>+N230-P230</f>
        <v>79.28</v>
      </c>
      <c r="P230" s="15">
        <f>+IF(N230&gt;D230,N230-D230,0)</f>
        <v>0</v>
      </c>
      <c r="Q230" s="5">
        <f>+IF(P230=0,P230,P230/N230)</f>
        <v>0</v>
      </c>
    </row>
    <row r="231" spans="1:17" x14ac:dyDescent="0.25">
      <c r="A231" s="7">
        <v>46244.541666666664</v>
      </c>
      <c r="B231" s="6">
        <v>2290.0500000000002</v>
      </c>
      <c r="C231" s="13">
        <v>6.84</v>
      </c>
      <c r="D231" s="18">
        <f>+B231+C231</f>
        <v>2296.8900000000003</v>
      </c>
      <c r="E231" s="14">
        <v>0</v>
      </c>
      <c r="F231" s="18">
        <f t="shared" si="21"/>
        <v>0</v>
      </c>
      <c r="G231" s="18">
        <f t="shared" si="22"/>
        <v>0</v>
      </c>
      <c r="H231" s="14">
        <v>30.759999999999998</v>
      </c>
      <c r="I231" s="18">
        <f t="shared" si="23"/>
        <v>30.759999999999998</v>
      </c>
      <c r="J231" s="18">
        <f t="shared" si="24"/>
        <v>0</v>
      </c>
      <c r="K231" s="14">
        <v>34</v>
      </c>
      <c r="L231" s="18">
        <f t="shared" si="25"/>
        <v>34</v>
      </c>
      <c r="M231" s="18">
        <f t="shared" si="26"/>
        <v>0</v>
      </c>
      <c r="N231" s="15">
        <f t="shared" si="27"/>
        <v>64.759999999999991</v>
      </c>
      <c r="O231" s="15">
        <f>+N231-P231</f>
        <v>64.759999999999991</v>
      </c>
      <c r="P231" s="15">
        <f>+IF(N231&gt;D231,N231-D231,0)</f>
        <v>0</v>
      </c>
      <c r="Q231" s="5">
        <f>+IF(P231=0,P231,P231/N231)</f>
        <v>0</v>
      </c>
    </row>
    <row r="232" spans="1:17" x14ac:dyDescent="0.25">
      <c r="A232" s="7">
        <v>46244.583333333336</v>
      </c>
      <c r="B232" s="6">
        <v>1609.65</v>
      </c>
      <c r="C232" s="13">
        <v>8.8800000000000008</v>
      </c>
      <c r="D232" s="18">
        <f>+B232+C232</f>
        <v>1618.5300000000002</v>
      </c>
      <c r="E232" s="14">
        <v>0</v>
      </c>
      <c r="F232" s="18">
        <f t="shared" si="21"/>
        <v>0</v>
      </c>
      <c r="G232" s="18">
        <f t="shared" si="22"/>
        <v>0</v>
      </c>
      <c r="H232" s="14">
        <v>37.6</v>
      </c>
      <c r="I232" s="18">
        <f t="shared" si="23"/>
        <v>37.6</v>
      </c>
      <c r="J232" s="18">
        <f t="shared" si="24"/>
        <v>0</v>
      </c>
      <c r="K232" s="14">
        <v>28.72</v>
      </c>
      <c r="L232" s="18">
        <f t="shared" si="25"/>
        <v>28.72</v>
      </c>
      <c r="M232" s="18">
        <f t="shared" si="26"/>
        <v>0</v>
      </c>
      <c r="N232" s="15">
        <f t="shared" si="27"/>
        <v>66.319999999999993</v>
      </c>
      <c r="O232" s="15">
        <f>+N232-P232</f>
        <v>66.319999999999993</v>
      </c>
      <c r="P232" s="15">
        <f>+IF(N232&gt;D232,N232-D232,0)</f>
        <v>0</v>
      </c>
      <c r="Q232" s="5">
        <f>+IF(P232=0,P232,P232/N232)</f>
        <v>0</v>
      </c>
    </row>
    <row r="233" spans="1:17" x14ac:dyDescent="0.25">
      <c r="A233" s="7">
        <v>46244.625</v>
      </c>
      <c r="B233" s="6">
        <v>1449</v>
      </c>
      <c r="C233" s="13">
        <v>23.28</v>
      </c>
      <c r="D233" s="18">
        <f>+B233+C233</f>
        <v>1472.28</v>
      </c>
      <c r="E233" s="14">
        <v>0</v>
      </c>
      <c r="F233" s="18">
        <f t="shared" si="21"/>
        <v>0</v>
      </c>
      <c r="G233" s="18">
        <f t="shared" si="22"/>
        <v>0</v>
      </c>
      <c r="H233" s="14">
        <v>21.76</v>
      </c>
      <c r="I233" s="18">
        <f t="shared" si="23"/>
        <v>21.76</v>
      </c>
      <c r="J233" s="18">
        <f t="shared" si="24"/>
        <v>0</v>
      </c>
      <c r="K233" s="14">
        <v>37.96</v>
      </c>
      <c r="L233" s="18">
        <f t="shared" si="25"/>
        <v>37.96</v>
      </c>
      <c r="M233" s="18">
        <f t="shared" si="26"/>
        <v>0</v>
      </c>
      <c r="N233" s="15">
        <f t="shared" si="27"/>
        <v>59.72</v>
      </c>
      <c r="O233" s="15">
        <f>+N233-P233</f>
        <v>59.72</v>
      </c>
      <c r="P233" s="15">
        <f>+IF(N233&gt;D233,N233-D233,0)</f>
        <v>0</v>
      </c>
      <c r="Q233" s="5">
        <f>+IF(P233=0,P233,P233/N233)</f>
        <v>0</v>
      </c>
    </row>
    <row r="234" spans="1:17" x14ac:dyDescent="0.25">
      <c r="A234" s="7">
        <v>46244.666666666664</v>
      </c>
      <c r="B234" s="6">
        <v>759.15</v>
      </c>
      <c r="C234" s="13">
        <v>4.4400000000000004</v>
      </c>
      <c r="D234" s="18">
        <f>+B234+C234</f>
        <v>763.59</v>
      </c>
      <c r="E234" s="14">
        <v>3.15</v>
      </c>
      <c r="F234" s="18">
        <f t="shared" si="21"/>
        <v>3.15</v>
      </c>
      <c r="G234" s="18">
        <f t="shared" si="22"/>
        <v>0</v>
      </c>
      <c r="H234" s="14">
        <v>45.04</v>
      </c>
      <c r="I234" s="18">
        <f t="shared" si="23"/>
        <v>45.04</v>
      </c>
      <c r="J234" s="18">
        <f t="shared" si="24"/>
        <v>0</v>
      </c>
      <c r="K234" s="14">
        <v>27.76</v>
      </c>
      <c r="L234" s="18">
        <f t="shared" si="25"/>
        <v>27.76</v>
      </c>
      <c r="M234" s="18">
        <f t="shared" si="26"/>
        <v>0</v>
      </c>
      <c r="N234" s="15">
        <f t="shared" si="27"/>
        <v>75.95</v>
      </c>
      <c r="O234" s="15">
        <f>+N234-P234</f>
        <v>75.95</v>
      </c>
      <c r="P234" s="15">
        <f>+IF(N234&gt;D234,N234-D234,0)</f>
        <v>0</v>
      </c>
      <c r="Q234" s="5">
        <f>+IF(P234=0,P234,P234/N234)</f>
        <v>0</v>
      </c>
    </row>
    <row r="235" spans="1:17" x14ac:dyDescent="0.25">
      <c r="A235" s="7">
        <v>46244.708333333336</v>
      </c>
      <c r="B235" s="6">
        <v>88.2</v>
      </c>
      <c r="C235" s="13">
        <v>1.32</v>
      </c>
      <c r="D235" s="18">
        <f>+B235+C235</f>
        <v>89.52</v>
      </c>
      <c r="E235" s="14">
        <v>75.592000000000013</v>
      </c>
      <c r="F235" s="18">
        <f t="shared" si="21"/>
        <v>38.06130669546436</v>
      </c>
      <c r="G235" s="18">
        <f t="shared" si="22"/>
        <v>37.530693304535653</v>
      </c>
      <c r="H235" s="14">
        <v>53.080000000000005</v>
      </c>
      <c r="I235" s="18">
        <f t="shared" si="23"/>
        <v>26.726295896328288</v>
      </c>
      <c r="J235" s="18">
        <f t="shared" si="24"/>
        <v>26.353704103671717</v>
      </c>
      <c r="K235" s="14">
        <v>49.12</v>
      </c>
      <c r="L235" s="18">
        <f t="shared" si="25"/>
        <v>24.732397408207337</v>
      </c>
      <c r="M235" s="18">
        <f t="shared" si="26"/>
        <v>24.38760259179266</v>
      </c>
      <c r="N235" s="15">
        <f t="shared" si="27"/>
        <v>177.79200000000003</v>
      </c>
      <c r="O235" s="15">
        <f>+N235-P235</f>
        <v>89.52</v>
      </c>
      <c r="P235" s="15">
        <f>+IF(N235&gt;D235,N235-D235,0)</f>
        <v>88.272000000000034</v>
      </c>
      <c r="Q235" s="5">
        <f>+IF(P235=0,P235,P235/N235)</f>
        <v>0.49649028077753793</v>
      </c>
    </row>
    <row r="236" spans="1:17" x14ac:dyDescent="0.25">
      <c r="A236" s="7">
        <v>46244.75</v>
      </c>
      <c r="B236" s="6">
        <v>129.15</v>
      </c>
      <c r="C236" s="13">
        <v>0</v>
      </c>
      <c r="D236" s="18">
        <f>+B236+C236</f>
        <v>129.15</v>
      </c>
      <c r="E236" s="14">
        <v>280.32</v>
      </c>
      <c r="F236" s="18">
        <f t="shared" si="21"/>
        <v>99.580063813400812</v>
      </c>
      <c r="G236" s="18">
        <f t="shared" si="22"/>
        <v>180.73993618659918</v>
      </c>
      <c r="H236" s="14">
        <v>30.52</v>
      </c>
      <c r="I236" s="18">
        <f t="shared" si="23"/>
        <v>10.84183628561998</v>
      </c>
      <c r="J236" s="18">
        <f t="shared" si="24"/>
        <v>19.67816371438002</v>
      </c>
      <c r="K236" s="14">
        <v>52.720000000000006</v>
      </c>
      <c r="L236" s="18">
        <f t="shared" si="25"/>
        <v>18.72809990097921</v>
      </c>
      <c r="M236" s="18">
        <f t="shared" si="26"/>
        <v>33.991900099020796</v>
      </c>
      <c r="N236" s="15">
        <f t="shared" si="27"/>
        <v>363.56</v>
      </c>
      <c r="O236" s="15">
        <f>+N236-P236</f>
        <v>129.15</v>
      </c>
      <c r="P236" s="15">
        <f>+IF(N236&gt;D236,N236-D236,0)</f>
        <v>234.41</v>
      </c>
      <c r="Q236" s="5">
        <f>+IF(P236=0,P236,P236/N236)</f>
        <v>0.64476290020904392</v>
      </c>
    </row>
    <row r="237" spans="1:17" x14ac:dyDescent="0.25">
      <c r="A237" s="7">
        <v>46244.791666666664</v>
      </c>
      <c r="B237" s="6">
        <v>0</v>
      </c>
      <c r="C237" s="13">
        <v>0</v>
      </c>
      <c r="D237" s="18">
        <f>+B237+C237</f>
        <v>0</v>
      </c>
      <c r="E237" s="14">
        <v>125.98599999999999</v>
      </c>
      <c r="F237" s="18">
        <f t="shared" si="21"/>
        <v>0</v>
      </c>
      <c r="G237" s="18">
        <f t="shared" si="22"/>
        <v>125.98599999999999</v>
      </c>
      <c r="H237" s="14">
        <v>57.52</v>
      </c>
      <c r="I237" s="18">
        <f t="shared" si="23"/>
        <v>0</v>
      </c>
      <c r="J237" s="18">
        <f t="shared" si="24"/>
        <v>57.52</v>
      </c>
      <c r="K237" s="14">
        <v>18.64</v>
      </c>
      <c r="L237" s="18">
        <f t="shared" si="25"/>
        <v>0</v>
      </c>
      <c r="M237" s="18">
        <f t="shared" si="26"/>
        <v>18.64</v>
      </c>
      <c r="N237" s="15">
        <f t="shared" si="27"/>
        <v>202.14600000000002</v>
      </c>
      <c r="O237" s="15">
        <f>+N237-P237</f>
        <v>0</v>
      </c>
      <c r="P237" s="15">
        <f>+IF(N237&gt;D237,N237-D237,0)</f>
        <v>202.14600000000002</v>
      </c>
      <c r="Q237" s="5">
        <f>+IF(P237=0,P237,P237/N237)</f>
        <v>1</v>
      </c>
    </row>
    <row r="238" spans="1:17" x14ac:dyDescent="0.25">
      <c r="A238" s="7">
        <v>46244.833333333336</v>
      </c>
      <c r="B238" s="6">
        <v>0</v>
      </c>
      <c r="C238" s="13">
        <v>0</v>
      </c>
      <c r="D238" s="18">
        <f>+B238+C238</f>
        <v>0</v>
      </c>
      <c r="E238" s="14">
        <v>1203.17</v>
      </c>
      <c r="F238" s="18">
        <f t="shared" si="21"/>
        <v>0</v>
      </c>
      <c r="G238" s="18">
        <f t="shared" si="22"/>
        <v>1203.17</v>
      </c>
      <c r="H238" s="14">
        <v>108.88000000000001</v>
      </c>
      <c r="I238" s="18">
        <f t="shared" si="23"/>
        <v>0</v>
      </c>
      <c r="J238" s="18">
        <f t="shared" si="24"/>
        <v>108.88000000000001</v>
      </c>
      <c r="K238" s="14">
        <v>2.44</v>
      </c>
      <c r="L238" s="18">
        <f t="shared" si="25"/>
        <v>0</v>
      </c>
      <c r="M238" s="18">
        <f t="shared" si="26"/>
        <v>2.44</v>
      </c>
      <c r="N238" s="15">
        <f t="shared" si="27"/>
        <v>1314.4900000000002</v>
      </c>
      <c r="O238" s="15">
        <f>+N238-P238</f>
        <v>0</v>
      </c>
      <c r="P238" s="15">
        <f>+IF(N238&gt;D238,N238-D238,0)</f>
        <v>1314.4900000000002</v>
      </c>
      <c r="Q238" s="5">
        <f>+IF(P238=0,P238,P238/N238)</f>
        <v>1</v>
      </c>
    </row>
    <row r="239" spans="1:17" x14ac:dyDescent="0.25">
      <c r="A239" s="7">
        <v>46244.875</v>
      </c>
      <c r="B239" s="6">
        <v>0</v>
      </c>
      <c r="C239" s="13">
        <v>0</v>
      </c>
      <c r="D239" s="18">
        <f>+B239+C239</f>
        <v>0</v>
      </c>
      <c r="E239" s="14">
        <v>1344.903</v>
      </c>
      <c r="F239" s="18">
        <f t="shared" si="21"/>
        <v>0</v>
      </c>
      <c r="G239" s="18">
        <f t="shared" si="22"/>
        <v>1344.903</v>
      </c>
      <c r="H239" s="14">
        <v>110.92</v>
      </c>
      <c r="I239" s="18">
        <f t="shared" si="23"/>
        <v>0</v>
      </c>
      <c r="J239" s="18">
        <f t="shared" si="24"/>
        <v>110.92</v>
      </c>
      <c r="K239" s="14">
        <v>4.24</v>
      </c>
      <c r="L239" s="18">
        <f t="shared" si="25"/>
        <v>0</v>
      </c>
      <c r="M239" s="18">
        <f t="shared" si="26"/>
        <v>4.24</v>
      </c>
      <c r="N239" s="15">
        <f t="shared" si="27"/>
        <v>1460.0630000000001</v>
      </c>
      <c r="O239" s="15">
        <f>+N239-P239</f>
        <v>0</v>
      </c>
      <c r="P239" s="15">
        <f>+IF(N239&gt;D239,N239-D239,0)</f>
        <v>1460.0630000000001</v>
      </c>
      <c r="Q239" s="5">
        <f>+IF(P239=0,P239,P239/N239)</f>
        <v>1</v>
      </c>
    </row>
    <row r="240" spans="1:17" x14ac:dyDescent="0.25">
      <c r="A240" s="7">
        <v>46244.916666666664</v>
      </c>
      <c r="B240" s="6">
        <v>0</v>
      </c>
      <c r="C240" s="13">
        <v>0</v>
      </c>
      <c r="D240" s="18">
        <f>+B240+C240</f>
        <v>0</v>
      </c>
      <c r="E240" s="14">
        <v>1256.8720000000001</v>
      </c>
      <c r="F240" s="18">
        <f t="shared" si="21"/>
        <v>0</v>
      </c>
      <c r="G240" s="18">
        <f t="shared" si="22"/>
        <v>1256.8720000000001</v>
      </c>
      <c r="H240" s="14">
        <v>127.48</v>
      </c>
      <c r="I240" s="18">
        <f t="shared" si="23"/>
        <v>0</v>
      </c>
      <c r="J240" s="18">
        <f t="shared" si="24"/>
        <v>127.48</v>
      </c>
      <c r="K240" s="14">
        <v>4.96</v>
      </c>
      <c r="L240" s="18">
        <f t="shared" si="25"/>
        <v>0</v>
      </c>
      <c r="M240" s="18">
        <f t="shared" si="26"/>
        <v>4.96</v>
      </c>
      <c r="N240" s="15">
        <f t="shared" si="27"/>
        <v>1389.3120000000001</v>
      </c>
      <c r="O240" s="15">
        <f>+N240-P240</f>
        <v>0</v>
      </c>
      <c r="P240" s="15">
        <f>+IF(N240&gt;D240,N240-D240,0)</f>
        <v>1389.3120000000001</v>
      </c>
      <c r="Q240" s="5">
        <f>+IF(P240=0,P240,P240/N240)</f>
        <v>1</v>
      </c>
    </row>
    <row r="241" spans="1:17" x14ac:dyDescent="0.25">
      <c r="A241" s="7">
        <v>46244.958333333336</v>
      </c>
      <c r="B241" s="6">
        <v>0</v>
      </c>
      <c r="C241" s="13">
        <v>0</v>
      </c>
      <c r="D241" s="18">
        <f>+B241+C241</f>
        <v>0</v>
      </c>
      <c r="E241" s="14">
        <v>1017.4680000000001</v>
      </c>
      <c r="F241" s="18">
        <f t="shared" si="21"/>
        <v>0</v>
      </c>
      <c r="G241" s="18">
        <f t="shared" si="22"/>
        <v>1017.4680000000001</v>
      </c>
      <c r="H241" s="14">
        <v>103.48</v>
      </c>
      <c r="I241" s="18">
        <f t="shared" si="23"/>
        <v>0</v>
      </c>
      <c r="J241" s="18">
        <f t="shared" si="24"/>
        <v>103.48</v>
      </c>
      <c r="K241" s="14">
        <v>2.92</v>
      </c>
      <c r="L241" s="18">
        <f t="shared" si="25"/>
        <v>0</v>
      </c>
      <c r="M241" s="18">
        <f t="shared" si="26"/>
        <v>2.92</v>
      </c>
      <c r="N241" s="15">
        <f t="shared" si="27"/>
        <v>1123.8680000000002</v>
      </c>
      <c r="O241" s="15">
        <f>+N241-P241</f>
        <v>0</v>
      </c>
      <c r="P241" s="15">
        <f>+IF(N241&gt;D241,N241-D241,0)</f>
        <v>1123.8680000000002</v>
      </c>
      <c r="Q241" s="5">
        <f>+IF(P241=0,P241,P241/N241)</f>
        <v>1</v>
      </c>
    </row>
    <row r="242" spans="1:17" x14ac:dyDescent="0.25">
      <c r="A242" s="7">
        <v>46245</v>
      </c>
      <c r="B242" s="6">
        <v>0</v>
      </c>
      <c r="C242" s="13">
        <v>0</v>
      </c>
      <c r="D242" s="18">
        <f>+B242+C242</f>
        <v>0</v>
      </c>
      <c r="E242" s="14">
        <v>932.41600000000005</v>
      </c>
      <c r="F242" s="18">
        <f t="shared" si="21"/>
        <v>0</v>
      </c>
      <c r="G242" s="18">
        <f t="shared" si="22"/>
        <v>932.41600000000005</v>
      </c>
      <c r="H242" s="14">
        <v>71.08</v>
      </c>
      <c r="I242" s="18">
        <f t="shared" si="23"/>
        <v>0</v>
      </c>
      <c r="J242" s="18">
        <f t="shared" si="24"/>
        <v>71.08</v>
      </c>
      <c r="K242" s="14">
        <v>2.92</v>
      </c>
      <c r="L242" s="18">
        <f t="shared" si="25"/>
        <v>0</v>
      </c>
      <c r="M242" s="18">
        <f t="shared" si="26"/>
        <v>2.92</v>
      </c>
      <c r="N242" s="15">
        <f t="shared" si="27"/>
        <v>1006.4160000000001</v>
      </c>
      <c r="O242" s="15">
        <f>+N242-P242</f>
        <v>0</v>
      </c>
      <c r="P242" s="15">
        <f>+IF(N242&gt;D242,N242-D242,0)</f>
        <v>1006.4160000000001</v>
      </c>
      <c r="Q242" s="5">
        <f>+IF(P242=0,P242,P242/N242)</f>
        <v>1</v>
      </c>
    </row>
    <row r="243" spans="1:17" x14ac:dyDescent="0.25">
      <c r="A243" s="7">
        <v>46245.041666666664</v>
      </c>
      <c r="B243" s="6">
        <v>0</v>
      </c>
      <c r="C243" s="13">
        <v>0</v>
      </c>
      <c r="D243" s="18">
        <f>+B243+C243</f>
        <v>0</v>
      </c>
      <c r="E243" s="14">
        <v>66.150999999999996</v>
      </c>
      <c r="F243" s="18">
        <f t="shared" si="21"/>
        <v>0</v>
      </c>
      <c r="G243" s="18">
        <f t="shared" si="22"/>
        <v>66.150999999999996</v>
      </c>
      <c r="H243" s="14">
        <v>98.559999999999988</v>
      </c>
      <c r="I243" s="18">
        <f t="shared" si="23"/>
        <v>0</v>
      </c>
      <c r="J243" s="18">
        <f t="shared" si="24"/>
        <v>98.559999999999988</v>
      </c>
      <c r="K243" s="14">
        <v>2.8</v>
      </c>
      <c r="L243" s="18">
        <f t="shared" si="25"/>
        <v>0</v>
      </c>
      <c r="M243" s="18">
        <f t="shared" si="26"/>
        <v>2.8</v>
      </c>
      <c r="N243" s="15">
        <f t="shared" si="27"/>
        <v>167.511</v>
      </c>
      <c r="O243" s="15">
        <f>+N243-P243</f>
        <v>0</v>
      </c>
      <c r="P243" s="15">
        <f>+IF(N243&gt;D243,N243-D243,0)</f>
        <v>167.511</v>
      </c>
      <c r="Q243" s="5">
        <f>+IF(P243=0,P243,P243/N243)</f>
        <v>1</v>
      </c>
    </row>
    <row r="244" spans="1:17" x14ac:dyDescent="0.25">
      <c r="A244" s="7">
        <v>46245.083333333336</v>
      </c>
      <c r="B244" s="6">
        <v>0</v>
      </c>
      <c r="C244" s="13">
        <v>0</v>
      </c>
      <c r="D244" s="18">
        <f>+B244+C244</f>
        <v>0</v>
      </c>
      <c r="E244" s="14">
        <v>916.66599999999994</v>
      </c>
      <c r="F244" s="18">
        <f t="shared" si="21"/>
        <v>0</v>
      </c>
      <c r="G244" s="18">
        <f t="shared" si="22"/>
        <v>916.66599999999994</v>
      </c>
      <c r="H244" s="14">
        <v>105.03999999999999</v>
      </c>
      <c r="I244" s="18">
        <f t="shared" si="23"/>
        <v>0</v>
      </c>
      <c r="J244" s="18">
        <f t="shared" si="24"/>
        <v>105.03999999999999</v>
      </c>
      <c r="K244" s="14">
        <v>2.92</v>
      </c>
      <c r="L244" s="18">
        <f t="shared" si="25"/>
        <v>0</v>
      </c>
      <c r="M244" s="18">
        <f t="shared" si="26"/>
        <v>2.92</v>
      </c>
      <c r="N244" s="15">
        <f t="shared" si="27"/>
        <v>1024.626</v>
      </c>
      <c r="O244" s="15">
        <f>+N244-P244</f>
        <v>0</v>
      </c>
      <c r="P244" s="15">
        <f>+IF(N244&gt;D244,N244-D244,0)</f>
        <v>1024.626</v>
      </c>
      <c r="Q244" s="5">
        <f>+IF(P244=0,P244,P244/N244)</f>
        <v>1</v>
      </c>
    </row>
    <row r="245" spans="1:17" x14ac:dyDescent="0.25">
      <c r="A245" s="7">
        <v>46245.125</v>
      </c>
      <c r="B245" s="6">
        <v>0</v>
      </c>
      <c r="C245" s="13">
        <v>0</v>
      </c>
      <c r="D245" s="18">
        <f>+B245+C245</f>
        <v>0</v>
      </c>
      <c r="E245" s="14">
        <v>894.61599999999999</v>
      </c>
      <c r="F245" s="18">
        <f t="shared" si="21"/>
        <v>0</v>
      </c>
      <c r="G245" s="18">
        <f t="shared" si="22"/>
        <v>894.61599999999999</v>
      </c>
      <c r="H245" s="14">
        <v>113.44</v>
      </c>
      <c r="I245" s="18">
        <f t="shared" si="23"/>
        <v>0</v>
      </c>
      <c r="J245" s="18">
        <f t="shared" si="24"/>
        <v>113.44</v>
      </c>
      <c r="K245" s="14">
        <v>2.92</v>
      </c>
      <c r="L245" s="18">
        <f t="shared" si="25"/>
        <v>0</v>
      </c>
      <c r="M245" s="18">
        <f t="shared" si="26"/>
        <v>2.92</v>
      </c>
      <c r="N245" s="15">
        <f t="shared" si="27"/>
        <v>1010.976</v>
      </c>
      <c r="O245" s="15">
        <f>+N245-P245</f>
        <v>0</v>
      </c>
      <c r="P245" s="15">
        <f>+IF(N245&gt;D245,N245-D245,0)</f>
        <v>1010.976</v>
      </c>
      <c r="Q245" s="5">
        <f>+IF(P245=0,P245,P245/N245)</f>
        <v>1</v>
      </c>
    </row>
    <row r="246" spans="1:17" x14ac:dyDescent="0.25">
      <c r="A246" s="7">
        <v>46245.166666666664</v>
      </c>
      <c r="B246" s="6">
        <v>0</v>
      </c>
      <c r="C246" s="13">
        <v>0</v>
      </c>
      <c r="D246" s="18">
        <f>+B246+C246</f>
        <v>0</v>
      </c>
      <c r="E246" s="14">
        <v>907.21600000000001</v>
      </c>
      <c r="F246" s="18">
        <f t="shared" si="21"/>
        <v>0</v>
      </c>
      <c r="G246" s="18">
        <f t="shared" si="22"/>
        <v>907.21600000000001</v>
      </c>
      <c r="H246" s="14">
        <v>88.36</v>
      </c>
      <c r="I246" s="18">
        <f t="shared" si="23"/>
        <v>0</v>
      </c>
      <c r="J246" s="18">
        <f t="shared" si="24"/>
        <v>88.36</v>
      </c>
      <c r="K246" s="14">
        <v>3.04</v>
      </c>
      <c r="L246" s="18">
        <f t="shared" si="25"/>
        <v>0</v>
      </c>
      <c r="M246" s="18">
        <f t="shared" si="26"/>
        <v>3.04</v>
      </c>
      <c r="N246" s="15">
        <f t="shared" si="27"/>
        <v>998.61599999999999</v>
      </c>
      <c r="O246" s="15">
        <f>+N246-P246</f>
        <v>0</v>
      </c>
      <c r="P246" s="15">
        <f>+IF(N246&gt;D246,N246-D246,0)</f>
        <v>998.61599999999999</v>
      </c>
      <c r="Q246" s="5">
        <f>+IF(P246=0,P246,P246/N246)</f>
        <v>1</v>
      </c>
    </row>
    <row r="247" spans="1:17" x14ac:dyDescent="0.25">
      <c r="A247" s="7">
        <v>46245.208333333336</v>
      </c>
      <c r="B247" s="6">
        <v>0</v>
      </c>
      <c r="C247" s="13">
        <v>0</v>
      </c>
      <c r="D247" s="18">
        <f>+B247+C247</f>
        <v>0</v>
      </c>
      <c r="E247" s="14">
        <v>853.66499999999996</v>
      </c>
      <c r="F247" s="18">
        <f t="shared" si="21"/>
        <v>0</v>
      </c>
      <c r="G247" s="18">
        <f t="shared" si="22"/>
        <v>853.66499999999996</v>
      </c>
      <c r="H247" s="14">
        <v>64.47999999999999</v>
      </c>
      <c r="I247" s="18">
        <f t="shared" si="23"/>
        <v>0</v>
      </c>
      <c r="J247" s="18">
        <f t="shared" si="24"/>
        <v>64.47999999999999</v>
      </c>
      <c r="K247" s="14">
        <v>3.16</v>
      </c>
      <c r="L247" s="18">
        <f t="shared" si="25"/>
        <v>0</v>
      </c>
      <c r="M247" s="18">
        <f t="shared" si="26"/>
        <v>3.16</v>
      </c>
      <c r="N247" s="15">
        <f t="shared" si="27"/>
        <v>921.30499999999995</v>
      </c>
      <c r="O247" s="15">
        <f>+N247-P247</f>
        <v>0</v>
      </c>
      <c r="P247" s="15">
        <f>+IF(N247&gt;D247,N247-D247,0)</f>
        <v>921.30499999999995</v>
      </c>
      <c r="Q247" s="5">
        <f>+IF(P247=0,P247,P247/N247)</f>
        <v>1</v>
      </c>
    </row>
    <row r="248" spans="1:17" x14ac:dyDescent="0.25">
      <c r="A248" s="7">
        <v>46245.25</v>
      </c>
      <c r="B248" s="6">
        <v>50.4</v>
      </c>
      <c r="C248" s="13">
        <v>0</v>
      </c>
      <c r="D248" s="18">
        <f>+B248+C248</f>
        <v>50.4</v>
      </c>
      <c r="E248" s="14">
        <v>3.15</v>
      </c>
      <c r="F248" s="18">
        <f t="shared" si="21"/>
        <v>2.8153928001418689</v>
      </c>
      <c r="G248" s="18">
        <f t="shared" si="22"/>
        <v>0.33460719985813098</v>
      </c>
      <c r="H248" s="14">
        <v>49.96</v>
      </c>
      <c r="I248" s="18">
        <f t="shared" si="23"/>
        <v>44.653023585742154</v>
      </c>
      <c r="J248" s="18">
        <f t="shared" si="24"/>
        <v>5.3069764142578491</v>
      </c>
      <c r="K248" s="14">
        <v>3.28</v>
      </c>
      <c r="L248" s="18">
        <f t="shared" si="25"/>
        <v>2.9315836141159779</v>
      </c>
      <c r="M248" s="18">
        <f t="shared" si="26"/>
        <v>0.34841638588402207</v>
      </c>
      <c r="N248" s="15">
        <f t="shared" si="27"/>
        <v>56.39</v>
      </c>
      <c r="O248" s="15">
        <f>+N248-P248</f>
        <v>50.4</v>
      </c>
      <c r="P248" s="15">
        <f>+IF(N248&gt;D248,N248-D248,0)</f>
        <v>5.990000000000002</v>
      </c>
      <c r="Q248" s="5">
        <f>+IF(P248=0,P248,P248/N248)</f>
        <v>0.10622450789147016</v>
      </c>
    </row>
    <row r="249" spans="1:17" x14ac:dyDescent="0.25">
      <c r="A249" s="7">
        <v>46245.291666666664</v>
      </c>
      <c r="B249" s="6">
        <v>481.95</v>
      </c>
      <c r="C249" s="13">
        <v>0.24</v>
      </c>
      <c r="D249" s="18">
        <f>+B249+C249</f>
        <v>482.19</v>
      </c>
      <c r="E249" s="14">
        <v>0</v>
      </c>
      <c r="F249" s="18">
        <f t="shared" si="21"/>
        <v>0</v>
      </c>
      <c r="G249" s="18">
        <f t="shared" si="22"/>
        <v>0</v>
      </c>
      <c r="H249" s="14">
        <v>30.880000000000003</v>
      </c>
      <c r="I249" s="18">
        <f t="shared" si="23"/>
        <v>30.880000000000003</v>
      </c>
      <c r="J249" s="18">
        <f t="shared" si="24"/>
        <v>0</v>
      </c>
      <c r="K249" s="14">
        <v>2.3199999999999998</v>
      </c>
      <c r="L249" s="18">
        <f t="shared" si="25"/>
        <v>2.3199999999999998</v>
      </c>
      <c r="M249" s="18">
        <f t="shared" si="26"/>
        <v>0</v>
      </c>
      <c r="N249" s="15">
        <f t="shared" si="27"/>
        <v>33.200000000000003</v>
      </c>
      <c r="O249" s="15">
        <f>+N249-P249</f>
        <v>33.200000000000003</v>
      </c>
      <c r="P249" s="15">
        <f>+IF(N249&gt;D249,N249-D249,0)</f>
        <v>0</v>
      </c>
      <c r="Q249" s="5">
        <f>+IF(P249=0,P249,P249/N249)</f>
        <v>0</v>
      </c>
    </row>
    <row r="250" spans="1:17" x14ac:dyDescent="0.25">
      <c r="A250" s="7">
        <v>46245.333333333336</v>
      </c>
      <c r="B250" s="6">
        <v>1020.6</v>
      </c>
      <c r="C250" s="13">
        <v>0</v>
      </c>
      <c r="D250" s="18">
        <f>+B250+C250</f>
        <v>1020.6</v>
      </c>
      <c r="E250" s="14">
        <v>0</v>
      </c>
      <c r="F250" s="18">
        <f t="shared" si="21"/>
        <v>0</v>
      </c>
      <c r="G250" s="18">
        <f t="shared" si="22"/>
        <v>0</v>
      </c>
      <c r="H250" s="14">
        <v>130.12</v>
      </c>
      <c r="I250" s="18">
        <f t="shared" si="23"/>
        <v>130.12</v>
      </c>
      <c r="J250" s="18">
        <f t="shared" si="24"/>
        <v>0</v>
      </c>
      <c r="K250" s="14">
        <v>8.2000000000000011</v>
      </c>
      <c r="L250" s="18">
        <f t="shared" si="25"/>
        <v>8.2000000000000011</v>
      </c>
      <c r="M250" s="18">
        <f t="shared" si="26"/>
        <v>0</v>
      </c>
      <c r="N250" s="15">
        <f t="shared" si="27"/>
        <v>138.32</v>
      </c>
      <c r="O250" s="15">
        <f>+N250-P250</f>
        <v>138.32</v>
      </c>
      <c r="P250" s="15">
        <f>+IF(N250&gt;D250,N250-D250,0)</f>
        <v>0</v>
      </c>
      <c r="Q250" s="5">
        <f>+IF(P250=0,P250,P250/N250)</f>
        <v>0</v>
      </c>
    </row>
    <row r="251" spans="1:17" x14ac:dyDescent="0.25">
      <c r="A251" s="7">
        <v>46245.375</v>
      </c>
      <c r="B251" s="6">
        <v>1477.35</v>
      </c>
      <c r="C251" s="13">
        <v>4.4400000000000004</v>
      </c>
      <c r="D251" s="18">
        <f>+B251+C251</f>
        <v>1481.79</v>
      </c>
      <c r="E251" s="14">
        <v>0</v>
      </c>
      <c r="F251" s="18">
        <f t="shared" si="21"/>
        <v>0</v>
      </c>
      <c r="G251" s="18">
        <f t="shared" si="22"/>
        <v>0</v>
      </c>
      <c r="H251" s="14">
        <v>49.72</v>
      </c>
      <c r="I251" s="18">
        <f t="shared" si="23"/>
        <v>49.72</v>
      </c>
      <c r="J251" s="18">
        <f t="shared" si="24"/>
        <v>0</v>
      </c>
      <c r="K251" s="14">
        <v>25.84</v>
      </c>
      <c r="L251" s="18">
        <f t="shared" si="25"/>
        <v>25.84</v>
      </c>
      <c r="M251" s="18">
        <f t="shared" si="26"/>
        <v>0</v>
      </c>
      <c r="N251" s="15">
        <f t="shared" si="27"/>
        <v>75.56</v>
      </c>
      <c r="O251" s="15">
        <f>+N251-P251</f>
        <v>75.56</v>
      </c>
      <c r="P251" s="15">
        <f>+IF(N251&gt;D251,N251-D251,0)</f>
        <v>0</v>
      </c>
      <c r="Q251" s="5">
        <f>+IF(P251=0,P251,P251/N251)</f>
        <v>0</v>
      </c>
    </row>
    <row r="252" spans="1:17" x14ac:dyDescent="0.25">
      <c r="A252" s="7">
        <v>46245.416666666664</v>
      </c>
      <c r="B252" s="6">
        <v>1471.05</v>
      </c>
      <c r="C252" s="13">
        <v>5.52</v>
      </c>
      <c r="D252" s="18">
        <f>+B252+C252</f>
        <v>1476.57</v>
      </c>
      <c r="E252" s="14">
        <v>0</v>
      </c>
      <c r="F252" s="18">
        <f t="shared" si="21"/>
        <v>0</v>
      </c>
      <c r="G252" s="18">
        <f t="shared" si="22"/>
        <v>0</v>
      </c>
      <c r="H252" s="14">
        <v>33.520000000000003</v>
      </c>
      <c r="I252" s="18">
        <f t="shared" si="23"/>
        <v>33.520000000000003</v>
      </c>
      <c r="J252" s="18">
        <f t="shared" si="24"/>
        <v>0</v>
      </c>
      <c r="K252" s="14">
        <v>29.080000000000002</v>
      </c>
      <c r="L252" s="18">
        <f t="shared" si="25"/>
        <v>29.080000000000002</v>
      </c>
      <c r="M252" s="18">
        <f t="shared" si="26"/>
        <v>0</v>
      </c>
      <c r="N252" s="15">
        <f t="shared" si="27"/>
        <v>62.600000000000009</v>
      </c>
      <c r="O252" s="15">
        <f>+N252-P252</f>
        <v>62.600000000000009</v>
      </c>
      <c r="P252" s="15">
        <f>+IF(N252&gt;D252,N252-D252,0)</f>
        <v>0</v>
      </c>
      <c r="Q252" s="5">
        <f>+IF(P252=0,P252,P252/N252)</f>
        <v>0</v>
      </c>
    </row>
    <row r="253" spans="1:17" x14ac:dyDescent="0.25">
      <c r="A253" s="7">
        <v>46245.458333333336</v>
      </c>
      <c r="B253" s="6">
        <v>2025.45</v>
      </c>
      <c r="C253" s="13">
        <v>21.96</v>
      </c>
      <c r="D253" s="18">
        <f>+B253+C253</f>
        <v>2047.41</v>
      </c>
      <c r="E253" s="14">
        <v>6.3</v>
      </c>
      <c r="F253" s="18">
        <f t="shared" si="21"/>
        <v>6.3</v>
      </c>
      <c r="G253" s="18">
        <f t="shared" si="22"/>
        <v>0</v>
      </c>
      <c r="H253" s="14">
        <v>20.32</v>
      </c>
      <c r="I253" s="18">
        <f t="shared" si="23"/>
        <v>20.32</v>
      </c>
      <c r="J253" s="18">
        <f t="shared" si="24"/>
        <v>0</v>
      </c>
      <c r="K253" s="14">
        <v>18.759999999999998</v>
      </c>
      <c r="L253" s="18">
        <f t="shared" si="25"/>
        <v>18.759999999999998</v>
      </c>
      <c r="M253" s="18">
        <f t="shared" si="26"/>
        <v>0</v>
      </c>
      <c r="N253" s="15">
        <f t="shared" si="27"/>
        <v>45.379999999999995</v>
      </c>
      <c r="O253" s="15">
        <f>+N253-P253</f>
        <v>45.379999999999995</v>
      </c>
      <c r="P253" s="15">
        <f>+IF(N253&gt;D253,N253-D253,0)</f>
        <v>0</v>
      </c>
      <c r="Q253" s="5">
        <f>+IF(P253=0,P253,P253/N253)</f>
        <v>0</v>
      </c>
    </row>
    <row r="254" spans="1:17" x14ac:dyDescent="0.25">
      <c r="A254" s="7">
        <v>46245.5</v>
      </c>
      <c r="B254" s="6">
        <v>2381.4</v>
      </c>
      <c r="C254" s="13">
        <v>15.12</v>
      </c>
      <c r="D254" s="18">
        <f>+B254+C254</f>
        <v>2396.52</v>
      </c>
      <c r="E254" s="14">
        <v>0</v>
      </c>
      <c r="F254" s="18">
        <f t="shared" si="21"/>
        <v>0</v>
      </c>
      <c r="G254" s="18">
        <f t="shared" si="22"/>
        <v>0</v>
      </c>
      <c r="H254" s="14">
        <v>12.4</v>
      </c>
      <c r="I254" s="18">
        <f t="shared" si="23"/>
        <v>12.4</v>
      </c>
      <c r="J254" s="18">
        <f t="shared" si="24"/>
        <v>0</v>
      </c>
      <c r="K254" s="14">
        <v>20.080000000000002</v>
      </c>
      <c r="L254" s="18">
        <f t="shared" si="25"/>
        <v>20.080000000000002</v>
      </c>
      <c r="M254" s="18">
        <f t="shared" si="26"/>
        <v>0</v>
      </c>
      <c r="N254" s="15">
        <f t="shared" si="27"/>
        <v>32.480000000000004</v>
      </c>
      <c r="O254" s="15">
        <f>+N254-P254</f>
        <v>32.480000000000004</v>
      </c>
      <c r="P254" s="15">
        <f>+IF(N254&gt;D254,N254-D254,0)</f>
        <v>0</v>
      </c>
      <c r="Q254" s="5">
        <f>+IF(P254=0,P254,P254/N254)</f>
        <v>0</v>
      </c>
    </row>
    <row r="255" spans="1:17" x14ac:dyDescent="0.25">
      <c r="A255" s="7">
        <v>46245.541666666664</v>
      </c>
      <c r="B255" s="6">
        <v>2520</v>
      </c>
      <c r="C255" s="13">
        <v>35.64</v>
      </c>
      <c r="D255" s="18">
        <f>+B255+C255</f>
        <v>2555.64</v>
      </c>
      <c r="E255" s="14">
        <v>0</v>
      </c>
      <c r="F255" s="18">
        <f t="shared" si="21"/>
        <v>0</v>
      </c>
      <c r="G255" s="18">
        <f t="shared" si="22"/>
        <v>0</v>
      </c>
      <c r="H255" s="14">
        <v>4.96</v>
      </c>
      <c r="I255" s="18">
        <f t="shared" si="23"/>
        <v>4.96</v>
      </c>
      <c r="J255" s="18">
        <f t="shared" si="24"/>
        <v>0</v>
      </c>
      <c r="K255" s="14">
        <v>30.16</v>
      </c>
      <c r="L255" s="18">
        <f t="shared" si="25"/>
        <v>30.16</v>
      </c>
      <c r="M255" s="18">
        <f t="shared" si="26"/>
        <v>0</v>
      </c>
      <c r="N255" s="15">
        <f t="shared" si="27"/>
        <v>35.119999999999997</v>
      </c>
      <c r="O255" s="15">
        <f>+N255-P255</f>
        <v>35.119999999999997</v>
      </c>
      <c r="P255" s="15">
        <f>+IF(N255&gt;D255,N255-D255,0)</f>
        <v>0</v>
      </c>
      <c r="Q255" s="5">
        <f>+IF(P255=0,P255,P255/N255)</f>
        <v>0</v>
      </c>
    </row>
    <row r="256" spans="1:17" x14ac:dyDescent="0.25">
      <c r="A256" s="7">
        <v>46245.583333333336</v>
      </c>
      <c r="B256" s="6">
        <v>2160.9</v>
      </c>
      <c r="C256" s="13">
        <v>12.96</v>
      </c>
      <c r="D256" s="18">
        <f>+B256+C256</f>
        <v>2173.86</v>
      </c>
      <c r="E256" s="14">
        <v>0</v>
      </c>
      <c r="F256" s="18">
        <f t="shared" si="21"/>
        <v>0</v>
      </c>
      <c r="G256" s="18">
        <f t="shared" si="22"/>
        <v>0</v>
      </c>
      <c r="H256" s="14">
        <v>22.12</v>
      </c>
      <c r="I256" s="18">
        <f t="shared" si="23"/>
        <v>22.12</v>
      </c>
      <c r="J256" s="18">
        <f t="shared" si="24"/>
        <v>0</v>
      </c>
      <c r="K256" s="14">
        <v>29.080000000000002</v>
      </c>
      <c r="L256" s="18">
        <f t="shared" si="25"/>
        <v>29.080000000000002</v>
      </c>
      <c r="M256" s="18">
        <f t="shared" si="26"/>
        <v>0</v>
      </c>
      <c r="N256" s="15">
        <f t="shared" si="27"/>
        <v>51.2</v>
      </c>
      <c r="O256" s="15">
        <f>+N256-P256</f>
        <v>51.2</v>
      </c>
      <c r="P256" s="15">
        <f>+IF(N256&gt;D256,N256-D256,0)</f>
        <v>0</v>
      </c>
      <c r="Q256" s="5">
        <f>+IF(P256=0,P256,P256/N256)</f>
        <v>0</v>
      </c>
    </row>
    <row r="257" spans="1:17" x14ac:dyDescent="0.25">
      <c r="A257" s="7">
        <v>46245.625</v>
      </c>
      <c r="B257" s="6">
        <v>1452.15</v>
      </c>
      <c r="C257" s="13">
        <v>25.08</v>
      </c>
      <c r="D257" s="18">
        <f>+B257+C257</f>
        <v>1477.23</v>
      </c>
      <c r="E257" s="14">
        <v>0</v>
      </c>
      <c r="F257" s="18">
        <f t="shared" si="21"/>
        <v>0</v>
      </c>
      <c r="G257" s="18">
        <f t="shared" si="22"/>
        <v>0</v>
      </c>
      <c r="H257" s="14">
        <v>12.52</v>
      </c>
      <c r="I257" s="18">
        <f t="shared" si="23"/>
        <v>12.52</v>
      </c>
      <c r="J257" s="18">
        <f t="shared" si="24"/>
        <v>0</v>
      </c>
      <c r="K257" s="14">
        <v>41.44</v>
      </c>
      <c r="L257" s="18">
        <f t="shared" si="25"/>
        <v>41.44</v>
      </c>
      <c r="M257" s="18">
        <f t="shared" si="26"/>
        <v>0</v>
      </c>
      <c r="N257" s="15">
        <f t="shared" si="27"/>
        <v>53.959999999999994</v>
      </c>
      <c r="O257" s="15">
        <f>+N257-P257</f>
        <v>53.959999999999994</v>
      </c>
      <c r="P257" s="15">
        <f>+IF(N257&gt;D257,N257-D257,0)</f>
        <v>0</v>
      </c>
      <c r="Q257" s="5">
        <f>+IF(P257=0,P257,P257/N257)</f>
        <v>0</v>
      </c>
    </row>
    <row r="258" spans="1:17" x14ac:dyDescent="0.25">
      <c r="A258" s="7">
        <v>46245.666666666664</v>
      </c>
      <c r="B258" s="6">
        <v>951.3</v>
      </c>
      <c r="C258" s="13">
        <v>5.4</v>
      </c>
      <c r="D258" s="18">
        <f>+B258+C258</f>
        <v>956.69999999999993</v>
      </c>
      <c r="E258" s="14">
        <v>0</v>
      </c>
      <c r="F258" s="18">
        <f t="shared" si="21"/>
        <v>0</v>
      </c>
      <c r="G258" s="18">
        <f t="shared" si="22"/>
        <v>0</v>
      </c>
      <c r="H258" s="14">
        <v>38.559999999999995</v>
      </c>
      <c r="I258" s="18">
        <f t="shared" si="23"/>
        <v>38.559999999999995</v>
      </c>
      <c r="J258" s="18">
        <f t="shared" si="24"/>
        <v>0</v>
      </c>
      <c r="K258" s="14">
        <v>26.8</v>
      </c>
      <c r="L258" s="18">
        <f t="shared" si="25"/>
        <v>26.8</v>
      </c>
      <c r="M258" s="18">
        <f t="shared" si="26"/>
        <v>0</v>
      </c>
      <c r="N258" s="15">
        <f t="shared" si="27"/>
        <v>65.36</v>
      </c>
      <c r="O258" s="15">
        <f>+N258-P258</f>
        <v>65.36</v>
      </c>
      <c r="P258" s="15">
        <f>+IF(N258&gt;D258,N258-D258,0)</f>
        <v>0</v>
      </c>
      <c r="Q258" s="5">
        <f>+IF(P258=0,P258,P258/N258)</f>
        <v>0</v>
      </c>
    </row>
    <row r="259" spans="1:17" x14ac:dyDescent="0.25">
      <c r="A259" s="7">
        <v>46245.708333333336</v>
      </c>
      <c r="B259" s="6">
        <v>378</v>
      </c>
      <c r="C259" s="13">
        <v>0.96</v>
      </c>
      <c r="D259" s="18">
        <f>+B259+C259</f>
        <v>378.96</v>
      </c>
      <c r="E259" s="14">
        <v>0</v>
      </c>
      <c r="F259" s="18">
        <f t="shared" ref="F259:F322" si="28">+E259-G259</f>
        <v>0</v>
      </c>
      <c r="G259" s="18">
        <f t="shared" ref="G259:G322" si="29">+E259*Q259</f>
        <v>0</v>
      </c>
      <c r="H259" s="14">
        <v>48.4</v>
      </c>
      <c r="I259" s="18">
        <f t="shared" ref="I259:I322" si="30">+H259-J259</f>
        <v>48.4</v>
      </c>
      <c r="J259" s="18">
        <f t="shared" ref="J259:J322" si="31">+H259*Q259</f>
        <v>0</v>
      </c>
      <c r="K259" s="14">
        <v>66.16</v>
      </c>
      <c r="L259" s="18">
        <f t="shared" ref="L259:L322" si="32">+K259-M259</f>
        <v>66.16</v>
      </c>
      <c r="M259" s="18">
        <f t="shared" ref="M259:M322" si="33">+K259*Q259</f>
        <v>0</v>
      </c>
      <c r="N259" s="15">
        <f t="shared" ref="N259:N322" si="34">+E259+H259+K259</f>
        <v>114.56</v>
      </c>
      <c r="O259" s="15">
        <f>+N259-P259</f>
        <v>114.56</v>
      </c>
      <c r="P259" s="15">
        <f>+IF(N259&gt;D259,N259-D259,0)</f>
        <v>0</v>
      </c>
      <c r="Q259" s="5">
        <f>+IF(P259=0,P259,P259/N259)</f>
        <v>0</v>
      </c>
    </row>
    <row r="260" spans="1:17" x14ac:dyDescent="0.25">
      <c r="A260" s="7">
        <v>46245.75</v>
      </c>
      <c r="B260" s="6">
        <v>220.5</v>
      </c>
      <c r="C260" s="13">
        <v>0</v>
      </c>
      <c r="D260" s="18">
        <f>+B260+C260</f>
        <v>220.5</v>
      </c>
      <c r="E260" s="14">
        <v>3.15</v>
      </c>
      <c r="F260" s="18">
        <f t="shared" si="28"/>
        <v>3.15</v>
      </c>
      <c r="G260" s="18">
        <f t="shared" si="29"/>
        <v>0</v>
      </c>
      <c r="H260" s="14">
        <v>60.16</v>
      </c>
      <c r="I260" s="18">
        <f t="shared" si="30"/>
        <v>60.16</v>
      </c>
      <c r="J260" s="18">
        <f t="shared" si="31"/>
        <v>0</v>
      </c>
      <c r="K260" s="14">
        <v>44.44</v>
      </c>
      <c r="L260" s="18">
        <f t="shared" si="32"/>
        <v>44.44</v>
      </c>
      <c r="M260" s="18">
        <f t="shared" si="33"/>
        <v>0</v>
      </c>
      <c r="N260" s="15">
        <f t="shared" si="34"/>
        <v>107.75</v>
      </c>
      <c r="O260" s="15">
        <f>+N260-P260</f>
        <v>107.75</v>
      </c>
      <c r="P260" s="15">
        <f>+IF(N260&gt;D260,N260-D260,0)</f>
        <v>0</v>
      </c>
      <c r="Q260" s="5">
        <f>+IF(P260=0,P260,P260/N260)</f>
        <v>0</v>
      </c>
    </row>
    <row r="261" spans="1:17" x14ac:dyDescent="0.25">
      <c r="A261" s="7">
        <v>46245.791666666664</v>
      </c>
      <c r="B261" s="6">
        <v>0</v>
      </c>
      <c r="C261" s="13">
        <v>0</v>
      </c>
      <c r="D261" s="18">
        <f>+B261+C261</f>
        <v>0</v>
      </c>
      <c r="E261" s="14">
        <v>94.490000000000009</v>
      </c>
      <c r="F261" s="18">
        <f t="shared" si="28"/>
        <v>0</v>
      </c>
      <c r="G261" s="18">
        <f t="shared" si="29"/>
        <v>94.490000000000009</v>
      </c>
      <c r="H261" s="14">
        <v>60.879999999999995</v>
      </c>
      <c r="I261" s="18">
        <f t="shared" si="30"/>
        <v>0</v>
      </c>
      <c r="J261" s="18">
        <f t="shared" si="31"/>
        <v>60.879999999999995</v>
      </c>
      <c r="K261" s="14">
        <v>30.759999999999998</v>
      </c>
      <c r="L261" s="18">
        <f t="shared" si="32"/>
        <v>0</v>
      </c>
      <c r="M261" s="18">
        <f t="shared" si="33"/>
        <v>30.759999999999998</v>
      </c>
      <c r="N261" s="15">
        <f t="shared" si="34"/>
        <v>186.13</v>
      </c>
      <c r="O261" s="15">
        <f>+N261-P261</f>
        <v>0</v>
      </c>
      <c r="P261" s="15">
        <f>+IF(N261&gt;D261,N261-D261,0)</f>
        <v>186.13</v>
      </c>
      <c r="Q261" s="5">
        <f>+IF(P261=0,P261,P261/N261)</f>
        <v>1</v>
      </c>
    </row>
    <row r="262" spans="1:17" x14ac:dyDescent="0.25">
      <c r="A262" s="7">
        <v>46245.833333333336</v>
      </c>
      <c r="B262" s="6">
        <v>0</v>
      </c>
      <c r="C262" s="13">
        <v>0</v>
      </c>
      <c r="D262" s="18">
        <f>+B262+C262</f>
        <v>0</v>
      </c>
      <c r="E262" s="14">
        <v>840.95900000000006</v>
      </c>
      <c r="F262" s="18">
        <f t="shared" si="28"/>
        <v>0</v>
      </c>
      <c r="G262" s="18">
        <f t="shared" si="29"/>
        <v>840.95900000000006</v>
      </c>
      <c r="H262" s="14">
        <v>90.52000000000001</v>
      </c>
      <c r="I262" s="18">
        <f t="shared" si="30"/>
        <v>0</v>
      </c>
      <c r="J262" s="18">
        <f t="shared" si="31"/>
        <v>90.52000000000001</v>
      </c>
      <c r="K262" s="14">
        <v>59.8</v>
      </c>
      <c r="L262" s="18">
        <f t="shared" si="32"/>
        <v>0</v>
      </c>
      <c r="M262" s="18">
        <f t="shared" si="33"/>
        <v>59.8</v>
      </c>
      <c r="N262" s="15">
        <f t="shared" si="34"/>
        <v>991.279</v>
      </c>
      <c r="O262" s="15">
        <f>+N262-P262</f>
        <v>0</v>
      </c>
      <c r="P262" s="15">
        <f>+IF(N262&gt;D262,N262-D262,0)</f>
        <v>991.279</v>
      </c>
      <c r="Q262" s="5">
        <f>+IF(P262=0,P262,P262/N262)</f>
        <v>1</v>
      </c>
    </row>
    <row r="263" spans="1:17" x14ac:dyDescent="0.25">
      <c r="A263" s="7">
        <v>46245.875</v>
      </c>
      <c r="B263" s="6">
        <v>0</v>
      </c>
      <c r="C263" s="13">
        <v>0</v>
      </c>
      <c r="D263" s="18">
        <f>+B263+C263</f>
        <v>0</v>
      </c>
      <c r="E263" s="14">
        <v>970.09500000000003</v>
      </c>
      <c r="F263" s="18">
        <f t="shared" si="28"/>
        <v>0</v>
      </c>
      <c r="G263" s="18">
        <f t="shared" si="29"/>
        <v>970.09500000000003</v>
      </c>
      <c r="H263" s="14">
        <v>120.76</v>
      </c>
      <c r="I263" s="18">
        <f t="shared" si="30"/>
        <v>0</v>
      </c>
      <c r="J263" s="18">
        <f t="shared" si="31"/>
        <v>120.76</v>
      </c>
      <c r="K263" s="14">
        <v>26.919999999999998</v>
      </c>
      <c r="L263" s="18">
        <f t="shared" si="32"/>
        <v>0</v>
      </c>
      <c r="M263" s="18">
        <f t="shared" si="33"/>
        <v>26.919999999999998</v>
      </c>
      <c r="N263" s="15">
        <f t="shared" si="34"/>
        <v>1117.7750000000001</v>
      </c>
      <c r="O263" s="15">
        <f>+N263-P263</f>
        <v>0</v>
      </c>
      <c r="P263" s="15">
        <f>+IF(N263&gt;D263,N263-D263,0)</f>
        <v>1117.7750000000001</v>
      </c>
      <c r="Q263" s="5">
        <f>+IF(P263=0,P263,P263/N263)</f>
        <v>1</v>
      </c>
    </row>
    <row r="264" spans="1:17" x14ac:dyDescent="0.25">
      <c r="A264" s="7">
        <v>46245.916666666664</v>
      </c>
      <c r="B264" s="6">
        <v>0</v>
      </c>
      <c r="C264" s="13">
        <v>0</v>
      </c>
      <c r="D264" s="18">
        <f>+B264+C264</f>
        <v>0</v>
      </c>
      <c r="E264" s="14">
        <v>982.81700000000001</v>
      </c>
      <c r="F264" s="18">
        <f t="shared" si="28"/>
        <v>0</v>
      </c>
      <c r="G264" s="18">
        <f t="shared" si="29"/>
        <v>982.81700000000001</v>
      </c>
      <c r="H264" s="14">
        <v>118.36000000000001</v>
      </c>
      <c r="I264" s="18">
        <f t="shared" si="30"/>
        <v>0</v>
      </c>
      <c r="J264" s="18">
        <f t="shared" si="31"/>
        <v>118.36000000000001</v>
      </c>
      <c r="K264" s="14">
        <v>38.68</v>
      </c>
      <c r="L264" s="18">
        <f t="shared" si="32"/>
        <v>0</v>
      </c>
      <c r="M264" s="18">
        <f t="shared" si="33"/>
        <v>38.68</v>
      </c>
      <c r="N264" s="15">
        <f t="shared" si="34"/>
        <v>1139.8570000000002</v>
      </c>
      <c r="O264" s="15">
        <f>+N264-P264</f>
        <v>0</v>
      </c>
      <c r="P264" s="15">
        <f>+IF(N264&gt;D264,N264-D264,0)</f>
        <v>1139.8570000000002</v>
      </c>
      <c r="Q264" s="5">
        <f>+IF(P264=0,P264,P264/N264)</f>
        <v>1</v>
      </c>
    </row>
    <row r="265" spans="1:17" x14ac:dyDescent="0.25">
      <c r="A265" s="7">
        <v>46245.958333333336</v>
      </c>
      <c r="B265" s="6">
        <v>0</v>
      </c>
      <c r="C265" s="13">
        <v>0</v>
      </c>
      <c r="D265" s="18">
        <f>+B265+C265</f>
        <v>0</v>
      </c>
      <c r="E265" s="14">
        <v>1275.7719999999999</v>
      </c>
      <c r="F265" s="18">
        <f t="shared" si="28"/>
        <v>0</v>
      </c>
      <c r="G265" s="18">
        <f t="shared" si="29"/>
        <v>1275.7719999999999</v>
      </c>
      <c r="H265" s="14">
        <v>112.60000000000001</v>
      </c>
      <c r="I265" s="18">
        <f t="shared" si="30"/>
        <v>0</v>
      </c>
      <c r="J265" s="18">
        <f t="shared" si="31"/>
        <v>112.60000000000001</v>
      </c>
      <c r="K265" s="14">
        <v>4.96</v>
      </c>
      <c r="L265" s="18">
        <f t="shared" si="32"/>
        <v>0</v>
      </c>
      <c r="M265" s="18">
        <f t="shared" si="33"/>
        <v>4.96</v>
      </c>
      <c r="N265" s="15">
        <f t="shared" si="34"/>
        <v>1393.3319999999999</v>
      </c>
      <c r="O265" s="15">
        <f>+N265-P265</f>
        <v>0</v>
      </c>
      <c r="P265" s="15">
        <f>+IF(N265&gt;D265,N265-D265,0)</f>
        <v>1393.3319999999999</v>
      </c>
      <c r="Q265" s="5">
        <f>+IF(P265=0,P265,P265/N265)</f>
        <v>1</v>
      </c>
    </row>
    <row r="266" spans="1:17" x14ac:dyDescent="0.25">
      <c r="A266" s="7">
        <v>46246</v>
      </c>
      <c r="B266" s="6">
        <v>0</v>
      </c>
      <c r="C266" s="13">
        <v>0</v>
      </c>
      <c r="D266" s="18">
        <f>+B266+C266</f>
        <v>0</v>
      </c>
      <c r="E266" s="14">
        <v>1209.6210000000001</v>
      </c>
      <c r="F266" s="18">
        <f t="shared" si="28"/>
        <v>0</v>
      </c>
      <c r="G266" s="18">
        <f t="shared" si="29"/>
        <v>1209.6210000000001</v>
      </c>
      <c r="H266" s="14">
        <v>83.56</v>
      </c>
      <c r="I266" s="18">
        <f t="shared" si="30"/>
        <v>0</v>
      </c>
      <c r="J266" s="18">
        <f t="shared" si="31"/>
        <v>83.56</v>
      </c>
      <c r="K266" s="14">
        <v>2.8</v>
      </c>
      <c r="L266" s="18">
        <f t="shared" si="32"/>
        <v>0</v>
      </c>
      <c r="M266" s="18">
        <f t="shared" si="33"/>
        <v>2.8</v>
      </c>
      <c r="N266" s="15">
        <f t="shared" si="34"/>
        <v>1295.981</v>
      </c>
      <c r="O266" s="15">
        <f>+N266-P266</f>
        <v>0</v>
      </c>
      <c r="P266" s="15">
        <f>+IF(N266&gt;D266,N266-D266,0)</f>
        <v>1295.981</v>
      </c>
      <c r="Q266" s="5">
        <f>+IF(P266=0,P266,P266/N266)</f>
        <v>1</v>
      </c>
    </row>
    <row r="267" spans="1:17" x14ac:dyDescent="0.25">
      <c r="A267" s="7">
        <v>46246.041666666664</v>
      </c>
      <c r="B267" s="6">
        <v>0</v>
      </c>
      <c r="C267" s="13">
        <v>0</v>
      </c>
      <c r="D267" s="18">
        <f>+B267+C267</f>
        <v>0</v>
      </c>
      <c r="E267" s="14">
        <v>50.401000000000003</v>
      </c>
      <c r="F267" s="18">
        <f t="shared" si="28"/>
        <v>0</v>
      </c>
      <c r="G267" s="18">
        <f t="shared" si="29"/>
        <v>50.401000000000003</v>
      </c>
      <c r="H267" s="14">
        <v>108.88000000000001</v>
      </c>
      <c r="I267" s="18">
        <f t="shared" si="30"/>
        <v>0</v>
      </c>
      <c r="J267" s="18">
        <f t="shared" si="31"/>
        <v>108.88000000000001</v>
      </c>
      <c r="K267" s="14">
        <v>3.04</v>
      </c>
      <c r="L267" s="18">
        <f t="shared" si="32"/>
        <v>0</v>
      </c>
      <c r="M267" s="18">
        <f t="shared" si="33"/>
        <v>3.04</v>
      </c>
      <c r="N267" s="15">
        <f t="shared" si="34"/>
        <v>162.321</v>
      </c>
      <c r="O267" s="15">
        <f>+N267-P267</f>
        <v>0</v>
      </c>
      <c r="P267" s="15">
        <f>+IF(N267&gt;D267,N267-D267,0)</f>
        <v>162.321</v>
      </c>
      <c r="Q267" s="5">
        <f>+IF(P267=0,P267,P267/N267)</f>
        <v>1</v>
      </c>
    </row>
    <row r="268" spans="1:17" x14ac:dyDescent="0.25">
      <c r="A268" s="7">
        <v>46246.083333333336</v>
      </c>
      <c r="B268" s="6">
        <v>0</v>
      </c>
      <c r="C268" s="13">
        <v>0</v>
      </c>
      <c r="D268" s="18">
        <f>+B268+C268</f>
        <v>0</v>
      </c>
      <c r="E268" s="14">
        <v>1241.1220000000001</v>
      </c>
      <c r="F268" s="18">
        <f t="shared" si="28"/>
        <v>0</v>
      </c>
      <c r="G268" s="18">
        <f t="shared" si="29"/>
        <v>1241.1220000000001</v>
      </c>
      <c r="H268" s="14">
        <v>121.84</v>
      </c>
      <c r="I268" s="18">
        <f t="shared" si="30"/>
        <v>0</v>
      </c>
      <c r="J268" s="18">
        <f t="shared" si="31"/>
        <v>121.84</v>
      </c>
      <c r="K268" s="14">
        <v>2.92</v>
      </c>
      <c r="L268" s="18">
        <f t="shared" si="32"/>
        <v>0</v>
      </c>
      <c r="M268" s="18">
        <f t="shared" si="33"/>
        <v>2.92</v>
      </c>
      <c r="N268" s="15">
        <f t="shared" si="34"/>
        <v>1365.8820000000001</v>
      </c>
      <c r="O268" s="15">
        <f>+N268-P268</f>
        <v>0</v>
      </c>
      <c r="P268" s="15">
        <f>+IF(N268&gt;D268,N268-D268,0)</f>
        <v>1365.8820000000001</v>
      </c>
      <c r="Q268" s="5">
        <f>+IF(P268=0,P268,P268/N268)</f>
        <v>1</v>
      </c>
    </row>
    <row r="269" spans="1:17" x14ac:dyDescent="0.25">
      <c r="A269" s="7">
        <v>46246.125</v>
      </c>
      <c r="B269" s="6">
        <v>0</v>
      </c>
      <c r="C269" s="13">
        <v>0</v>
      </c>
      <c r="D269" s="18">
        <f>+B269+C269</f>
        <v>0</v>
      </c>
      <c r="E269" s="14">
        <v>1316.7230000000002</v>
      </c>
      <c r="F269" s="18">
        <f t="shared" si="28"/>
        <v>0</v>
      </c>
      <c r="G269" s="18">
        <f t="shared" si="29"/>
        <v>1316.7230000000002</v>
      </c>
      <c r="H269" s="14">
        <v>120.16</v>
      </c>
      <c r="I269" s="18">
        <f t="shared" si="30"/>
        <v>0</v>
      </c>
      <c r="J269" s="18">
        <f t="shared" si="31"/>
        <v>120.16</v>
      </c>
      <c r="K269" s="14">
        <v>2.92</v>
      </c>
      <c r="L269" s="18">
        <f t="shared" si="32"/>
        <v>0</v>
      </c>
      <c r="M269" s="18">
        <f t="shared" si="33"/>
        <v>2.92</v>
      </c>
      <c r="N269" s="15">
        <f t="shared" si="34"/>
        <v>1439.8030000000003</v>
      </c>
      <c r="O269" s="15">
        <f>+N269-P269</f>
        <v>0</v>
      </c>
      <c r="P269" s="15">
        <f>+IF(N269&gt;D269,N269-D269,0)</f>
        <v>1439.8030000000003</v>
      </c>
      <c r="Q269" s="5">
        <f>+IF(P269=0,P269,P269/N269)</f>
        <v>1</v>
      </c>
    </row>
    <row r="270" spans="1:17" x14ac:dyDescent="0.25">
      <c r="A270" s="7">
        <v>46246.166666666664</v>
      </c>
      <c r="B270" s="6">
        <v>0</v>
      </c>
      <c r="C270" s="13">
        <v>0</v>
      </c>
      <c r="D270" s="18">
        <f>+B270+C270</f>
        <v>0</v>
      </c>
      <c r="E270" s="14">
        <v>1219.0709999999999</v>
      </c>
      <c r="F270" s="18">
        <f t="shared" si="28"/>
        <v>0</v>
      </c>
      <c r="G270" s="18">
        <f t="shared" si="29"/>
        <v>1219.0709999999999</v>
      </c>
      <c r="H270" s="14">
        <v>68.320000000000007</v>
      </c>
      <c r="I270" s="18">
        <f t="shared" si="30"/>
        <v>0</v>
      </c>
      <c r="J270" s="18">
        <f t="shared" si="31"/>
        <v>68.320000000000007</v>
      </c>
      <c r="K270" s="14">
        <v>2.92</v>
      </c>
      <c r="L270" s="18">
        <f t="shared" si="32"/>
        <v>0</v>
      </c>
      <c r="M270" s="18">
        <f t="shared" si="33"/>
        <v>2.92</v>
      </c>
      <c r="N270" s="15">
        <f t="shared" si="34"/>
        <v>1290.3109999999999</v>
      </c>
      <c r="O270" s="15">
        <f>+N270-P270</f>
        <v>0</v>
      </c>
      <c r="P270" s="15">
        <f>+IF(N270&gt;D270,N270-D270,0)</f>
        <v>1290.3109999999999</v>
      </c>
      <c r="Q270" s="5">
        <f>+IF(P270=0,P270,P270/N270)</f>
        <v>1</v>
      </c>
    </row>
    <row r="271" spans="1:17" x14ac:dyDescent="0.25">
      <c r="A271" s="7">
        <v>46246.208333333336</v>
      </c>
      <c r="B271" s="6">
        <v>0</v>
      </c>
      <c r="C271" s="13">
        <v>0</v>
      </c>
      <c r="D271" s="18">
        <f>+B271+C271</f>
        <v>0</v>
      </c>
      <c r="E271" s="14">
        <v>1146.6199999999999</v>
      </c>
      <c r="F271" s="18">
        <f t="shared" si="28"/>
        <v>0</v>
      </c>
      <c r="G271" s="18">
        <f t="shared" si="29"/>
        <v>1146.6199999999999</v>
      </c>
      <c r="H271" s="14">
        <v>67.239999999999995</v>
      </c>
      <c r="I271" s="18">
        <f t="shared" si="30"/>
        <v>0</v>
      </c>
      <c r="J271" s="18">
        <f t="shared" si="31"/>
        <v>67.239999999999995</v>
      </c>
      <c r="K271" s="14">
        <v>3.8800000000000003</v>
      </c>
      <c r="L271" s="18">
        <f t="shared" si="32"/>
        <v>0</v>
      </c>
      <c r="M271" s="18">
        <f t="shared" si="33"/>
        <v>3.8800000000000003</v>
      </c>
      <c r="N271" s="15">
        <f t="shared" si="34"/>
        <v>1217.74</v>
      </c>
      <c r="O271" s="15">
        <f>+N271-P271</f>
        <v>0</v>
      </c>
      <c r="P271" s="15">
        <f>+IF(N271&gt;D271,N271-D271,0)</f>
        <v>1217.74</v>
      </c>
      <c r="Q271" s="5">
        <f>+IF(P271=0,P271,P271/N271)</f>
        <v>1</v>
      </c>
    </row>
    <row r="272" spans="1:17" x14ac:dyDescent="0.25">
      <c r="A272" s="7">
        <v>46246.25</v>
      </c>
      <c r="B272" s="6">
        <v>50.4</v>
      </c>
      <c r="C272" s="13">
        <v>0</v>
      </c>
      <c r="D272" s="18">
        <f>+B272+C272</f>
        <v>50.4</v>
      </c>
      <c r="E272" s="14">
        <v>3.15</v>
      </c>
      <c r="F272" s="18">
        <f t="shared" si="28"/>
        <v>2.2275852392310931</v>
      </c>
      <c r="G272" s="18">
        <f t="shared" si="29"/>
        <v>0.92241476076890694</v>
      </c>
      <c r="H272" s="14">
        <v>64.11999999999999</v>
      </c>
      <c r="I272" s="18">
        <f t="shared" si="30"/>
        <v>45.343735091904023</v>
      </c>
      <c r="J272" s="18">
        <f t="shared" si="31"/>
        <v>18.776264908095968</v>
      </c>
      <c r="K272" s="14">
        <v>4</v>
      </c>
      <c r="L272" s="18">
        <f t="shared" si="32"/>
        <v>2.8286796688648801</v>
      </c>
      <c r="M272" s="18">
        <f t="shared" si="33"/>
        <v>1.1713203311351199</v>
      </c>
      <c r="N272" s="15">
        <f t="shared" si="34"/>
        <v>71.27</v>
      </c>
      <c r="O272" s="15">
        <f>+N272-P272</f>
        <v>50.4</v>
      </c>
      <c r="P272" s="15">
        <f>+IF(N272&gt;D272,N272-D272,0)</f>
        <v>20.869999999999997</v>
      </c>
      <c r="Q272" s="5">
        <f>+IF(P272=0,P272,P272/N272)</f>
        <v>0.29283008278377998</v>
      </c>
    </row>
    <row r="273" spans="1:17" x14ac:dyDescent="0.25">
      <c r="A273" s="7">
        <v>46246.291666666664</v>
      </c>
      <c r="B273" s="6">
        <v>485.1</v>
      </c>
      <c r="C273" s="13">
        <v>0</v>
      </c>
      <c r="D273" s="18">
        <f>+B273+C273</f>
        <v>485.1</v>
      </c>
      <c r="E273" s="14">
        <v>0</v>
      </c>
      <c r="F273" s="18">
        <f t="shared" si="28"/>
        <v>0</v>
      </c>
      <c r="G273" s="18">
        <f t="shared" si="29"/>
        <v>0</v>
      </c>
      <c r="H273" s="14">
        <v>47.440000000000005</v>
      </c>
      <c r="I273" s="18">
        <f t="shared" si="30"/>
        <v>47.440000000000005</v>
      </c>
      <c r="J273" s="18">
        <f t="shared" si="31"/>
        <v>0</v>
      </c>
      <c r="K273" s="14">
        <v>2.44</v>
      </c>
      <c r="L273" s="18">
        <f t="shared" si="32"/>
        <v>2.44</v>
      </c>
      <c r="M273" s="18">
        <f t="shared" si="33"/>
        <v>0</v>
      </c>
      <c r="N273" s="15">
        <f t="shared" si="34"/>
        <v>49.88</v>
      </c>
      <c r="O273" s="15">
        <f>+N273-P273</f>
        <v>49.88</v>
      </c>
      <c r="P273" s="15">
        <f>+IF(N273&gt;D273,N273-D273,0)</f>
        <v>0</v>
      </c>
      <c r="Q273" s="5">
        <f>+IF(P273=0,P273,P273/N273)</f>
        <v>0</v>
      </c>
    </row>
    <row r="274" spans="1:17" x14ac:dyDescent="0.25">
      <c r="A274" s="7">
        <v>46246.333333333336</v>
      </c>
      <c r="B274" s="6">
        <v>252</v>
      </c>
      <c r="C274" s="13">
        <v>0</v>
      </c>
      <c r="D274" s="18">
        <f>+B274+C274</f>
        <v>252</v>
      </c>
      <c r="E274" s="14">
        <v>15.75</v>
      </c>
      <c r="F274" s="18">
        <f t="shared" si="28"/>
        <v>15.75</v>
      </c>
      <c r="G274" s="18">
        <f t="shared" si="29"/>
        <v>0</v>
      </c>
      <c r="H274" s="14">
        <v>132.64000000000001</v>
      </c>
      <c r="I274" s="18">
        <f t="shared" si="30"/>
        <v>132.64000000000001</v>
      </c>
      <c r="J274" s="18">
        <f t="shared" si="31"/>
        <v>0</v>
      </c>
      <c r="K274" s="14">
        <v>16.240000000000002</v>
      </c>
      <c r="L274" s="18">
        <f t="shared" si="32"/>
        <v>16.240000000000002</v>
      </c>
      <c r="M274" s="18">
        <f t="shared" si="33"/>
        <v>0</v>
      </c>
      <c r="N274" s="15">
        <f t="shared" si="34"/>
        <v>164.63000000000002</v>
      </c>
      <c r="O274" s="15">
        <f>+N274-P274</f>
        <v>164.63000000000002</v>
      </c>
      <c r="P274" s="15">
        <f>+IF(N274&gt;D274,N274-D274,0)</f>
        <v>0</v>
      </c>
      <c r="Q274" s="5">
        <f>+IF(P274=0,P274,P274/N274)</f>
        <v>0</v>
      </c>
    </row>
    <row r="275" spans="1:17" x14ac:dyDescent="0.25">
      <c r="A275" s="7">
        <v>46246.375</v>
      </c>
      <c r="B275" s="6">
        <v>1168.6500000000001</v>
      </c>
      <c r="C275" s="13">
        <v>0</v>
      </c>
      <c r="D275" s="18">
        <f>+B275+C275</f>
        <v>1168.6500000000001</v>
      </c>
      <c r="E275" s="14">
        <v>0</v>
      </c>
      <c r="F275" s="18">
        <f t="shared" si="28"/>
        <v>0</v>
      </c>
      <c r="G275" s="18">
        <f t="shared" si="29"/>
        <v>0</v>
      </c>
      <c r="H275" s="14">
        <v>73.72</v>
      </c>
      <c r="I275" s="18">
        <f t="shared" si="30"/>
        <v>73.72</v>
      </c>
      <c r="J275" s="18">
        <f t="shared" si="31"/>
        <v>0</v>
      </c>
      <c r="K275" s="14">
        <v>61</v>
      </c>
      <c r="L275" s="18">
        <f t="shared" si="32"/>
        <v>61</v>
      </c>
      <c r="M275" s="18">
        <f t="shared" si="33"/>
        <v>0</v>
      </c>
      <c r="N275" s="15">
        <f t="shared" si="34"/>
        <v>134.72</v>
      </c>
      <c r="O275" s="15">
        <f>+N275-P275</f>
        <v>134.72</v>
      </c>
      <c r="P275" s="15">
        <f>+IF(N275&gt;D275,N275-D275,0)</f>
        <v>0</v>
      </c>
      <c r="Q275" s="5">
        <f>+IF(P275=0,P275,P275/N275)</f>
        <v>0</v>
      </c>
    </row>
    <row r="276" spans="1:17" x14ac:dyDescent="0.25">
      <c r="A276" s="7">
        <v>46246.416666666664</v>
      </c>
      <c r="B276" s="6">
        <v>1376.55</v>
      </c>
      <c r="C276" s="13">
        <v>1.32</v>
      </c>
      <c r="D276" s="18">
        <f>+B276+C276</f>
        <v>1377.87</v>
      </c>
      <c r="E276" s="14">
        <v>0</v>
      </c>
      <c r="F276" s="18">
        <f t="shared" si="28"/>
        <v>0</v>
      </c>
      <c r="G276" s="18">
        <f t="shared" si="29"/>
        <v>0</v>
      </c>
      <c r="H276" s="14">
        <v>44.44</v>
      </c>
      <c r="I276" s="18">
        <f t="shared" si="30"/>
        <v>44.44</v>
      </c>
      <c r="J276" s="18">
        <f t="shared" si="31"/>
        <v>0</v>
      </c>
      <c r="K276" s="14">
        <v>36.76</v>
      </c>
      <c r="L276" s="18">
        <f t="shared" si="32"/>
        <v>36.76</v>
      </c>
      <c r="M276" s="18">
        <f t="shared" si="33"/>
        <v>0</v>
      </c>
      <c r="N276" s="15">
        <f t="shared" si="34"/>
        <v>81.199999999999989</v>
      </c>
      <c r="O276" s="15">
        <f>+N276-P276</f>
        <v>81.199999999999989</v>
      </c>
      <c r="P276" s="15">
        <f>+IF(N276&gt;D276,N276-D276,0)</f>
        <v>0</v>
      </c>
      <c r="Q276" s="5">
        <f>+IF(P276=0,P276,P276/N276)</f>
        <v>0</v>
      </c>
    </row>
    <row r="277" spans="1:17" x14ac:dyDescent="0.25">
      <c r="A277" s="7">
        <v>46246.458333333336</v>
      </c>
      <c r="B277" s="6">
        <v>2000.25</v>
      </c>
      <c r="C277" s="13">
        <v>14.4</v>
      </c>
      <c r="D277" s="18">
        <f>+B277+C277</f>
        <v>2014.65</v>
      </c>
      <c r="E277" s="14">
        <v>0</v>
      </c>
      <c r="F277" s="18">
        <f t="shared" si="28"/>
        <v>0</v>
      </c>
      <c r="G277" s="18">
        <f t="shared" si="29"/>
        <v>0</v>
      </c>
      <c r="H277" s="14">
        <v>28.72</v>
      </c>
      <c r="I277" s="18">
        <f t="shared" si="30"/>
        <v>28.72</v>
      </c>
      <c r="J277" s="18">
        <f t="shared" si="31"/>
        <v>0</v>
      </c>
      <c r="K277" s="14">
        <v>40.239999999999995</v>
      </c>
      <c r="L277" s="18">
        <f t="shared" si="32"/>
        <v>40.239999999999995</v>
      </c>
      <c r="M277" s="18">
        <f t="shared" si="33"/>
        <v>0</v>
      </c>
      <c r="N277" s="15">
        <f t="shared" si="34"/>
        <v>68.959999999999994</v>
      </c>
      <c r="O277" s="15">
        <f>+N277-P277</f>
        <v>68.959999999999994</v>
      </c>
      <c r="P277" s="15">
        <f>+IF(N277&gt;D277,N277-D277,0)</f>
        <v>0</v>
      </c>
      <c r="Q277" s="5">
        <f>+IF(P277=0,P277,P277/N277)</f>
        <v>0</v>
      </c>
    </row>
    <row r="278" spans="1:17" x14ac:dyDescent="0.25">
      <c r="A278" s="7">
        <v>46246.5</v>
      </c>
      <c r="B278" s="6">
        <v>2327.85</v>
      </c>
      <c r="C278" s="13">
        <v>11.76</v>
      </c>
      <c r="D278" s="18">
        <f>+B278+C278</f>
        <v>2339.61</v>
      </c>
      <c r="E278" s="14">
        <v>0</v>
      </c>
      <c r="F278" s="18">
        <f t="shared" si="28"/>
        <v>0</v>
      </c>
      <c r="G278" s="18">
        <f t="shared" si="29"/>
        <v>0</v>
      </c>
      <c r="H278" s="14">
        <v>23.92</v>
      </c>
      <c r="I278" s="18">
        <f t="shared" si="30"/>
        <v>23.92</v>
      </c>
      <c r="J278" s="18">
        <f t="shared" si="31"/>
        <v>0</v>
      </c>
      <c r="K278" s="14">
        <v>44.08</v>
      </c>
      <c r="L278" s="18">
        <f t="shared" si="32"/>
        <v>44.08</v>
      </c>
      <c r="M278" s="18">
        <f t="shared" si="33"/>
        <v>0</v>
      </c>
      <c r="N278" s="15">
        <f t="shared" si="34"/>
        <v>68</v>
      </c>
      <c r="O278" s="15">
        <f>+N278-P278</f>
        <v>68</v>
      </c>
      <c r="P278" s="15">
        <f>+IF(N278&gt;D278,N278-D278,0)</f>
        <v>0</v>
      </c>
      <c r="Q278" s="5">
        <f>+IF(P278=0,P278,P278/N278)</f>
        <v>0</v>
      </c>
    </row>
    <row r="279" spans="1:17" x14ac:dyDescent="0.25">
      <c r="A279" s="7">
        <v>46246.541666666664</v>
      </c>
      <c r="B279" s="6">
        <v>2378.25</v>
      </c>
      <c r="C279" s="13">
        <v>8.2799999999999994</v>
      </c>
      <c r="D279" s="18">
        <f>+B279+C279</f>
        <v>2386.5300000000002</v>
      </c>
      <c r="E279" s="14">
        <v>0</v>
      </c>
      <c r="F279" s="18">
        <f t="shared" si="28"/>
        <v>0</v>
      </c>
      <c r="G279" s="18">
        <f t="shared" si="29"/>
        <v>0</v>
      </c>
      <c r="H279" s="14">
        <v>29.56</v>
      </c>
      <c r="I279" s="18">
        <f t="shared" si="30"/>
        <v>29.56</v>
      </c>
      <c r="J279" s="18">
        <f t="shared" si="31"/>
        <v>0</v>
      </c>
      <c r="K279" s="14">
        <v>47.32</v>
      </c>
      <c r="L279" s="18">
        <f t="shared" si="32"/>
        <v>47.32</v>
      </c>
      <c r="M279" s="18">
        <f t="shared" si="33"/>
        <v>0</v>
      </c>
      <c r="N279" s="15">
        <f t="shared" si="34"/>
        <v>76.88</v>
      </c>
      <c r="O279" s="15">
        <f>+N279-P279</f>
        <v>76.88</v>
      </c>
      <c r="P279" s="15">
        <f>+IF(N279&gt;D279,N279-D279,0)</f>
        <v>0</v>
      </c>
      <c r="Q279" s="5">
        <f>+IF(P279=0,P279,P279/N279)</f>
        <v>0</v>
      </c>
    </row>
    <row r="280" spans="1:17" x14ac:dyDescent="0.25">
      <c r="A280" s="7">
        <v>46246.583333333336</v>
      </c>
      <c r="B280" s="6">
        <v>1597.05</v>
      </c>
      <c r="C280" s="13">
        <v>8.16</v>
      </c>
      <c r="D280" s="18">
        <f>+B280+C280</f>
        <v>1605.21</v>
      </c>
      <c r="E280" s="14">
        <v>0</v>
      </c>
      <c r="F280" s="18">
        <f t="shared" si="28"/>
        <v>0</v>
      </c>
      <c r="G280" s="18">
        <f t="shared" si="29"/>
        <v>0</v>
      </c>
      <c r="H280" s="14">
        <v>25.72</v>
      </c>
      <c r="I280" s="18">
        <f t="shared" si="30"/>
        <v>25.72</v>
      </c>
      <c r="J280" s="18">
        <f t="shared" si="31"/>
        <v>0</v>
      </c>
      <c r="K280" s="14">
        <v>52.48</v>
      </c>
      <c r="L280" s="18">
        <f t="shared" si="32"/>
        <v>52.48</v>
      </c>
      <c r="M280" s="18">
        <f t="shared" si="33"/>
        <v>0</v>
      </c>
      <c r="N280" s="15">
        <f t="shared" si="34"/>
        <v>78.199999999999989</v>
      </c>
      <c r="O280" s="15">
        <f>+N280-P280</f>
        <v>78.199999999999989</v>
      </c>
      <c r="P280" s="15">
        <f>+IF(N280&gt;D280,N280-D280,0)</f>
        <v>0</v>
      </c>
      <c r="Q280" s="5">
        <f>+IF(P280=0,P280,P280/N280)</f>
        <v>0</v>
      </c>
    </row>
    <row r="281" spans="1:17" x14ac:dyDescent="0.25">
      <c r="A281" s="7">
        <v>46246.625</v>
      </c>
      <c r="B281" s="6">
        <v>1187.55</v>
      </c>
      <c r="C281" s="13">
        <v>0.36</v>
      </c>
      <c r="D281" s="18">
        <f>+B281+C281</f>
        <v>1187.9099999999999</v>
      </c>
      <c r="E281" s="14">
        <v>0</v>
      </c>
      <c r="F281" s="18">
        <f t="shared" si="28"/>
        <v>0</v>
      </c>
      <c r="G281" s="18">
        <f t="shared" si="29"/>
        <v>0</v>
      </c>
      <c r="H281" s="14">
        <v>73.599999999999994</v>
      </c>
      <c r="I281" s="18">
        <f t="shared" si="30"/>
        <v>73.599999999999994</v>
      </c>
      <c r="J281" s="18">
        <f t="shared" si="31"/>
        <v>0</v>
      </c>
      <c r="K281" s="14">
        <v>37.72</v>
      </c>
      <c r="L281" s="18">
        <f t="shared" si="32"/>
        <v>37.72</v>
      </c>
      <c r="M281" s="18">
        <f t="shared" si="33"/>
        <v>0</v>
      </c>
      <c r="N281" s="15">
        <f t="shared" si="34"/>
        <v>111.32</v>
      </c>
      <c r="O281" s="15">
        <f>+N281-P281</f>
        <v>111.32</v>
      </c>
      <c r="P281" s="15">
        <f>+IF(N281&gt;D281,N281-D281,0)</f>
        <v>0</v>
      </c>
      <c r="Q281" s="5">
        <f>+IF(P281=0,P281,P281/N281)</f>
        <v>0</v>
      </c>
    </row>
    <row r="282" spans="1:17" x14ac:dyDescent="0.25">
      <c r="A282" s="7">
        <v>46246.666666666664</v>
      </c>
      <c r="B282" s="6">
        <v>926.1</v>
      </c>
      <c r="C282" s="13">
        <v>0.24</v>
      </c>
      <c r="D282" s="18">
        <f>+B282+C282</f>
        <v>926.34</v>
      </c>
      <c r="E282" s="14">
        <v>0</v>
      </c>
      <c r="F282" s="18">
        <f t="shared" si="28"/>
        <v>0</v>
      </c>
      <c r="G282" s="18">
        <f t="shared" si="29"/>
        <v>0</v>
      </c>
      <c r="H282" s="14">
        <v>71.8</v>
      </c>
      <c r="I282" s="18">
        <f t="shared" si="30"/>
        <v>71.8</v>
      </c>
      <c r="J282" s="18">
        <f t="shared" si="31"/>
        <v>0</v>
      </c>
      <c r="K282" s="14">
        <v>45.04</v>
      </c>
      <c r="L282" s="18">
        <f t="shared" si="32"/>
        <v>45.04</v>
      </c>
      <c r="M282" s="18">
        <f t="shared" si="33"/>
        <v>0</v>
      </c>
      <c r="N282" s="15">
        <f t="shared" si="34"/>
        <v>116.84</v>
      </c>
      <c r="O282" s="15">
        <f>+N282-P282</f>
        <v>116.84</v>
      </c>
      <c r="P282" s="15">
        <f>+IF(N282&gt;D282,N282-D282,0)</f>
        <v>0</v>
      </c>
      <c r="Q282" s="5">
        <f>+IF(P282=0,P282,P282/N282)</f>
        <v>0</v>
      </c>
    </row>
    <row r="283" spans="1:17" x14ac:dyDescent="0.25">
      <c r="A283" s="7">
        <v>46246.708333333336</v>
      </c>
      <c r="B283" s="6">
        <v>141.75</v>
      </c>
      <c r="C283" s="13">
        <v>0.12</v>
      </c>
      <c r="D283" s="18">
        <f>+B283+C283</f>
        <v>141.87</v>
      </c>
      <c r="E283" s="14">
        <v>239.374</v>
      </c>
      <c r="F283" s="18">
        <f t="shared" si="28"/>
        <v>93.047694849496139</v>
      </c>
      <c r="G283" s="18">
        <f t="shared" si="29"/>
        <v>146.32630515050386</v>
      </c>
      <c r="H283" s="14">
        <v>82.36</v>
      </c>
      <c r="I283" s="18">
        <f t="shared" si="30"/>
        <v>32.014371434677543</v>
      </c>
      <c r="J283" s="18">
        <f t="shared" si="31"/>
        <v>50.345628565322457</v>
      </c>
      <c r="K283" s="14">
        <v>43.24</v>
      </c>
      <c r="L283" s="18">
        <f t="shared" si="32"/>
        <v>16.807933715826337</v>
      </c>
      <c r="M283" s="18">
        <f t="shared" si="33"/>
        <v>26.432066284173665</v>
      </c>
      <c r="N283" s="15">
        <f t="shared" si="34"/>
        <v>364.97399999999999</v>
      </c>
      <c r="O283" s="15">
        <f>+N283-P283</f>
        <v>141.87</v>
      </c>
      <c r="P283" s="15">
        <f>+IF(N283&gt;D283,N283-D283,0)</f>
        <v>223.10399999999998</v>
      </c>
      <c r="Q283" s="5">
        <f>+IF(P283=0,P283,P283/N283)</f>
        <v>0.61128737937496913</v>
      </c>
    </row>
    <row r="284" spans="1:17" x14ac:dyDescent="0.25">
      <c r="A284" s="7">
        <v>46246.75</v>
      </c>
      <c r="B284" s="6">
        <v>245.7</v>
      </c>
      <c r="C284" s="13">
        <v>0</v>
      </c>
      <c r="D284" s="18">
        <f>+B284+C284</f>
        <v>245.7</v>
      </c>
      <c r="E284" s="14">
        <v>0</v>
      </c>
      <c r="F284" s="18">
        <f t="shared" si="28"/>
        <v>0</v>
      </c>
      <c r="G284" s="18">
        <f t="shared" si="29"/>
        <v>0</v>
      </c>
      <c r="H284" s="14">
        <v>55</v>
      </c>
      <c r="I284" s="18">
        <f t="shared" si="30"/>
        <v>55</v>
      </c>
      <c r="J284" s="18">
        <f t="shared" si="31"/>
        <v>0</v>
      </c>
      <c r="K284" s="14">
        <v>46.480000000000004</v>
      </c>
      <c r="L284" s="18">
        <f t="shared" si="32"/>
        <v>46.480000000000004</v>
      </c>
      <c r="M284" s="18">
        <f t="shared" si="33"/>
        <v>0</v>
      </c>
      <c r="N284" s="15">
        <f t="shared" si="34"/>
        <v>101.48</v>
      </c>
      <c r="O284" s="15">
        <f>+N284-P284</f>
        <v>101.48</v>
      </c>
      <c r="P284" s="15">
        <f>+IF(N284&gt;D284,N284-D284,0)</f>
        <v>0</v>
      </c>
      <c r="Q284" s="5">
        <f>+IF(P284=0,P284,P284/N284)</f>
        <v>0</v>
      </c>
    </row>
    <row r="285" spans="1:17" x14ac:dyDescent="0.25">
      <c r="A285" s="7">
        <v>46246.791666666664</v>
      </c>
      <c r="B285" s="6">
        <v>6.3</v>
      </c>
      <c r="C285" s="13">
        <v>0</v>
      </c>
      <c r="D285" s="18">
        <f>+B285+C285</f>
        <v>6.3</v>
      </c>
      <c r="E285" s="14">
        <v>28.347000000000001</v>
      </c>
      <c r="F285" s="18">
        <f t="shared" si="28"/>
        <v>1.5187571755381093</v>
      </c>
      <c r="G285" s="18">
        <f t="shared" si="29"/>
        <v>26.828242824461892</v>
      </c>
      <c r="H285" s="14">
        <v>67.84</v>
      </c>
      <c r="I285" s="18">
        <f t="shared" si="30"/>
        <v>3.6346875079728136</v>
      </c>
      <c r="J285" s="18">
        <f t="shared" si="31"/>
        <v>64.20531249202719</v>
      </c>
      <c r="K285" s="14">
        <v>21.4</v>
      </c>
      <c r="L285" s="18">
        <f t="shared" si="32"/>
        <v>1.1465553164890672</v>
      </c>
      <c r="M285" s="18">
        <f t="shared" si="33"/>
        <v>20.253444683510931</v>
      </c>
      <c r="N285" s="15">
        <f t="shared" si="34"/>
        <v>117.58700000000002</v>
      </c>
      <c r="O285" s="15">
        <f>+N285-P285</f>
        <v>6.2999999999999972</v>
      </c>
      <c r="P285" s="15">
        <f>+IF(N285&gt;D285,N285-D285,0)</f>
        <v>111.28700000000002</v>
      </c>
      <c r="Q285" s="5">
        <f>+IF(P285=0,P285,P285/N285)</f>
        <v>0.94642264876219317</v>
      </c>
    </row>
    <row r="286" spans="1:17" x14ac:dyDescent="0.25">
      <c r="A286" s="7">
        <v>46246.833333333336</v>
      </c>
      <c r="B286" s="6">
        <v>0</v>
      </c>
      <c r="C286" s="13">
        <v>0</v>
      </c>
      <c r="D286" s="18">
        <f>+B286+C286</f>
        <v>0</v>
      </c>
      <c r="E286" s="14">
        <v>926</v>
      </c>
      <c r="F286" s="18">
        <f t="shared" si="28"/>
        <v>0</v>
      </c>
      <c r="G286" s="18">
        <f t="shared" si="29"/>
        <v>926</v>
      </c>
      <c r="H286" s="14">
        <v>109.72</v>
      </c>
      <c r="I286" s="18">
        <f t="shared" si="30"/>
        <v>0</v>
      </c>
      <c r="J286" s="18">
        <f t="shared" si="31"/>
        <v>109.72</v>
      </c>
      <c r="K286" s="14">
        <v>10.120000000000001</v>
      </c>
      <c r="L286" s="18">
        <f t="shared" si="32"/>
        <v>0</v>
      </c>
      <c r="M286" s="18">
        <f t="shared" si="33"/>
        <v>10.120000000000001</v>
      </c>
      <c r="N286" s="15">
        <f t="shared" si="34"/>
        <v>1045.8399999999999</v>
      </c>
      <c r="O286" s="15">
        <f>+N286-P286</f>
        <v>0</v>
      </c>
      <c r="P286" s="15">
        <f>+IF(N286&gt;D286,N286-D286,0)</f>
        <v>1045.8399999999999</v>
      </c>
      <c r="Q286" s="5">
        <f>+IF(P286=0,P286,P286/N286)</f>
        <v>1</v>
      </c>
    </row>
    <row r="287" spans="1:17" x14ac:dyDescent="0.25">
      <c r="A287" s="7">
        <v>46246.875</v>
      </c>
      <c r="B287" s="6">
        <v>0</v>
      </c>
      <c r="C287" s="13">
        <v>0</v>
      </c>
      <c r="D287" s="18">
        <f>+B287+C287</f>
        <v>0</v>
      </c>
      <c r="E287" s="14">
        <v>1162.2250000000001</v>
      </c>
      <c r="F287" s="18">
        <f t="shared" si="28"/>
        <v>0</v>
      </c>
      <c r="G287" s="18">
        <f t="shared" si="29"/>
        <v>1162.2250000000001</v>
      </c>
      <c r="H287" s="14">
        <v>112.24000000000001</v>
      </c>
      <c r="I287" s="18">
        <f t="shared" si="30"/>
        <v>0</v>
      </c>
      <c r="J287" s="18">
        <f t="shared" si="31"/>
        <v>112.24000000000001</v>
      </c>
      <c r="K287" s="14">
        <v>2.8</v>
      </c>
      <c r="L287" s="18">
        <f t="shared" si="32"/>
        <v>0</v>
      </c>
      <c r="M287" s="18">
        <f t="shared" si="33"/>
        <v>2.8</v>
      </c>
      <c r="N287" s="15">
        <f t="shared" si="34"/>
        <v>1277.2650000000001</v>
      </c>
      <c r="O287" s="15">
        <f>+N287-P287</f>
        <v>0</v>
      </c>
      <c r="P287" s="15">
        <f>+IF(N287&gt;D287,N287-D287,0)</f>
        <v>1277.2650000000001</v>
      </c>
      <c r="Q287" s="5">
        <f>+IF(P287=0,P287,P287/N287)</f>
        <v>1</v>
      </c>
    </row>
    <row r="288" spans="1:17" x14ac:dyDescent="0.25">
      <c r="A288" s="7">
        <v>46246.916666666664</v>
      </c>
      <c r="B288" s="6">
        <v>0</v>
      </c>
      <c r="C288" s="13">
        <v>0</v>
      </c>
      <c r="D288" s="18">
        <f>+B288+C288</f>
        <v>0</v>
      </c>
      <c r="E288" s="14">
        <v>1256.8720000000001</v>
      </c>
      <c r="F288" s="18">
        <f t="shared" si="28"/>
        <v>0</v>
      </c>
      <c r="G288" s="18">
        <f t="shared" si="29"/>
        <v>1256.8720000000001</v>
      </c>
      <c r="H288" s="14">
        <v>114.28</v>
      </c>
      <c r="I288" s="18">
        <f t="shared" si="30"/>
        <v>0</v>
      </c>
      <c r="J288" s="18">
        <f t="shared" si="31"/>
        <v>114.28</v>
      </c>
      <c r="K288" s="14">
        <v>6.1599999999999993</v>
      </c>
      <c r="L288" s="18">
        <f t="shared" si="32"/>
        <v>0</v>
      </c>
      <c r="M288" s="18">
        <f t="shared" si="33"/>
        <v>6.1599999999999993</v>
      </c>
      <c r="N288" s="15">
        <f t="shared" si="34"/>
        <v>1377.3120000000001</v>
      </c>
      <c r="O288" s="15">
        <f>+N288-P288</f>
        <v>0</v>
      </c>
      <c r="P288" s="15">
        <f>+IF(N288&gt;D288,N288-D288,0)</f>
        <v>1377.3120000000001</v>
      </c>
      <c r="Q288" s="5">
        <f>+IF(P288=0,P288,P288/N288)</f>
        <v>1</v>
      </c>
    </row>
    <row r="289" spans="1:17" x14ac:dyDescent="0.25">
      <c r="A289" s="7">
        <v>46246.958333333336</v>
      </c>
      <c r="B289" s="6">
        <v>0</v>
      </c>
      <c r="C289" s="13">
        <v>0</v>
      </c>
      <c r="D289" s="18">
        <f>+B289+C289</f>
        <v>0</v>
      </c>
      <c r="E289" s="14">
        <v>1004.867</v>
      </c>
      <c r="F289" s="18">
        <f t="shared" si="28"/>
        <v>0</v>
      </c>
      <c r="G289" s="18">
        <f t="shared" si="29"/>
        <v>1004.867</v>
      </c>
      <c r="H289" s="14">
        <v>106.36</v>
      </c>
      <c r="I289" s="18">
        <f t="shared" si="30"/>
        <v>0</v>
      </c>
      <c r="J289" s="18">
        <f t="shared" si="31"/>
        <v>106.36</v>
      </c>
      <c r="K289" s="14">
        <v>2.68</v>
      </c>
      <c r="L289" s="18">
        <f t="shared" si="32"/>
        <v>0</v>
      </c>
      <c r="M289" s="18">
        <f t="shared" si="33"/>
        <v>2.68</v>
      </c>
      <c r="N289" s="15">
        <f t="shared" si="34"/>
        <v>1113.9069999999999</v>
      </c>
      <c r="O289" s="15">
        <f>+N289-P289</f>
        <v>0</v>
      </c>
      <c r="P289" s="15">
        <f>+IF(N289&gt;D289,N289-D289,0)</f>
        <v>1113.9069999999999</v>
      </c>
      <c r="Q289" s="5">
        <f>+IF(P289=0,P289,P289/N289)</f>
        <v>1</v>
      </c>
    </row>
    <row r="290" spans="1:17" x14ac:dyDescent="0.25">
      <c r="A290" s="7">
        <v>46247</v>
      </c>
      <c r="B290" s="6">
        <v>0</v>
      </c>
      <c r="C290" s="13">
        <v>0</v>
      </c>
      <c r="D290" s="18">
        <f>+B290+C290</f>
        <v>0</v>
      </c>
      <c r="E290" s="14">
        <v>1197.021</v>
      </c>
      <c r="F290" s="18">
        <f t="shared" si="28"/>
        <v>0</v>
      </c>
      <c r="G290" s="18">
        <f t="shared" si="29"/>
        <v>1197.021</v>
      </c>
      <c r="H290" s="14">
        <v>93.759999999999991</v>
      </c>
      <c r="I290" s="18">
        <f t="shared" si="30"/>
        <v>0</v>
      </c>
      <c r="J290" s="18">
        <f t="shared" si="31"/>
        <v>93.759999999999991</v>
      </c>
      <c r="K290" s="14">
        <v>2.8</v>
      </c>
      <c r="L290" s="18">
        <f t="shared" si="32"/>
        <v>0</v>
      </c>
      <c r="M290" s="18">
        <f t="shared" si="33"/>
        <v>2.8</v>
      </c>
      <c r="N290" s="15">
        <f t="shared" si="34"/>
        <v>1293.5809999999999</v>
      </c>
      <c r="O290" s="15">
        <f>+N290-P290</f>
        <v>0</v>
      </c>
      <c r="P290" s="15">
        <f>+IF(N290&gt;D290,N290-D290,0)</f>
        <v>1293.5809999999999</v>
      </c>
      <c r="Q290" s="5">
        <f>+IF(P290=0,P290,P290/N290)</f>
        <v>1</v>
      </c>
    </row>
    <row r="291" spans="1:17" x14ac:dyDescent="0.25">
      <c r="A291" s="7">
        <v>46247.041666666664</v>
      </c>
      <c r="B291" s="6">
        <v>0</v>
      </c>
      <c r="C291" s="13">
        <v>0</v>
      </c>
      <c r="D291" s="18">
        <f>+B291+C291</f>
        <v>0</v>
      </c>
      <c r="E291" s="14">
        <v>53.551000000000002</v>
      </c>
      <c r="F291" s="18">
        <f t="shared" si="28"/>
        <v>0</v>
      </c>
      <c r="G291" s="18">
        <f t="shared" si="29"/>
        <v>53.551000000000002</v>
      </c>
      <c r="H291" s="14">
        <v>90.759999999999991</v>
      </c>
      <c r="I291" s="18">
        <f t="shared" si="30"/>
        <v>0</v>
      </c>
      <c r="J291" s="18">
        <f t="shared" si="31"/>
        <v>90.759999999999991</v>
      </c>
      <c r="K291" s="14">
        <v>2.8</v>
      </c>
      <c r="L291" s="18">
        <f t="shared" si="32"/>
        <v>0</v>
      </c>
      <c r="M291" s="18">
        <f t="shared" si="33"/>
        <v>2.8</v>
      </c>
      <c r="N291" s="15">
        <f t="shared" si="34"/>
        <v>147.11099999999999</v>
      </c>
      <c r="O291" s="15">
        <f>+N291-P291</f>
        <v>0</v>
      </c>
      <c r="P291" s="15">
        <f>+IF(N291&gt;D291,N291-D291,0)</f>
        <v>147.11099999999999</v>
      </c>
      <c r="Q291" s="5">
        <f>+IF(P291=0,P291,P291/N291)</f>
        <v>1</v>
      </c>
    </row>
    <row r="292" spans="1:17" x14ac:dyDescent="0.25">
      <c r="A292" s="7">
        <v>46247.083333333336</v>
      </c>
      <c r="B292" s="6">
        <v>0</v>
      </c>
      <c r="C292" s="13">
        <v>0</v>
      </c>
      <c r="D292" s="18">
        <f>+B292+C292</f>
        <v>0</v>
      </c>
      <c r="E292" s="14">
        <v>1197.021</v>
      </c>
      <c r="F292" s="18">
        <f t="shared" si="28"/>
        <v>0</v>
      </c>
      <c r="G292" s="18">
        <f t="shared" si="29"/>
        <v>1197.021</v>
      </c>
      <c r="H292" s="14">
        <v>110.32000000000001</v>
      </c>
      <c r="I292" s="18">
        <f t="shared" si="30"/>
        <v>0</v>
      </c>
      <c r="J292" s="18">
        <f t="shared" si="31"/>
        <v>110.32000000000001</v>
      </c>
      <c r="K292" s="14">
        <v>2.92</v>
      </c>
      <c r="L292" s="18">
        <f t="shared" si="32"/>
        <v>0</v>
      </c>
      <c r="M292" s="18">
        <f t="shared" si="33"/>
        <v>2.92</v>
      </c>
      <c r="N292" s="15">
        <f t="shared" si="34"/>
        <v>1310.261</v>
      </c>
      <c r="O292" s="15">
        <f>+N292-P292</f>
        <v>0</v>
      </c>
      <c r="P292" s="15">
        <f>+IF(N292&gt;D292,N292-D292,0)</f>
        <v>1310.261</v>
      </c>
      <c r="Q292" s="5">
        <f>+IF(P292=0,P292,P292/N292)</f>
        <v>1</v>
      </c>
    </row>
    <row r="293" spans="1:17" x14ac:dyDescent="0.25">
      <c r="A293" s="7">
        <v>46247.125</v>
      </c>
      <c r="B293" s="6">
        <v>0</v>
      </c>
      <c r="C293" s="13">
        <v>0</v>
      </c>
      <c r="D293" s="18">
        <f>+B293+C293</f>
        <v>0</v>
      </c>
      <c r="E293" s="14">
        <v>1250.5720000000001</v>
      </c>
      <c r="F293" s="18">
        <f t="shared" si="28"/>
        <v>0</v>
      </c>
      <c r="G293" s="18">
        <f t="shared" si="29"/>
        <v>1250.5720000000001</v>
      </c>
      <c r="H293" s="14">
        <v>83.2</v>
      </c>
      <c r="I293" s="18">
        <f t="shared" si="30"/>
        <v>0</v>
      </c>
      <c r="J293" s="18">
        <f t="shared" si="31"/>
        <v>83.2</v>
      </c>
      <c r="K293" s="14">
        <v>2.68</v>
      </c>
      <c r="L293" s="18">
        <f t="shared" si="32"/>
        <v>0</v>
      </c>
      <c r="M293" s="18">
        <f t="shared" si="33"/>
        <v>2.68</v>
      </c>
      <c r="N293" s="15">
        <f t="shared" si="34"/>
        <v>1336.4520000000002</v>
      </c>
      <c r="O293" s="15">
        <f>+N293-P293</f>
        <v>0</v>
      </c>
      <c r="P293" s="15">
        <f>+IF(N293&gt;D293,N293-D293,0)</f>
        <v>1336.4520000000002</v>
      </c>
      <c r="Q293" s="5">
        <f>+IF(P293=0,P293,P293/N293)</f>
        <v>1</v>
      </c>
    </row>
    <row r="294" spans="1:17" x14ac:dyDescent="0.25">
      <c r="A294" s="7">
        <v>46247.166666666664</v>
      </c>
      <c r="B294" s="6">
        <v>0</v>
      </c>
      <c r="C294" s="13">
        <v>0</v>
      </c>
      <c r="D294" s="18">
        <f>+B294+C294</f>
        <v>0</v>
      </c>
      <c r="E294" s="14">
        <v>1260.0219999999999</v>
      </c>
      <c r="F294" s="18">
        <f t="shared" si="28"/>
        <v>0</v>
      </c>
      <c r="G294" s="18">
        <f t="shared" si="29"/>
        <v>1260.0219999999999</v>
      </c>
      <c r="H294" s="14">
        <v>64</v>
      </c>
      <c r="I294" s="18">
        <f t="shared" si="30"/>
        <v>0</v>
      </c>
      <c r="J294" s="18">
        <f t="shared" si="31"/>
        <v>64</v>
      </c>
      <c r="K294" s="14">
        <v>2.68</v>
      </c>
      <c r="L294" s="18">
        <f t="shared" si="32"/>
        <v>0</v>
      </c>
      <c r="M294" s="18">
        <f t="shared" si="33"/>
        <v>2.68</v>
      </c>
      <c r="N294" s="15">
        <f t="shared" si="34"/>
        <v>1326.702</v>
      </c>
      <c r="O294" s="15">
        <f>+N294-P294</f>
        <v>0</v>
      </c>
      <c r="P294" s="15">
        <f>+IF(N294&gt;D294,N294-D294,0)</f>
        <v>1326.702</v>
      </c>
      <c r="Q294" s="5">
        <f>+IF(P294=0,P294,P294/N294)</f>
        <v>1</v>
      </c>
    </row>
    <row r="295" spans="1:17" x14ac:dyDescent="0.25">
      <c r="A295" s="7">
        <v>46247.208333333336</v>
      </c>
      <c r="B295" s="6">
        <v>0</v>
      </c>
      <c r="C295" s="13">
        <v>0</v>
      </c>
      <c r="D295" s="18">
        <f>+B295+C295</f>
        <v>0</v>
      </c>
      <c r="E295" s="14">
        <v>1168.67</v>
      </c>
      <c r="F295" s="18">
        <f t="shared" si="28"/>
        <v>0</v>
      </c>
      <c r="G295" s="18">
        <f t="shared" si="29"/>
        <v>1168.67</v>
      </c>
      <c r="H295" s="14">
        <v>65.199999999999989</v>
      </c>
      <c r="I295" s="18">
        <f t="shared" si="30"/>
        <v>0</v>
      </c>
      <c r="J295" s="18">
        <f t="shared" si="31"/>
        <v>65.199999999999989</v>
      </c>
      <c r="K295" s="14">
        <v>3.16</v>
      </c>
      <c r="L295" s="18">
        <f t="shared" si="32"/>
        <v>0</v>
      </c>
      <c r="M295" s="18">
        <f t="shared" si="33"/>
        <v>3.16</v>
      </c>
      <c r="N295" s="15">
        <f t="shared" si="34"/>
        <v>1237.0300000000002</v>
      </c>
      <c r="O295" s="15">
        <f>+N295-P295</f>
        <v>0</v>
      </c>
      <c r="P295" s="15">
        <f>+IF(N295&gt;D295,N295-D295,0)</f>
        <v>1237.0300000000002</v>
      </c>
      <c r="Q295" s="5">
        <f>+IF(P295=0,P295,P295/N295)</f>
        <v>1</v>
      </c>
    </row>
    <row r="296" spans="1:17" x14ac:dyDescent="0.25">
      <c r="A296" s="7">
        <v>46247.25</v>
      </c>
      <c r="B296" s="6">
        <v>50.4</v>
      </c>
      <c r="C296" s="13">
        <v>0</v>
      </c>
      <c r="D296" s="18">
        <f>+B296+C296</f>
        <v>50.4</v>
      </c>
      <c r="E296" s="14">
        <v>15.75</v>
      </c>
      <c r="F296" s="18">
        <f t="shared" si="28"/>
        <v>15.071198025441428</v>
      </c>
      <c r="G296" s="18">
        <f t="shared" si="29"/>
        <v>0.67880197455857316</v>
      </c>
      <c r="H296" s="14">
        <v>33.76</v>
      </c>
      <c r="I296" s="18">
        <f t="shared" si="30"/>
        <v>32.304993354850957</v>
      </c>
      <c r="J296" s="18">
        <f t="shared" si="31"/>
        <v>1.4550066451490431</v>
      </c>
      <c r="K296" s="14">
        <v>3.16</v>
      </c>
      <c r="L296" s="18">
        <f t="shared" si="32"/>
        <v>3.0238086197076135</v>
      </c>
      <c r="M296" s="18">
        <f t="shared" si="33"/>
        <v>0.13619138029238675</v>
      </c>
      <c r="N296" s="15">
        <f t="shared" si="34"/>
        <v>52.67</v>
      </c>
      <c r="O296" s="15">
        <f>+N296-P296</f>
        <v>50.4</v>
      </c>
      <c r="P296" s="15">
        <f>+IF(N296&gt;D296,N296-D296,0)</f>
        <v>2.2700000000000031</v>
      </c>
      <c r="Q296" s="5">
        <f>+IF(P296=0,P296,P296/N296)</f>
        <v>4.3098538067210992E-2</v>
      </c>
    </row>
    <row r="297" spans="1:17" x14ac:dyDescent="0.25">
      <c r="A297" s="7">
        <v>46247.291666666664</v>
      </c>
      <c r="B297" s="6">
        <v>526.04999999999995</v>
      </c>
      <c r="C297" s="13">
        <v>1.32</v>
      </c>
      <c r="D297" s="18">
        <f>+B297+C297</f>
        <v>527.37</v>
      </c>
      <c r="E297" s="14">
        <v>0</v>
      </c>
      <c r="F297" s="18">
        <f t="shared" si="28"/>
        <v>0</v>
      </c>
      <c r="G297" s="18">
        <f t="shared" si="29"/>
        <v>0</v>
      </c>
      <c r="H297" s="14">
        <v>38.32</v>
      </c>
      <c r="I297" s="18">
        <f t="shared" si="30"/>
        <v>38.32</v>
      </c>
      <c r="J297" s="18">
        <f t="shared" si="31"/>
        <v>0</v>
      </c>
      <c r="K297" s="14">
        <v>10.120000000000001</v>
      </c>
      <c r="L297" s="18">
        <f t="shared" si="32"/>
        <v>10.120000000000001</v>
      </c>
      <c r="M297" s="18">
        <f t="shared" si="33"/>
        <v>0</v>
      </c>
      <c r="N297" s="15">
        <f t="shared" si="34"/>
        <v>48.44</v>
      </c>
      <c r="O297" s="15">
        <f>+N297-P297</f>
        <v>48.44</v>
      </c>
      <c r="P297" s="15">
        <f>+IF(N297&gt;D297,N297-D297,0)</f>
        <v>0</v>
      </c>
      <c r="Q297" s="5">
        <f>+IF(P297=0,P297,P297/N297)</f>
        <v>0</v>
      </c>
    </row>
    <row r="298" spans="1:17" x14ac:dyDescent="0.25">
      <c r="A298" s="7">
        <v>46247.333333333336</v>
      </c>
      <c r="B298" s="6">
        <v>431.55</v>
      </c>
      <c r="C298" s="13">
        <v>0</v>
      </c>
      <c r="D298" s="18">
        <f>+B298+C298</f>
        <v>431.55</v>
      </c>
      <c r="E298" s="14">
        <v>3.15</v>
      </c>
      <c r="F298" s="18">
        <f t="shared" si="28"/>
        <v>3.15</v>
      </c>
      <c r="G298" s="18">
        <f t="shared" si="29"/>
        <v>0</v>
      </c>
      <c r="H298" s="14">
        <v>105.76</v>
      </c>
      <c r="I298" s="18">
        <f t="shared" si="30"/>
        <v>105.76</v>
      </c>
      <c r="J298" s="18">
        <f t="shared" si="31"/>
        <v>0</v>
      </c>
      <c r="K298" s="14">
        <v>16</v>
      </c>
      <c r="L298" s="18">
        <f t="shared" si="32"/>
        <v>16</v>
      </c>
      <c r="M298" s="18">
        <f t="shared" si="33"/>
        <v>0</v>
      </c>
      <c r="N298" s="15">
        <f t="shared" si="34"/>
        <v>124.91000000000001</v>
      </c>
      <c r="O298" s="15">
        <f>+N298-P298</f>
        <v>124.91000000000001</v>
      </c>
      <c r="P298" s="15">
        <f>+IF(N298&gt;D298,N298-D298,0)</f>
        <v>0</v>
      </c>
      <c r="Q298" s="5">
        <f>+IF(P298=0,P298,P298/N298)</f>
        <v>0</v>
      </c>
    </row>
    <row r="299" spans="1:17" x14ac:dyDescent="0.25">
      <c r="A299" s="7">
        <v>46247.375</v>
      </c>
      <c r="B299" s="6">
        <v>1001.7</v>
      </c>
      <c r="C299" s="13">
        <v>1.92</v>
      </c>
      <c r="D299" s="18">
        <f>+B299+C299</f>
        <v>1003.62</v>
      </c>
      <c r="E299" s="14">
        <v>0</v>
      </c>
      <c r="F299" s="18">
        <f t="shared" si="28"/>
        <v>0</v>
      </c>
      <c r="G299" s="18">
        <f t="shared" si="29"/>
        <v>0</v>
      </c>
      <c r="H299" s="14">
        <v>48.52</v>
      </c>
      <c r="I299" s="18">
        <f t="shared" si="30"/>
        <v>48.52</v>
      </c>
      <c r="J299" s="18">
        <f t="shared" si="31"/>
        <v>0</v>
      </c>
      <c r="K299" s="14">
        <v>70.48</v>
      </c>
      <c r="L299" s="18">
        <f t="shared" si="32"/>
        <v>70.48</v>
      </c>
      <c r="M299" s="18">
        <f t="shared" si="33"/>
        <v>0</v>
      </c>
      <c r="N299" s="15">
        <f t="shared" si="34"/>
        <v>119</v>
      </c>
      <c r="O299" s="15">
        <f>+N299-P299</f>
        <v>119</v>
      </c>
      <c r="P299" s="15">
        <f>+IF(N299&gt;D299,N299-D299,0)</f>
        <v>0</v>
      </c>
      <c r="Q299" s="5">
        <f>+IF(P299=0,P299,P299/N299)</f>
        <v>0</v>
      </c>
    </row>
    <row r="300" spans="1:17" x14ac:dyDescent="0.25">
      <c r="A300" s="7">
        <v>46247.416666666664</v>
      </c>
      <c r="B300" s="6">
        <v>1565.55</v>
      </c>
      <c r="C300" s="13">
        <v>1.68</v>
      </c>
      <c r="D300" s="18">
        <f>+B300+C300</f>
        <v>1567.23</v>
      </c>
      <c r="E300" s="14">
        <v>0</v>
      </c>
      <c r="F300" s="18">
        <f t="shared" si="28"/>
        <v>0</v>
      </c>
      <c r="G300" s="18">
        <f t="shared" si="29"/>
        <v>0</v>
      </c>
      <c r="H300" s="14">
        <v>37.839999999999996</v>
      </c>
      <c r="I300" s="18">
        <f t="shared" si="30"/>
        <v>37.839999999999996</v>
      </c>
      <c r="J300" s="18">
        <f t="shared" si="31"/>
        <v>0</v>
      </c>
      <c r="K300" s="14">
        <v>52.720000000000006</v>
      </c>
      <c r="L300" s="18">
        <f t="shared" si="32"/>
        <v>52.720000000000006</v>
      </c>
      <c r="M300" s="18">
        <f t="shared" si="33"/>
        <v>0</v>
      </c>
      <c r="N300" s="15">
        <f t="shared" si="34"/>
        <v>90.56</v>
      </c>
      <c r="O300" s="15">
        <f>+N300-P300</f>
        <v>90.56</v>
      </c>
      <c r="P300" s="15">
        <f>+IF(N300&gt;D300,N300-D300,0)</f>
        <v>0</v>
      </c>
      <c r="Q300" s="5">
        <f>+IF(P300=0,P300,P300/N300)</f>
        <v>0</v>
      </c>
    </row>
    <row r="301" spans="1:17" x14ac:dyDescent="0.25">
      <c r="A301" s="7">
        <v>46247.458333333336</v>
      </c>
      <c r="B301" s="6">
        <v>1839.6</v>
      </c>
      <c r="C301" s="13">
        <v>15.6</v>
      </c>
      <c r="D301" s="18">
        <f>+B301+C301</f>
        <v>1855.1999999999998</v>
      </c>
      <c r="E301" s="14">
        <v>0</v>
      </c>
      <c r="F301" s="18">
        <f t="shared" si="28"/>
        <v>0</v>
      </c>
      <c r="G301" s="18">
        <f t="shared" si="29"/>
        <v>0</v>
      </c>
      <c r="H301" s="14">
        <v>22.24</v>
      </c>
      <c r="I301" s="18">
        <f t="shared" si="30"/>
        <v>22.24</v>
      </c>
      <c r="J301" s="18">
        <f t="shared" si="31"/>
        <v>0</v>
      </c>
      <c r="K301" s="14">
        <v>64.240000000000009</v>
      </c>
      <c r="L301" s="18">
        <f t="shared" si="32"/>
        <v>64.240000000000009</v>
      </c>
      <c r="M301" s="18">
        <f t="shared" si="33"/>
        <v>0</v>
      </c>
      <c r="N301" s="15">
        <f t="shared" si="34"/>
        <v>86.48</v>
      </c>
      <c r="O301" s="15">
        <f>+N301-P301</f>
        <v>86.48</v>
      </c>
      <c r="P301" s="15">
        <f>+IF(N301&gt;D301,N301-D301,0)</f>
        <v>0</v>
      </c>
      <c r="Q301" s="5">
        <f>+IF(P301=0,P301,P301/N301)</f>
        <v>0</v>
      </c>
    </row>
    <row r="302" spans="1:17" x14ac:dyDescent="0.25">
      <c r="A302" s="7">
        <v>46247.5</v>
      </c>
      <c r="B302" s="6">
        <v>2564.1</v>
      </c>
      <c r="C302" s="13">
        <v>18.72</v>
      </c>
      <c r="D302" s="18">
        <f>+B302+C302</f>
        <v>2582.8199999999997</v>
      </c>
      <c r="E302" s="14">
        <v>0</v>
      </c>
      <c r="F302" s="18">
        <f t="shared" si="28"/>
        <v>0</v>
      </c>
      <c r="G302" s="18">
        <f t="shared" si="29"/>
        <v>0</v>
      </c>
      <c r="H302" s="14">
        <v>7.24</v>
      </c>
      <c r="I302" s="18">
        <f t="shared" si="30"/>
        <v>7.24</v>
      </c>
      <c r="J302" s="18">
        <f t="shared" si="31"/>
        <v>0</v>
      </c>
      <c r="K302" s="14">
        <v>56.2</v>
      </c>
      <c r="L302" s="18">
        <f t="shared" si="32"/>
        <v>56.2</v>
      </c>
      <c r="M302" s="18">
        <f t="shared" si="33"/>
        <v>0</v>
      </c>
      <c r="N302" s="15">
        <f t="shared" si="34"/>
        <v>63.440000000000005</v>
      </c>
      <c r="O302" s="15">
        <f>+N302-P302</f>
        <v>63.440000000000005</v>
      </c>
      <c r="P302" s="15">
        <f>+IF(N302&gt;D302,N302-D302,0)</f>
        <v>0</v>
      </c>
      <c r="Q302" s="5">
        <f>+IF(P302=0,P302,P302/N302)</f>
        <v>0</v>
      </c>
    </row>
    <row r="303" spans="1:17" x14ac:dyDescent="0.25">
      <c r="A303" s="7">
        <v>46247.541666666664</v>
      </c>
      <c r="B303" s="6">
        <v>2236.5</v>
      </c>
      <c r="C303" s="13">
        <v>31.92</v>
      </c>
      <c r="D303" s="18">
        <f>+B303+C303</f>
        <v>2268.42</v>
      </c>
      <c r="E303" s="14">
        <v>0</v>
      </c>
      <c r="F303" s="18">
        <f t="shared" si="28"/>
        <v>0</v>
      </c>
      <c r="G303" s="18">
        <f t="shared" si="29"/>
        <v>0</v>
      </c>
      <c r="H303" s="14">
        <v>10.6</v>
      </c>
      <c r="I303" s="18">
        <f t="shared" si="30"/>
        <v>10.6</v>
      </c>
      <c r="J303" s="18">
        <f t="shared" si="31"/>
        <v>0</v>
      </c>
      <c r="K303" s="14">
        <v>27.16</v>
      </c>
      <c r="L303" s="18">
        <f t="shared" si="32"/>
        <v>27.16</v>
      </c>
      <c r="M303" s="18">
        <f t="shared" si="33"/>
        <v>0</v>
      </c>
      <c r="N303" s="15">
        <f t="shared" si="34"/>
        <v>37.76</v>
      </c>
      <c r="O303" s="15">
        <f>+N303-P303</f>
        <v>37.76</v>
      </c>
      <c r="P303" s="15">
        <f>+IF(N303&gt;D303,N303-D303,0)</f>
        <v>0</v>
      </c>
      <c r="Q303" s="5">
        <f>+IF(P303=0,P303,P303/N303)</f>
        <v>0</v>
      </c>
    </row>
    <row r="304" spans="1:17" x14ac:dyDescent="0.25">
      <c r="A304" s="7">
        <v>46247.583333333336</v>
      </c>
      <c r="B304" s="6">
        <v>1562.4</v>
      </c>
      <c r="C304" s="13">
        <v>16.2</v>
      </c>
      <c r="D304" s="18">
        <f>+B304+C304</f>
        <v>1578.6000000000001</v>
      </c>
      <c r="E304" s="14">
        <v>0</v>
      </c>
      <c r="F304" s="18">
        <f t="shared" si="28"/>
        <v>0</v>
      </c>
      <c r="G304" s="18">
        <f t="shared" si="29"/>
        <v>0</v>
      </c>
      <c r="H304" s="14">
        <v>28</v>
      </c>
      <c r="I304" s="18">
        <f t="shared" si="30"/>
        <v>28</v>
      </c>
      <c r="J304" s="18">
        <f t="shared" si="31"/>
        <v>0</v>
      </c>
      <c r="K304" s="14">
        <v>61.72</v>
      </c>
      <c r="L304" s="18">
        <f t="shared" si="32"/>
        <v>61.72</v>
      </c>
      <c r="M304" s="18">
        <f t="shared" si="33"/>
        <v>0</v>
      </c>
      <c r="N304" s="15">
        <f t="shared" si="34"/>
        <v>89.72</v>
      </c>
      <c r="O304" s="15">
        <f>+N304-P304</f>
        <v>89.72</v>
      </c>
      <c r="P304" s="15">
        <f>+IF(N304&gt;D304,N304-D304,0)</f>
        <v>0</v>
      </c>
      <c r="Q304" s="5">
        <f>+IF(P304=0,P304,P304/N304)</f>
        <v>0</v>
      </c>
    </row>
    <row r="305" spans="1:17" x14ac:dyDescent="0.25">
      <c r="A305" s="7">
        <v>46247.625</v>
      </c>
      <c r="B305" s="6">
        <v>1316.7</v>
      </c>
      <c r="C305" s="13">
        <v>3.72</v>
      </c>
      <c r="D305" s="18">
        <f>+B305+C305</f>
        <v>1320.42</v>
      </c>
      <c r="E305" s="14">
        <v>0</v>
      </c>
      <c r="F305" s="18">
        <f t="shared" si="28"/>
        <v>0</v>
      </c>
      <c r="G305" s="18">
        <f t="shared" si="29"/>
        <v>0</v>
      </c>
      <c r="H305" s="14">
        <v>39.160000000000004</v>
      </c>
      <c r="I305" s="18">
        <f t="shared" si="30"/>
        <v>39.160000000000004</v>
      </c>
      <c r="J305" s="18">
        <f t="shared" si="31"/>
        <v>0</v>
      </c>
      <c r="K305" s="14">
        <v>78.16</v>
      </c>
      <c r="L305" s="18">
        <f t="shared" si="32"/>
        <v>78.16</v>
      </c>
      <c r="M305" s="18">
        <f t="shared" si="33"/>
        <v>0</v>
      </c>
      <c r="N305" s="15">
        <f t="shared" si="34"/>
        <v>117.32</v>
      </c>
      <c r="O305" s="15">
        <f>+N305-P305</f>
        <v>117.32</v>
      </c>
      <c r="P305" s="15">
        <f>+IF(N305&gt;D305,N305-D305,0)</f>
        <v>0</v>
      </c>
      <c r="Q305" s="5">
        <f>+IF(P305=0,P305,P305/N305)</f>
        <v>0</v>
      </c>
    </row>
    <row r="306" spans="1:17" x14ac:dyDescent="0.25">
      <c r="A306" s="7">
        <v>46247.666666666664</v>
      </c>
      <c r="B306" s="6">
        <v>926.1</v>
      </c>
      <c r="C306" s="13">
        <v>0</v>
      </c>
      <c r="D306" s="18">
        <f>+B306+C306</f>
        <v>926.1</v>
      </c>
      <c r="E306" s="14">
        <v>0</v>
      </c>
      <c r="F306" s="18">
        <f t="shared" si="28"/>
        <v>0</v>
      </c>
      <c r="G306" s="18">
        <f t="shared" si="29"/>
        <v>0</v>
      </c>
      <c r="H306" s="14">
        <v>60.16</v>
      </c>
      <c r="I306" s="18">
        <f t="shared" si="30"/>
        <v>60.16</v>
      </c>
      <c r="J306" s="18">
        <f t="shared" si="31"/>
        <v>0</v>
      </c>
      <c r="K306" s="14">
        <v>64.600000000000009</v>
      </c>
      <c r="L306" s="18">
        <f t="shared" si="32"/>
        <v>64.600000000000009</v>
      </c>
      <c r="M306" s="18">
        <f t="shared" si="33"/>
        <v>0</v>
      </c>
      <c r="N306" s="15">
        <f t="shared" si="34"/>
        <v>124.76</v>
      </c>
      <c r="O306" s="15">
        <f>+N306-P306</f>
        <v>124.76</v>
      </c>
      <c r="P306" s="15">
        <f>+IF(N306&gt;D306,N306-D306,0)</f>
        <v>0</v>
      </c>
      <c r="Q306" s="5">
        <f>+IF(P306=0,P306,P306/N306)</f>
        <v>0</v>
      </c>
    </row>
    <row r="307" spans="1:17" x14ac:dyDescent="0.25">
      <c r="A307" s="7">
        <v>46247.708333333336</v>
      </c>
      <c r="B307" s="6">
        <v>40.950000000000003</v>
      </c>
      <c r="C307" s="13">
        <v>0</v>
      </c>
      <c r="D307" s="18">
        <f>+B307+C307</f>
        <v>40.950000000000003</v>
      </c>
      <c r="E307" s="14">
        <v>182.68</v>
      </c>
      <c r="F307" s="18">
        <f t="shared" si="28"/>
        <v>22.529653053848932</v>
      </c>
      <c r="G307" s="18">
        <f t="shared" si="29"/>
        <v>160.15034694615107</v>
      </c>
      <c r="H307" s="14">
        <v>64.960000000000008</v>
      </c>
      <c r="I307" s="18">
        <f t="shared" si="30"/>
        <v>8.0114203108059243</v>
      </c>
      <c r="J307" s="18">
        <f t="shared" si="31"/>
        <v>56.948579689194084</v>
      </c>
      <c r="K307" s="14">
        <v>84.4</v>
      </c>
      <c r="L307" s="18">
        <f t="shared" si="32"/>
        <v>10.408926635345139</v>
      </c>
      <c r="M307" s="18">
        <f t="shared" si="33"/>
        <v>73.991073364654866</v>
      </c>
      <c r="N307" s="15">
        <f t="shared" si="34"/>
        <v>332.04</v>
      </c>
      <c r="O307" s="15">
        <f>+N307-P307</f>
        <v>40.949999999999989</v>
      </c>
      <c r="P307" s="15">
        <f>+IF(N307&gt;D307,N307-D307,0)</f>
        <v>291.09000000000003</v>
      </c>
      <c r="Q307" s="5">
        <f>+IF(P307=0,P307,P307/N307)</f>
        <v>0.87667148536320927</v>
      </c>
    </row>
    <row r="308" spans="1:17" x14ac:dyDescent="0.25">
      <c r="A308" s="7">
        <v>46247.75</v>
      </c>
      <c r="B308" s="6">
        <v>236.25</v>
      </c>
      <c r="C308" s="13">
        <v>0</v>
      </c>
      <c r="D308" s="18">
        <f>+B308+C308</f>
        <v>236.25</v>
      </c>
      <c r="E308" s="14">
        <v>0</v>
      </c>
      <c r="F308" s="18">
        <f t="shared" si="28"/>
        <v>0</v>
      </c>
      <c r="G308" s="18">
        <f t="shared" si="29"/>
        <v>0</v>
      </c>
      <c r="H308" s="14">
        <v>83.919999999999987</v>
      </c>
      <c r="I308" s="18">
        <f t="shared" si="30"/>
        <v>83.919999999999987</v>
      </c>
      <c r="J308" s="18">
        <f t="shared" si="31"/>
        <v>0</v>
      </c>
      <c r="K308" s="14">
        <v>66.760000000000005</v>
      </c>
      <c r="L308" s="18">
        <f t="shared" si="32"/>
        <v>66.760000000000005</v>
      </c>
      <c r="M308" s="18">
        <f t="shared" si="33"/>
        <v>0</v>
      </c>
      <c r="N308" s="15">
        <f t="shared" si="34"/>
        <v>150.68</v>
      </c>
      <c r="O308" s="15">
        <f>+N308-P308</f>
        <v>150.68</v>
      </c>
      <c r="P308" s="15">
        <f>+IF(N308&gt;D308,N308-D308,0)</f>
        <v>0</v>
      </c>
      <c r="Q308" s="5">
        <f>+IF(P308=0,P308,P308/N308)</f>
        <v>0</v>
      </c>
    </row>
    <row r="309" spans="1:17" x14ac:dyDescent="0.25">
      <c r="A309" s="7">
        <v>46247.791666666664</v>
      </c>
      <c r="B309" s="6">
        <v>6.3</v>
      </c>
      <c r="C309" s="13">
        <v>0</v>
      </c>
      <c r="D309" s="18">
        <f>+B309+C309</f>
        <v>6.3</v>
      </c>
      <c r="E309" s="14">
        <v>72.442000000000007</v>
      </c>
      <c r="F309" s="18">
        <f t="shared" si="28"/>
        <v>2.4803241269116683</v>
      </c>
      <c r="G309" s="18">
        <f t="shared" si="29"/>
        <v>69.961675873088339</v>
      </c>
      <c r="H309" s="14">
        <v>90.52000000000001</v>
      </c>
      <c r="I309" s="18">
        <f t="shared" si="30"/>
        <v>3.0992923989956722</v>
      </c>
      <c r="J309" s="18">
        <f t="shared" si="31"/>
        <v>87.420707601004338</v>
      </c>
      <c r="K309" s="14">
        <v>21.04</v>
      </c>
      <c r="L309" s="18">
        <f t="shared" si="32"/>
        <v>0.72038347409267445</v>
      </c>
      <c r="M309" s="18">
        <f t="shared" si="33"/>
        <v>20.319616525907325</v>
      </c>
      <c r="N309" s="15">
        <f t="shared" si="34"/>
        <v>184.00200000000001</v>
      </c>
      <c r="O309" s="15">
        <f>+N309-P309</f>
        <v>6.3000000000000114</v>
      </c>
      <c r="P309" s="15">
        <f>+IF(N309&gt;D309,N309-D309,0)</f>
        <v>177.702</v>
      </c>
      <c r="Q309" s="5">
        <f>+IF(P309=0,P309,P309/N309)</f>
        <v>0.96576124172563338</v>
      </c>
    </row>
    <row r="310" spans="1:17" x14ac:dyDescent="0.25">
      <c r="A310" s="7">
        <v>46247.833333333336</v>
      </c>
      <c r="B310" s="6">
        <v>0</v>
      </c>
      <c r="C310" s="13">
        <v>0</v>
      </c>
      <c r="D310" s="18">
        <f>+B310+C310</f>
        <v>0</v>
      </c>
      <c r="E310" s="14">
        <v>982.69399999999996</v>
      </c>
      <c r="F310" s="18">
        <f t="shared" si="28"/>
        <v>0</v>
      </c>
      <c r="G310" s="18">
        <f t="shared" si="29"/>
        <v>982.69399999999996</v>
      </c>
      <c r="H310" s="14">
        <v>103.24</v>
      </c>
      <c r="I310" s="18">
        <f t="shared" si="30"/>
        <v>0</v>
      </c>
      <c r="J310" s="18">
        <f t="shared" si="31"/>
        <v>103.24</v>
      </c>
      <c r="K310" s="14">
        <v>6.4</v>
      </c>
      <c r="L310" s="18">
        <f t="shared" si="32"/>
        <v>0</v>
      </c>
      <c r="M310" s="18">
        <f t="shared" si="33"/>
        <v>6.4</v>
      </c>
      <c r="N310" s="15">
        <f t="shared" si="34"/>
        <v>1092.3340000000001</v>
      </c>
      <c r="O310" s="15">
        <f>+N310-P310</f>
        <v>0</v>
      </c>
      <c r="P310" s="15">
        <f>+IF(N310&gt;D310,N310-D310,0)</f>
        <v>1092.3340000000001</v>
      </c>
      <c r="Q310" s="5">
        <f>+IF(P310=0,P310,P310/N310)</f>
        <v>1</v>
      </c>
    </row>
    <row r="311" spans="1:17" x14ac:dyDescent="0.25">
      <c r="A311" s="7">
        <v>46247.875</v>
      </c>
      <c r="B311" s="6">
        <v>0</v>
      </c>
      <c r="C311" s="13">
        <v>0</v>
      </c>
      <c r="D311" s="18">
        <f>+B311+C311</f>
        <v>0</v>
      </c>
      <c r="E311" s="14">
        <v>1244.116</v>
      </c>
      <c r="F311" s="18">
        <f t="shared" si="28"/>
        <v>0</v>
      </c>
      <c r="G311" s="18">
        <f t="shared" si="29"/>
        <v>1244.116</v>
      </c>
      <c r="H311" s="14">
        <v>95.08</v>
      </c>
      <c r="I311" s="18">
        <f t="shared" si="30"/>
        <v>0</v>
      </c>
      <c r="J311" s="18">
        <f t="shared" si="31"/>
        <v>95.08</v>
      </c>
      <c r="K311" s="14">
        <v>5.68</v>
      </c>
      <c r="L311" s="18">
        <f t="shared" si="32"/>
        <v>0</v>
      </c>
      <c r="M311" s="18">
        <f t="shared" si="33"/>
        <v>5.68</v>
      </c>
      <c r="N311" s="15">
        <f t="shared" si="34"/>
        <v>1344.876</v>
      </c>
      <c r="O311" s="15">
        <f>+N311-P311</f>
        <v>0</v>
      </c>
      <c r="P311" s="15">
        <f>+IF(N311&gt;D311,N311-D311,0)</f>
        <v>1344.876</v>
      </c>
      <c r="Q311" s="5">
        <f>+IF(P311=0,P311,P311/N311)</f>
        <v>1</v>
      </c>
    </row>
    <row r="312" spans="1:17" x14ac:dyDescent="0.25">
      <c r="A312" s="7">
        <v>46247.916666666664</v>
      </c>
      <c r="B312" s="6">
        <v>0</v>
      </c>
      <c r="C312" s="13">
        <v>0</v>
      </c>
      <c r="D312" s="18">
        <f>+B312+C312</f>
        <v>0</v>
      </c>
      <c r="E312" s="14">
        <v>1039.518</v>
      </c>
      <c r="F312" s="18">
        <f t="shared" si="28"/>
        <v>0</v>
      </c>
      <c r="G312" s="18">
        <f t="shared" si="29"/>
        <v>1039.518</v>
      </c>
      <c r="H312" s="14">
        <v>112</v>
      </c>
      <c r="I312" s="18">
        <f t="shared" si="30"/>
        <v>0</v>
      </c>
      <c r="J312" s="18">
        <f t="shared" si="31"/>
        <v>112</v>
      </c>
      <c r="K312" s="14">
        <v>2.92</v>
      </c>
      <c r="L312" s="18">
        <f t="shared" si="32"/>
        <v>0</v>
      </c>
      <c r="M312" s="18">
        <f t="shared" si="33"/>
        <v>2.92</v>
      </c>
      <c r="N312" s="15">
        <f t="shared" si="34"/>
        <v>1154.4380000000001</v>
      </c>
      <c r="O312" s="15">
        <f>+N312-P312</f>
        <v>0</v>
      </c>
      <c r="P312" s="15">
        <f>+IF(N312&gt;D312,N312-D312,0)</f>
        <v>1154.4380000000001</v>
      </c>
      <c r="Q312" s="5">
        <f>+IF(P312=0,P312,P312/N312)</f>
        <v>1</v>
      </c>
    </row>
    <row r="313" spans="1:17" x14ac:dyDescent="0.25">
      <c r="A313" s="7">
        <v>46247.958333333336</v>
      </c>
      <c r="B313" s="6">
        <v>0</v>
      </c>
      <c r="C313" s="13">
        <v>0</v>
      </c>
      <c r="D313" s="18">
        <f>+B313+C313</f>
        <v>0</v>
      </c>
      <c r="E313" s="14">
        <v>1272.6219999999998</v>
      </c>
      <c r="F313" s="18">
        <f t="shared" si="28"/>
        <v>0</v>
      </c>
      <c r="G313" s="18">
        <f t="shared" si="29"/>
        <v>1272.6219999999998</v>
      </c>
      <c r="H313" s="14">
        <v>108.39999999999999</v>
      </c>
      <c r="I313" s="18">
        <f t="shared" si="30"/>
        <v>0</v>
      </c>
      <c r="J313" s="18">
        <f t="shared" si="31"/>
        <v>108.39999999999999</v>
      </c>
      <c r="K313" s="14">
        <v>2.92</v>
      </c>
      <c r="L313" s="18">
        <f t="shared" si="32"/>
        <v>0</v>
      </c>
      <c r="M313" s="18">
        <f t="shared" si="33"/>
        <v>2.92</v>
      </c>
      <c r="N313" s="15">
        <f t="shared" si="34"/>
        <v>1383.942</v>
      </c>
      <c r="O313" s="15">
        <f>+N313-P313</f>
        <v>0</v>
      </c>
      <c r="P313" s="15">
        <f>+IF(N313&gt;D313,N313-D313,0)</f>
        <v>1383.942</v>
      </c>
      <c r="Q313" s="5">
        <f>+IF(P313=0,P313,P313/N313)</f>
        <v>1</v>
      </c>
    </row>
    <row r="314" spans="1:17" x14ac:dyDescent="0.25">
      <c r="A314" s="7">
        <v>46248</v>
      </c>
      <c r="B314" s="6">
        <v>0</v>
      </c>
      <c r="C314" s="13">
        <v>0</v>
      </c>
      <c r="D314" s="18">
        <f>+B314+C314</f>
        <v>0</v>
      </c>
      <c r="E314" s="14">
        <v>1200.171</v>
      </c>
      <c r="F314" s="18">
        <f t="shared" si="28"/>
        <v>0</v>
      </c>
      <c r="G314" s="18">
        <f t="shared" si="29"/>
        <v>1200.171</v>
      </c>
      <c r="H314" s="14">
        <v>87.04</v>
      </c>
      <c r="I314" s="18">
        <f t="shared" si="30"/>
        <v>0</v>
      </c>
      <c r="J314" s="18">
        <f t="shared" si="31"/>
        <v>87.04</v>
      </c>
      <c r="K314" s="14">
        <v>2.8</v>
      </c>
      <c r="L314" s="18">
        <f t="shared" si="32"/>
        <v>0</v>
      </c>
      <c r="M314" s="18">
        <f t="shared" si="33"/>
        <v>2.8</v>
      </c>
      <c r="N314" s="15">
        <f t="shared" si="34"/>
        <v>1290.011</v>
      </c>
      <c r="O314" s="15">
        <f>+N314-P314</f>
        <v>0</v>
      </c>
      <c r="P314" s="15">
        <f>+IF(N314&gt;D314,N314-D314,0)</f>
        <v>1290.011</v>
      </c>
      <c r="Q314" s="5">
        <f>+IF(P314=0,P314,P314/N314)</f>
        <v>1</v>
      </c>
    </row>
    <row r="315" spans="1:17" x14ac:dyDescent="0.25">
      <c r="A315" s="7">
        <v>46248.041666666664</v>
      </c>
      <c r="B315" s="6">
        <v>0</v>
      </c>
      <c r="C315" s="13">
        <v>0</v>
      </c>
      <c r="D315" s="18">
        <f>+B315+C315</f>
        <v>0</v>
      </c>
      <c r="E315" s="14">
        <v>47.251000000000005</v>
      </c>
      <c r="F315" s="18">
        <f t="shared" si="28"/>
        <v>0</v>
      </c>
      <c r="G315" s="18">
        <f t="shared" si="29"/>
        <v>47.251000000000005</v>
      </c>
      <c r="H315" s="14">
        <v>96.4</v>
      </c>
      <c r="I315" s="18">
        <f t="shared" si="30"/>
        <v>0</v>
      </c>
      <c r="J315" s="18">
        <f t="shared" si="31"/>
        <v>96.4</v>
      </c>
      <c r="K315" s="14">
        <v>2.92</v>
      </c>
      <c r="L315" s="18">
        <f t="shared" si="32"/>
        <v>0</v>
      </c>
      <c r="M315" s="18">
        <f t="shared" si="33"/>
        <v>2.92</v>
      </c>
      <c r="N315" s="15">
        <f t="shared" si="34"/>
        <v>146.571</v>
      </c>
      <c r="O315" s="15">
        <f>+N315-P315</f>
        <v>0</v>
      </c>
      <c r="P315" s="15">
        <f>+IF(N315&gt;D315,N315-D315,0)</f>
        <v>146.571</v>
      </c>
      <c r="Q315" s="5">
        <f>+IF(P315=0,P315,P315/N315)</f>
        <v>1</v>
      </c>
    </row>
    <row r="316" spans="1:17" x14ac:dyDescent="0.25">
      <c r="A316" s="7">
        <v>46248.083333333336</v>
      </c>
      <c r="B316" s="6">
        <v>0</v>
      </c>
      <c r="C316" s="13">
        <v>0</v>
      </c>
      <c r="D316" s="18">
        <f>+B316+C316</f>
        <v>0</v>
      </c>
      <c r="E316" s="14">
        <v>941.86599999999999</v>
      </c>
      <c r="F316" s="18">
        <f t="shared" si="28"/>
        <v>0</v>
      </c>
      <c r="G316" s="18">
        <f t="shared" si="29"/>
        <v>941.86599999999999</v>
      </c>
      <c r="H316" s="14">
        <v>107.56</v>
      </c>
      <c r="I316" s="18">
        <f t="shared" si="30"/>
        <v>0</v>
      </c>
      <c r="J316" s="18">
        <f t="shared" si="31"/>
        <v>107.56</v>
      </c>
      <c r="K316" s="14">
        <v>2.92</v>
      </c>
      <c r="L316" s="18">
        <f t="shared" si="32"/>
        <v>0</v>
      </c>
      <c r="M316" s="18">
        <f t="shared" si="33"/>
        <v>2.92</v>
      </c>
      <c r="N316" s="15">
        <f t="shared" si="34"/>
        <v>1052.346</v>
      </c>
      <c r="O316" s="15">
        <f>+N316-P316</f>
        <v>0</v>
      </c>
      <c r="P316" s="15">
        <f>+IF(N316&gt;D316,N316-D316,0)</f>
        <v>1052.346</v>
      </c>
      <c r="Q316" s="5">
        <f>+IF(P316=0,P316,P316/N316)</f>
        <v>1</v>
      </c>
    </row>
    <row r="317" spans="1:17" x14ac:dyDescent="0.25">
      <c r="A317" s="7">
        <v>46248.125</v>
      </c>
      <c r="B317" s="6">
        <v>0</v>
      </c>
      <c r="C317" s="13">
        <v>0</v>
      </c>
      <c r="D317" s="18">
        <f>+B317+C317</f>
        <v>0</v>
      </c>
      <c r="E317" s="14">
        <v>1231.671</v>
      </c>
      <c r="F317" s="18">
        <f t="shared" si="28"/>
        <v>0</v>
      </c>
      <c r="G317" s="18">
        <f t="shared" si="29"/>
        <v>1231.671</v>
      </c>
      <c r="H317" s="14">
        <v>107.67999999999999</v>
      </c>
      <c r="I317" s="18">
        <f t="shared" si="30"/>
        <v>0</v>
      </c>
      <c r="J317" s="18">
        <f t="shared" si="31"/>
        <v>107.67999999999999</v>
      </c>
      <c r="K317" s="14">
        <v>2.8</v>
      </c>
      <c r="L317" s="18">
        <f t="shared" si="32"/>
        <v>0</v>
      </c>
      <c r="M317" s="18">
        <f t="shared" si="33"/>
        <v>2.8</v>
      </c>
      <c r="N317" s="15">
        <f t="shared" si="34"/>
        <v>1342.1510000000001</v>
      </c>
      <c r="O317" s="15">
        <f>+N317-P317</f>
        <v>0</v>
      </c>
      <c r="P317" s="15">
        <f>+IF(N317&gt;D317,N317-D317,0)</f>
        <v>1342.1510000000001</v>
      </c>
      <c r="Q317" s="5">
        <f>+IF(P317=0,P317,P317/N317)</f>
        <v>1</v>
      </c>
    </row>
    <row r="318" spans="1:17" x14ac:dyDescent="0.25">
      <c r="A318" s="7">
        <v>46248.166666666664</v>
      </c>
      <c r="B318" s="6">
        <v>0</v>
      </c>
      <c r="C318" s="13">
        <v>0</v>
      </c>
      <c r="D318" s="18">
        <f>+B318+C318</f>
        <v>0</v>
      </c>
      <c r="E318" s="14">
        <v>998.56700000000001</v>
      </c>
      <c r="F318" s="18">
        <f t="shared" si="28"/>
        <v>0</v>
      </c>
      <c r="G318" s="18">
        <f t="shared" si="29"/>
        <v>998.56700000000001</v>
      </c>
      <c r="H318" s="14">
        <v>76.72</v>
      </c>
      <c r="I318" s="18">
        <f t="shared" si="30"/>
        <v>0</v>
      </c>
      <c r="J318" s="18">
        <f t="shared" si="31"/>
        <v>76.72</v>
      </c>
      <c r="K318" s="14">
        <v>2.8</v>
      </c>
      <c r="L318" s="18">
        <f t="shared" si="32"/>
        <v>0</v>
      </c>
      <c r="M318" s="18">
        <f t="shared" si="33"/>
        <v>2.8</v>
      </c>
      <c r="N318" s="15">
        <f t="shared" si="34"/>
        <v>1078.087</v>
      </c>
      <c r="O318" s="15">
        <f>+N318-P318</f>
        <v>0</v>
      </c>
      <c r="P318" s="15">
        <f>+IF(N318&gt;D318,N318-D318,0)</f>
        <v>1078.087</v>
      </c>
      <c r="Q318" s="5">
        <f>+IF(P318=0,P318,P318/N318)</f>
        <v>1</v>
      </c>
    </row>
    <row r="319" spans="1:17" x14ac:dyDescent="0.25">
      <c r="A319" s="7">
        <v>46248.208333333336</v>
      </c>
      <c r="B319" s="6">
        <v>0</v>
      </c>
      <c r="C319" s="13">
        <v>0</v>
      </c>
      <c r="D319" s="18">
        <f>+B319+C319</f>
        <v>0</v>
      </c>
      <c r="E319" s="14">
        <v>796.96400000000006</v>
      </c>
      <c r="F319" s="18">
        <f t="shared" si="28"/>
        <v>0</v>
      </c>
      <c r="G319" s="18">
        <f t="shared" si="29"/>
        <v>796.96400000000006</v>
      </c>
      <c r="H319" s="14">
        <v>51.04</v>
      </c>
      <c r="I319" s="18">
        <f t="shared" si="30"/>
        <v>0</v>
      </c>
      <c r="J319" s="18">
        <f t="shared" si="31"/>
        <v>51.04</v>
      </c>
      <c r="K319" s="14">
        <v>3.16</v>
      </c>
      <c r="L319" s="18">
        <f t="shared" si="32"/>
        <v>0</v>
      </c>
      <c r="M319" s="18">
        <f t="shared" si="33"/>
        <v>3.16</v>
      </c>
      <c r="N319" s="15">
        <f t="shared" si="34"/>
        <v>851.16399999999999</v>
      </c>
      <c r="O319" s="15">
        <f>+N319-P319</f>
        <v>0</v>
      </c>
      <c r="P319" s="15">
        <f>+IF(N319&gt;D319,N319-D319,0)</f>
        <v>851.16399999999999</v>
      </c>
      <c r="Q319" s="5">
        <f>+IF(P319=0,P319,P319/N319)</f>
        <v>1</v>
      </c>
    </row>
    <row r="320" spans="1:17" x14ac:dyDescent="0.25">
      <c r="A320" s="7">
        <v>46248.25</v>
      </c>
      <c r="B320" s="6">
        <v>78.75</v>
      </c>
      <c r="C320" s="13">
        <v>0</v>
      </c>
      <c r="D320" s="18">
        <f>+B320+C320</f>
        <v>78.75</v>
      </c>
      <c r="E320" s="14">
        <v>3.15</v>
      </c>
      <c r="F320" s="18">
        <f t="shared" si="28"/>
        <v>3.15</v>
      </c>
      <c r="G320" s="18">
        <f t="shared" si="29"/>
        <v>0</v>
      </c>
      <c r="H320" s="14">
        <v>40</v>
      </c>
      <c r="I320" s="18">
        <f t="shared" si="30"/>
        <v>40</v>
      </c>
      <c r="J320" s="18">
        <f t="shared" si="31"/>
        <v>0</v>
      </c>
      <c r="K320" s="14">
        <v>3.4</v>
      </c>
      <c r="L320" s="18">
        <f t="shared" si="32"/>
        <v>3.4</v>
      </c>
      <c r="M320" s="18">
        <f t="shared" si="33"/>
        <v>0</v>
      </c>
      <c r="N320" s="15">
        <f t="shared" si="34"/>
        <v>46.55</v>
      </c>
      <c r="O320" s="15">
        <f>+N320-P320</f>
        <v>46.55</v>
      </c>
      <c r="P320" s="15">
        <f>+IF(N320&gt;D320,N320-D320,0)</f>
        <v>0</v>
      </c>
      <c r="Q320" s="5">
        <f>+IF(P320=0,P320,P320/N320)</f>
        <v>0</v>
      </c>
    </row>
    <row r="321" spans="1:17" x14ac:dyDescent="0.25">
      <c r="A321" s="7">
        <v>46248.291666666664</v>
      </c>
      <c r="B321" s="6">
        <v>456.75</v>
      </c>
      <c r="C321" s="13">
        <v>0.48</v>
      </c>
      <c r="D321" s="18">
        <f>+B321+C321</f>
        <v>457.23</v>
      </c>
      <c r="E321" s="14">
        <v>0</v>
      </c>
      <c r="F321" s="18">
        <f t="shared" si="28"/>
        <v>0</v>
      </c>
      <c r="G321" s="18">
        <f t="shared" si="29"/>
        <v>0</v>
      </c>
      <c r="H321" s="14">
        <v>49.24</v>
      </c>
      <c r="I321" s="18">
        <f t="shared" si="30"/>
        <v>49.24</v>
      </c>
      <c r="J321" s="18">
        <f t="shared" si="31"/>
        <v>0</v>
      </c>
      <c r="K321" s="14">
        <v>2.44</v>
      </c>
      <c r="L321" s="18">
        <f t="shared" si="32"/>
        <v>2.44</v>
      </c>
      <c r="M321" s="18">
        <f t="shared" si="33"/>
        <v>0</v>
      </c>
      <c r="N321" s="15">
        <f t="shared" si="34"/>
        <v>51.68</v>
      </c>
      <c r="O321" s="15">
        <f>+N321-P321</f>
        <v>51.68</v>
      </c>
      <c r="P321" s="15">
        <f>+IF(N321&gt;D321,N321-D321,0)</f>
        <v>0</v>
      </c>
      <c r="Q321" s="5">
        <f>+IF(P321=0,P321,P321/N321)</f>
        <v>0</v>
      </c>
    </row>
    <row r="322" spans="1:17" x14ac:dyDescent="0.25">
      <c r="A322" s="7">
        <v>46248.333333333336</v>
      </c>
      <c r="B322" s="6">
        <v>756</v>
      </c>
      <c r="C322" s="13">
        <v>0</v>
      </c>
      <c r="D322" s="18">
        <f>+B322+C322</f>
        <v>756</v>
      </c>
      <c r="E322" s="14">
        <v>18.899999999999999</v>
      </c>
      <c r="F322" s="18">
        <f t="shared" si="28"/>
        <v>18.899999999999999</v>
      </c>
      <c r="G322" s="18">
        <f t="shared" si="29"/>
        <v>0</v>
      </c>
      <c r="H322" s="14">
        <v>158.56</v>
      </c>
      <c r="I322" s="18">
        <f t="shared" si="30"/>
        <v>158.56</v>
      </c>
      <c r="J322" s="18">
        <f t="shared" si="31"/>
        <v>0</v>
      </c>
      <c r="K322" s="14">
        <v>27.88</v>
      </c>
      <c r="L322" s="18">
        <f t="shared" si="32"/>
        <v>27.88</v>
      </c>
      <c r="M322" s="18">
        <f t="shared" si="33"/>
        <v>0</v>
      </c>
      <c r="N322" s="15">
        <f t="shared" si="34"/>
        <v>205.34</v>
      </c>
      <c r="O322" s="15">
        <f>+N322-P322</f>
        <v>205.34</v>
      </c>
      <c r="P322" s="15">
        <f>+IF(N322&gt;D322,N322-D322,0)</f>
        <v>0</v>
      </c>
      <c r="Q322" s="5">
        <f>+IF(P322=0,P322,P322/N322)</f>
        <v>0</v>
      </c>
    </row>
    <row r="323" spans="1:17" x14ac:dyDescent="0.25">
      <c r="A323" s="7">
        <v>46248.375</v>
      </c>
      <c r="B323" s="6">
        <v>1014.3</v>
      </c>
      <c r="C323" s="13">
        <v>0.24</v>
      </c>
      <c r="D323" s="18">
        <f>+B323+C323</f>
        <v>1014.54</v>
      </c>
      <c r="E323" s="14">
        <v>0</v>
      </c>
      <c r="F323" s="18">
        <f t="shared" ref="F323:F386" si="35">+E323-G323</f>
        <v>0</v>
      </c>
      <c r="G323" s="18">
        <f t="shared" ref="G323:G386" si="36">+E323*Q323</f>
        <v>0</v>
      </c>
      <c r="H323" s="14">
        <v>90.52000000000001</v>
      </c>
      <c r="I323" s="18">
        <f t="shared" ref="I323:I386" si="37">+H323-J323</f>
        <v>90.52000000000001</v>
      </c>
      <c r="J323" s="18">
        <f t="shared" ref="J323:J386" si="38">+H323*Q323</f>
        <v>0</v>
      </c>
      <c r="K323" s="14">
        <v>54.28</v>
      </c>
      <c r="L323" s="18">
        <f t="shared" ref="L323:L386" si="39">+K323-M323</f>
        <v>54.28</v>
      </c>
      <c r="M323" s="18">
        <f t="shared" ref="M323:M386" si="40">+K323*Q323</f>
        <v>0</v>
      </c>
      <c r="N323" s="15">
        <f t="shared" ref="N323:N386" si="41">+E323+H323+K323</f>
        <v>144.80000000000001</v>
      </c>
      <c r="O323" s="15">
        <f>+N323-P323</f>
        <v>144.80000000000001</v>
      </c>
      <c r="P323" s="15">
        <f>+IF(N323&gt;D323,N323-D323,0)</f>
        <v>0</v>
      </c>
      <c r="Q323" s="5">
        <f>+IF(P323=0,P323,P323/N323)</f>
        <v>0</v>
      </c>
    </row>
    <row r="324" spans="1:17" x14ac:dyDescent="0.25">
      <c r="A324" s="7">
        <v>46248.416666666664</v>
      </c>
      <c r="B324" s="6">
        <v>1515.15</v>
      </c>
      <c r="C324" s="13">
        <v>4.32</v>
      </c>
      <c r="D324" s="18">
        <f>+B324+C324</f>
        <v>1519.47</v>
      </c>
      <c r="E324" s="14">
        <v>0</v>
      </c>
      <c r="F324" s="18">
        <f t="shared" si="35"/>
        <v>0</v>
      </c>
      <c r="G324" s="18">
        <f t="shared" si="36"/>
        <v>0</v>
      </c>
      <c r="H324" s="14">
        <v>39.28</v>
      </c>
      <c r="I324" s="18">
        <f t="shared" si="37"/>
        <v>39.28</v>
      </c>
      <c r="J324" s="18">
        <f t="shared" si="38"/>
        <v>0</v>
      </c>
      <c r="K324" s="14">
        <v>30.4</v>
      </c>
      <c r="L324" s="18">
        <f t="shared" si="39"/>
        <v>30.4</v>
      </c>
      <c r="M324" s="18">
        <f t="shared" si="40"/>
        <v>0</v>
      </c>
      <c r="N324" s="15">
        <f t="shared" si="41"/>
        <v>69.680000000000007</v>
      </c>
      <c r="O324" s="15">
        <f>+N324-P324</f>
        <v>69.680000000000007</v>
      </c>
      <c r="P324" s="15">
        <f>+IF(N324&gt;D324,N324-D324,0)</f>
        <v>0</v>
      </c>
      <c r="Q324" s="5">
        <f>+IF(P324=0,P324,P324/N324)</f>
        <v>0</v>
      </c>
    </row>
    <row r="325" spans="1:17" x14ac:dyDescent="0.25">
      <c r="A325" s="7">
        <v>46248.458333333336</v>
      </c>
      <c r="B325" s="6">
        <v>1833.3</v>
      </c>
      <c r="C325" s="13">
        <v>0.36</v>
      </c>
      <c r="D325" s="18">
        <f>+B325+C325</f>
        <v>1833.6599999999999</v>
      </c>
      <c r="E325" s="14">
        <v>0</v>
      </c>
      <c r="F325" s="18">
        <f t="shared" si="35"/>
        <v>0</v>
      </c>
      <c r="G325" s="18">
        <f t="shared" si="36"/>
        <v>0</v>
      </c>
      <c r="H325" s="14">
        <v>72.400000000000006</v>
      </c>
      <c r="I325" s="18">
        <f t="shared" si="37"/>
        <v>72.400000000000006</v>
      </c>
      <c r="J325" s="18">
        <f t="shared" si="38"/>
        <v>0</v>
      </c>
      <c r="K325" s="14">
        <v>40.599999999999994</v>
      </c>
      <c r="L325" s="18">
        <f t="shared" si="39"/>
        <v>40.599999999999994</v>
      </c>
      <c r="M325" s="18">
        <f t="shared" si="40"/>
        <v>0</v>
      </c>
      <c r="N325" s="15">
        <f t="shared" si="41"/>
        <v>113</v>
      </c>
      <c r="O325" s="15">
        <f>+N325-P325</f>
        <v>113</v>
      </c>
      <c r="P325" s="15">
        <f>+IF(N325&gt;D325,N325-D325,0)</f>
        <v>0</v>
      </c>
      <c r="Q325" s="5">
        <f>+IF(P325=0,P325,P325/N325)</f>
        <v>0</v>
      </c>
    </row>
    <row r="326" spans="1:17" x14ac:dyDescent="0.25">
      <c r="A326" s="7">
        <v>46248.5</v>
      </c>
      <c r="B326" s="6">
        <v>2740.5</v>
      </c>
      <c r="C326" s="13">
        <v>51.12</v>
      </c>
      <c r="D326" s="18">
        <f>+B326+C326</f>
        <v>2791.62</v>
      </c>
      <c r="E326" s="14">
        <v>0</v>
      </c>
      <c r="F326" s="18">
        <f t="shared" si="35"/>
        <v>0</v>
      </c>
      <c r="G326" s="18">
        <f t="shared" si="36"/>
        <v>0</v>
      </c>
      <c r="H326" s="14">
        <v>25.24</v>
      </c>
      <c r="I326" s="18">
        <f t="shared" si="37"/>
        <v>25.24</v>
      </c>
      <c r="J326" s="18">
        <f t="shared" si="38"/>
        <v>0</v>
      </c>
      <c r="K326" s="14">
        <v>34.6</v>
      </c>
      <c r="L326" s="18">
        <f t="shared" si="39"/>
        <v>34.6</v>
      </c>
      <c r="M326" s="18">
        <f t="shared" si="40"/>
        <v>0</v>
      </c>
      <c r="N326" s="15">
        <f t="shared" si="41"/>
        <v>59.84</v>
      </c>
      <c r="O326" s="15">
        <f>+N326-P326</f>
        <v>59.84</v>
      </c>
      <c r="P326" s="15">
        <f>+IF(N326&gt;D326,N326-D326,0)</f>
        <v>0</v>
      </c>
      <c r="Q326" s="5">
        <f>+IF(P326=0,P326,P326/N326)</f>
        <v>0</v>
      </c>
    </row>
    <row r="327" spans="1:17" x14ac:dyDescent="0.25">
      <c r="A327" s="7">
        <v>46248.541666666664</v>
      </c>
      <c r="B327" s="6">
        <v>2715.3</v>
      </c>
      <c r="C327" s="13">
        <v>4.2</v>
      </c>
      <c r="D327" s="18">
        <f>+B327+C327</f>
        <v>2719.5</v>
      </c>
      <c r="E327" s="14">
        <v>0</v>
      </c>
      <c r="F327" s="18">
        <f t="shared" si="35"/>
        <v>0</v>
      </c>
      <c r="G327" s="18">
        <f t="shared" si="36"/>
        <v>0</v>
      </c>
      <c r="H327" s="14">
        <v>40.480000000000004</v>
      </c>
      <c r="I327" s="18">
        <f t="shared" si="37"/>
        <v>40.480000000000004</v>
      </c>
      <c r="J327" s="18">
        <f t="shared" si="38"/>
        <v>0</v>
      </c>
      <c r="K327" s="14">
        <v>36.64</v>
      </c>
      <c r="L327" s="18">
        <f t="shared" si="39"/>
        <v>36.64</v>
      </c>
      <c r="M327" s="18">
        <f t="shared" si="40"/>
        <v>0</v>
      </c>
      <c r="N327" s="15">
        <f t="shared" si="41"/>
        <v>77.12</v>
      </c>
      <c r="O327" s="15">
        <f>+N327-P327</f>
        <v>77.12</v>
      </c>
      <c r="P327" s="15">
        <f>+IF(N327&gt;D327,N327-D327,0)</f>
        <v>0</v>
      </c>
      <c r="Q327" s="5">
        <f>+IF(P327=0,P327,P327/N327)</f>
        <v>0</v>
      </c>
    </row>
    <row r="328" spans="1:17" x14ac:dyDescent="0.25">
      <c r="A328" s="7">
        <v>46248.583333333336</v>
      </c>
      <c r="B328" s="6">
        <v>1921.5</v>
      </c>
      <c r="C328" s="13">
        <v>1.2</v>
      </c>
      <c r="D328" s="18">
        <f>+B328+C328</f>
        <v>1922.7</v>
      </c>
      <c r="E328" s="14">
        <v>0</v>
      </c>
      <c r="F328" s="18">
        <f t="shared" si="35"/>
        <v>0</v>
      </c>
      <c r="G328" s="18">
        <f t="shared" si="36"/>
        <v>0</v>
      </c>
      <c r="H328" s="14">
        <v>61.96</v>
      </c>
      <c r="I328" s="18">
        <f t="shared" si="37"/>
        <v>61.96</v>
      </c>
      <c r="J328" s="18">
        <f t="shared" si="38"/>
        <v>0</v>
      </c>
      <c r="K328" s="14">
        <v>49.72</v>
      </c>
      <c r="L328" s="18">
        <f t="shared" si="39"/>
        <v>49.72</v>
      </c>
      <c r="M328" s="18">
        <f t="shared" si="40"/>
        <v>0</v>
      </c>
      <c r="N328" s="15">
        <f t="shared" si="41"/>
        <v>111.68</v>
      </c>
      <c r="O328" s="15">
        <f>+N328-P328</f>
        <v>111.68</v>
      </c>
      <c r="P328" s="15">
        <f>+IF(N328&gt;D328,N328-D328,0)</f>
        <v>0</v>
      </c>
      <c r="Q328" s="5">
        <f>+IF(P328=0,P328,P328/N328)</f>
        <v>0</v>
      </c>
    </row>
    <row r="329" spans="1:17" x14ac:dyDescent="0.25">
      <c r="A329" s="7">
        <v>46248.625</v>
      </c>
      <c r="B329" s="6">
        <v>1411.2</v>
      </c>
      <c r="C329" s="13">
        <v>3.84</v>
      </c>
      <c r="D329" s="18">
        <f>+B329+C329</f>
        <v>1415.04</v>
      </c>
      <c r="E329" s="14">
        <v>3.15</v>
      </c>
      <c r="F329" s="18">
        <f t="shared" si="35"/>
        <v>3.15</v>
      </c>
      <c r="G329" s="18">
        <f t="shared" si="36"/>
        <v>0</v>
      </c>
      <c r="H329" s="14">
        <v>65.199999999999989</v>
      </c>
      <c r="I329" s="18">
        <f t="shared" si="37"/>
        <v>65.199999999999989</v>
      </c>
      <c r="J329" s="18">
        <f t="shared" si="38"/>
        <v>0</v>
      </c>
      <c r="K329" s="14">
        <v>73</v>
      </c>
      <c r="L329" s="18">
        <f t="shared" si="39"/>
        <v>73</v>
      </c>
      <c r="M329" s="18">
        <f t="shared" si="40"/>
        <v>0</v>
      </c>
      <c r="N329" s="15">
        <f t="shared" si="41"/>
        <v>141.35</v>
      </c>
      <c r="O329" s="15">
        <f>+N329-P329</f>
        <v>141.35</v>
      </c>
      <c r="P329" s="15">
        <f>+IF(N329&gt;D329,N329-D329,0)</f>
        <v>0</v>
      </c>
      <c r="Q329" s="5">
        <f>+IF(P329=0,P329,P329/N329)</f>
        <v>0</v>
      </c>
    </row>
    <row r="330" spans="1:17" x14ac:dyDescent="0.25">
      <c r="A330" s="7">
        <v>46248.666666666664</v>
      </c>
      <c r="B330" s="6">
        <v>365.4</v>
      </c>
      <c r="C330" s="13">
        <v>0</v>
      </c>
      <c r="D330" s="18">
        <f>+B330+C330</f>
        <v>365.4</v>
      </c>
      <c r="E330" s="14">
        <v>119.7</v>
      </c>
      <c r="F330" s="18">
        <f t="shared" si="35"/>
        <v>119.7</v>
      </c>
      <c r="G330" s="18">
        <f t="shared" si="36"/>
        <v>0</v>
      </c>
      <c r="H330" s="14">
        <v>120.88</v>
      </c>
      <c r="I330" s="18">
        <f t="shared" si="37"/>
        <v>120.88</v>
      </c>
      <c r="J330" s="18">
        <f t="shared" si="38"/>
        <v>0</v>
      </c>
      <c r="K330" s="14">
        <v>50.8</v>
      </c>
      <c r="L330" s="18">
        <f t="shared" si="39"/>
        <v>50.8</v>
      </c>
      <c r="M330" s="18">
        <f t="shared" si="40"/>
        <v>0</v>
      </c>
      <c r="N330" s="15">
        <f t="shared" si="41"/>
        <v>291.38</v>
      </c>
      <c r="O330" s="15">
        <f>+N330-P330</f>
        <v>291.38</v>
      </c>
      <c r="P330" s="15">
        <f>+IF(N330&gt;D330,N330-D330,0)</f>
        <v>0</v>
      </c>
      <c r="Q330" s="5">
        <f>+IF(P330=0,P330,P330/N330)</f>
        <v>0</v>
      </c>
    </row>
    <row r="331" spans="1:17" x14ac:dyDescent="0.25">
      <c r="A331" s="7">
        <v>46248.708333333336</v>
      </c>
      <c r="B331" s="6">
        <v>9.4499999999999993</v>
      </c>
      <c r="C331" s="13">
        <v>0</v>
      </c>
      <c r="D331" s="18">
        <f>+B331+C331</f>
        <v>9.4499999999999993</v>
      </c>
      <c r="E331" s="14">
        <v>466.15000000000003</v>
      </c>
      <c r="F331" s="18">
        <f t="shared" si="35"/>
        <v>6.7701254091936107</v>
      </c>
      <c r="G331" s="18">
        <f t="shared" si="36"/>
        <v>459.37987459080642</v>
      </c>
      <c r="H331" s="14">
        <v>117.88</v>
      </c>
      <c r="I331" s="18">
        <f t="shared" si="37"/>
        <v>1.7120291391949962</v>
      </c>
      <c r="J331" s="18">
        <f t="shared" si="38"/>
        <v>116.167970860805</v>
      </c>
      <c r="K331" s="14">
        <v>66.64</v>
      </c>
      <c r="L331" s="18">
        <f t="shared" si="39"/>
        <v>0.96784545161142432</v>
      </c>
      <c r="M331" s="18">
        <f t="shared" si="40"/>
        <v>65.672154548388576</v>
      </c>
      <c r="N331" s="15">
        <f t="shared" si="41"/>
        <v>650.66999999999996</v>
      </c>
      <c r="O331" s="15">
        <f>+N331-P331</f>
        <v>9.4500000000000455</v>
      </c>
      <c r="P331" s="15">
        <f>+IF(N331&gt;D331,N331-D331,0)</f>
        <v>641.21999999999991</v>
      </c>
      <c r="Q331" s="5">
        <f>+IF(P331=0,P331,P331/N331)</f>
        <v>0.98547650882936044</v>
      </c>
    </row>
    <row r="332" spans="1:17" x14ac:dyDescent="0.25">
      <c r="A332" s="7">
        <v>46248.75</v>
      </c>
      <c r="B332" s="6">
        <v>25.2</v>
      </c>
      <c r="C332" s="13">
        <v>0</v>
      </c>
      <c r="D332" s="18">
        <f>+B332+C332</f>
        <v>25.2</v>
      </c>
      <c r="E332" s="14">
        <v>6.2989999999999995</v>
      </c>
      <c r="F332" s="18">
        <f t="shared" si="35"/>
        <v>1.1285079518551964</v>
      </c>
      <c r="G332" s="18">
        <f t="shared" si="36"/>
        <v>5.1704920481448031</v>
      </c>
      <c r="H332" s="14">
        <v>79</v>
      </c>
      <c r="I332" s="18">
        <f t="shared" si="37"/>
        <v>14.153378027712421</v>
      </c>
      <c r="J332" s="18">
        <f t="shared" si="38"/>
        <v>64.846621972287579</v>
      </c>
      <c r="K332" s="14">
        <v>55.36</v>
      </c>
      <c r="L332" s="18">
        <f t="shared" si="39"/>
        <v>9.9181140204323981</v>
      </c>
      <c r="M332" s="18">
        <f t="shared" si="40"/>
        <v>45.441885979567601</v>
      </c>
      <c r="N332" s="15">
        <f t="shared" si="41"/>
        <v>140.65899999999999</v>
      </c>
      <c r="O332" s="15">
        <f>+N332-P332</f>
        <v>25.200000000000003</v>
      </c>
      <c r="P332" s="15">
        <f>+IF(N332&gt;D332,N332-D332,0)</f>
        <v>115.45899999999999</v>
      </c>
      <c r="Q332" s="5">
        <f>+IF(P332=0,P332,P332/N332)</f>
        <v>0.82084331610490613</v>
      </c>
    </row>
    <row r="333" spans="1:17" x14ac:dyDescent="0.25">
      <c r="A333" s="7">
        <v>46248.791666666664</v>
      </c>
      <c r="B333" s="6">
        <v>0</v>
      </c>
      <c r="C333" s="13">
        <v>0</v>
      </c>
      <c r="D333" s="18">
        <f>+B333+C333</f>
        <v>0</v>
      </c>
      <c r="E333" s="14">
        <v>66.142999999999986</v>
      </c>
      <c r="F333" s="18">
        <f t="shared" si="35"/>
        <v>0</v>
      </c>
      <c r="G333" s="18">
        <f t="shared" si="36"/>
        <v>66.142999999999986</v>
      </c>
      <c r="H333" s="14">
        <v>86.08</v>
      </c>
      <c r="I333" s="18">
        <f t="shared" si="37"/>
        <v>0</v>
      </c>
      <c r="J333" s="18">
        <f t="shared" si="38"/>
        <v>86.08</v>
      </c>
      <c r="K333" s="14">
        <v>30.28</v>
      </c>
      <c r="L333" s="18">
        <f t="shared" si="39"/>
        <v>0</v>
      </c>
      <c r="M333" s="18">
        <f t="shared" si="40"/>
        <v>30.28</v>
      </c>
      <c r="N333" s="15">
        <f t="shared" si="41"/>
        <v>182.50299999999999</v>
      </c>
      <c r="O333" s="15">
        <f>+N333-P333</f>
        <v>0</v>
      </c>
      <c r="P333" s="15">
        <f>+IF(N333&gt;D333,N333-D333,0)</f>
        <v>182.50299999999999</v>
      </c>
      <c r="Q333" s="5">
        <f>+IF(P333=0,P333,P333/N333)</f>
        <v>1</v>
      </c>
    </row>
    <row r="334" spans="1:17" x14ac:dyDescent="0.25">
      <c r="A334" s="7">
        <v>46248.833333333336</v>
      </c>
      <c r="B334" s="6">
        <v>0</v>
      </c>
      <c r="C334" s="13">
        <v>0</v>
      </c>
      <c r="D334" s="18">
        <f>+B334+C334</f>
        <v>0</v>
      </c>
      <c r="E334" s="14">
        <v>1111.8300000000002</v>
      </c>
      <c r="F334" s="18">
        <f t="shared" si="35"/>
        <v>0</v>
      </c>
      <c r="G334" s="18">
        <f t="shared" si="36"/>
        <v>1111.8300000000002</v>
      </c>
      <c r="H334" s="14">
        <v>120.76</v>
      </c>
      <c r="I334" s="18">
        <f t="shared" si="37"/>
        <v>0</v>
      </c>
      <c r="J334" s="18">
        <f t="shared" si="38"/>
        <v>120.76</v>
      </c>
      <c r="K334" s="14">
        <v>10.84</v>
      </c>
      <c r="L334" s="18">
        <f t="shared" si="39"/>
        <v>0</v>
      </c>
      <c r="M334" s="18">
        <f t="shared" si="40"/>
        <v>10.84</v>
      </c>
      <c r="N334" s="15">
        <f t="shared" si="41"/>
        <v>1243.43</v>
      </c>
      <c r="O334" s="15">
        <f>+N334-P334</f>
        <v>0</v>
      </c>
      <c r="P334" s="15">
        <f>+IF(N334&gt;D334,N334-D334,0)</f>
        <v>1243.43</v>
      </c>
      <c r="Q334" s="5">
        <f>+IF(P334=0,P334,P334/N334)</f>
        <v>1</v>
      </c>
    </row>
    <row r="335" spans="1:17" x14ac:dyDescent="0.25">
      <c r="A335" s="7">
        <v>46248.875</v>
      </c>
      <c r="B335" s="6">
        <v>0</v>
      </c>
      <c r="C335" s="13">
        <v>0</v>
      </c>
      <c r="D335" s="18">
        <f>+B335+C335</f>
        <v>0</v>
      </c>
      <c r="E335" s="14">
        <v>1231.5170000000001</v>
      </c>
      <c r="F335" s="18">
        <f t="shared" si="35"/>
        <v>0</v>
      </c>
      <c r="G335" s="18">
        <f t="shared" si="36"/>
        <v>1231.5170000000001</v>
      </c>
      <c r="H335" s="14">
        <v>113.68</v>
      </c>
      <c r="I335" s="18">
        <f t="shared" si="37"/>
        <v>0</v>
      </c>
      <c r="J335" s="18">
        <f t="shared" si="38"/>
        <v>113.68</v>
      </c>
      <c r="K335" s="14">
        <v>3.04</v>
      </c>
      <c r="L335" s="18">
        <f t="shared" si="39"/>
        <v>0</v>
      </c>
      <c r="M335" s="18">
        <f t="shared" si="40"/>
        <v>3.04</v>
      </c>
      <c r="N335" s="15">
        <f t="shared" si="41"/>
        <v>1348.2370000000001</v>
      </c>
      <c r="O335" s="15">
        <f>+N335-P335</f>
        <v>0</v>
      </c>
      <c r="P335" s="15">
        <f>+IF(N335&gt;D335,N335-D335,0)</f>
        <v>1348.2370000000001</v>
      </c>
      <c r="Q335" s="5">
        <f>+IF(P335=0,P335,P335/N335)</f>
        <v>1</v>
      </c>
    </row>
    <row r="336" spans="1:17" x14ac:dyDescent="0.25">
      <c r="A336" s="7">
        <v>46248.916666666664</v>
      </c>
      <c r="B336" s="6">
        <v>0</v>
      </c>
      <c r="C336" s="13">
        <v>0</v>
      </c>
      <c r="D336" s="18">
        <f>+B336+C336</f>
        <v>0</v>
      </c>
      <c r="E336" s="14">
        <v>1083.6190000000001</v>
      </c>
      <c r="F336" s="18">
        <f t="shared" si="35"/>
        <v>0</v>
      </c>
      <c r="G336" s="18">
        <f t="shared" si="36"/>
        <v>1083.6190000000001</v>
      </c>
      <c r="H336" s="14">
        <v>100.12</v>
      </c>
      <c r="I336" s="18">
        <f t="shared" si="37"/>
        <v>0</v>
      </c>
      <c r="J336" s="18">
        <f t="shared" si="38"/>
        <v>100.12</v>
      </c>
      <c r="K336" s="14">
        <v>2.8</v>
      </c>
      <c r="L336" s="18">
        <f t="shared" si="39"/>
        <v>0</v>
      </c>
      <c r="M336" s="18">
        <f t="shared" si="40"/>
        <v>2.8</v>
      </c>
      <c r="N336" s="15">
        <f t="shared" si="41"/>
        <v>1186.539</v>
      </c>
      <c r="O336" s="15">
        <f>+N336-P336</f>
        <v>0</v>
      </c>
      <c r="P336" s="15">
        <f>+IF(N336&gt;D336,N336-D336,0)</f>
        <v>1186.539</v>
      </c>
      <c r="Q336" s="5">
        <f>+IF(P336=0,P336,P336/N336)</f>
        <v>1</v>
      </c>
    </row>
    <row r="337" spans="1:17" x14ac:dyDescent="0.25">
      <c r="A337" s="7">
        <v>46248.958333333336</v>
      </c>
      <c r="B337" s="6">
        <v>0</v>
      </c>
      <c r="C337" s="13">
        <v>0</v>
      </c>
      <c r="D337" s="18">
        <f>+B337+C337</f>
        <v>0</v>
      </c>
      <c r="E337" s="14">
        <v>1231.671</v>
      </c>
      <c r="F337" s="18">
        <f t="shared" si="35"/>
        <v>0</v>
      </c>
      <c r="G337" s="18">
        <f t="shared" si="36"/>
        <v>1231.671</v>
      </c>
      <c r="H337" s="14">
        <v>108.88000000000001</v>
      </c>
      <c r="I337" s="18">
        <f t="shared" si="37"/>
        <v>0</v>
      </c>
      <c r="J337" s="18">
        <f t="shared" si="38"/>
        <v>108.88000000000001</v>
      </c>
      <c r="K337" s="14">
        <v>2.92</v>
      </c>
      <c r="L337" s="18">
        <f t="shared" si="39"/>
        <v>0</v>
      </c>
      <c r="M337" s="18">
        <f t="shared" si="40"/>
        <v>2.92</v>
      </c>
      <c r="N337" s="15">
        <f t="shared" si="41"/>
        <v>1343.4710000000002</v>
      </c>
      <c r="O337" s="15">
        <f>+N337-P337</f>
        <v>0</v>
      </c>
      <c r="P337" s="15">
        <f>+IF(N337&gt;D337,N337-D337,0)</f>
        <v>1343.4710000000002</v>
      </c>
      <c r="Q337" s="5">
        <f>+IF(P337=0,P337,P337/N337)</f>
        <v>1</v>
      </c>
    </row>
    <row r="338" spans="1:17" x14ac:dyDescent="0.25">
      <c r="A338" s="7">
        <v>46249</v>
      </c>
      <c r="B338" s="6">
        <v>0</v>
      </c>
      <c r="C338" s="13">
        <v>0</v>
      </c>
      <c r="D338" s="18">
        <f>+B338+C338</f>
        <v>0</v>
      </c>
      <c r="E338" s="14">
        <v>1184.421</v>
      </c>
      <c r="F338" s="18">
        <f t="shared" si="35"/>
        <v>0</v>
      </c>
      <c r="G338" s="18">
        <f t="shared" si="36"/>
        <v>1184.421</v>
      </c>
      <c r="H338" s="14">
        <v>90.160000000000011</v>
      </c>
      <c r="I338" s="18">
        <f t="shared" si="37"/>
        <v>0</v>
      </c>
      <c r="J338" s="18">
        <f t="shared" si="38"/>
        <v>90.160000000000011</v>
      </c>
      <c r="K338" s="14">
        <v>3.04</v>
      </c>
      <c r="L338" s="18">
        <f t="shared" si="39"/>
        <v>0</v>
      </c>
      <c r="M338" s="18">
        <f t="shared" si="40"/>
        <v>3.04</v>
      </c>
      <c r="N338" s="15">
        <f t="shared" si="41"/>
        <v>1277.6210000000001</v>
      </c>
      <c r="O338" s="15">
        <f>+N338-P338</f>
        <v>0</v>
      </c>
      <c r="P338" s="15">
        <f>+IF(N338&gt;D338,N338-D338,0)</f>
        <v>1277.6210000000001</v>
      </c>
      <c r="Q338" s="5">
        <f>+IF(P338=0,P338,P338/N338)</f>
        <v>1</v>
      </c>
    </row>
    <row r="339" spans="1:17" x14ac:dyDescent="0.25">
      <c r="A339" s="7">
        <v>46249.041666666664</v>
      </c>
      <c r="B339" s="6">
        <v>0</v>
      </c>
      <c r="C339" s="13">
        <v>0</v>
      </c>
      <c r="D339" s="18">
        <f>+B339+C339</f>
        <v>0</v>
      </c>
      <c r="E339" s="14">
        <v>37.801000000000002</v>
      </c>
      <c r="F339" s="18">
        <f t="shared" si="35"/>
        <v>0</v>
      </c>
      <c r="G339" s="18">
        <f t="shared" si="36"/>
        <v>37.801000000000002</v>
      </c>
      <c r="H339" s="14">
        <v>87.4</v>
      </c>
      <c r="I339" s="18">
        <f t="shared" si="37"/>
        <v>0</v>
      </c>
      <c r="J339" s="18">
        <f t="shared" si="38"/>
        <v>87.4</v>
      </c>
      <c r="K339" s="14">
        <v>2.92</v>
      </c>
      <c r="L339" s="18">
        <f t="shared" si="39"/>
        <v>0</v>
      </c>
      <c r="M339" s="18">
        <f t="shared" si="40"/>
        <v>2.92</v>
      </c>
      <c r="N339" s="15">
        <f t="shared" si="41"/>
        <v>128.12100000000001</v>
      </c>
      <c r="O339" s="15">
        <f>+N339-P339</f>
        <v>0</v>
      </c>
      <c r="P339" s="15">
        <f>+IF(N339&gt;D339,N339-D339,0)</f>
        <v>128.12100000000001</v>
      </c>
      <c r="Q339" s="5">
        <f>+IF(P339=0,P339,P339/N339)</f>
        <v>1</v>
      </c>
    </row>
    <row r="340" spans="1:17" x14ac:dyDescent="0.25">
      <c r="A340" s="7">
        <v>46249.083333333336</v>
      </c>
      <c r="B340" s="6">
        <v>0</v>
      </c>
      <c r="C340" s="13">
        <v>0</v>
      </c>
      <c r="D340" s="18">
        <f>+B340+C340</f>
        <v>0</v>
      </c>
      <c r="E340" s="14">
        <v>904.06600000000003</v>
      </c>
      <c r="F340" s="18">
        <f t="shared" si="35"/>
        <v>0</v>
      </c>
      <c r="G340" s="18">
        <f t="shared" si="36"/>
        <v>904.06600000000003</v>
      </c>
      <c r="H340" s="14">
        <v>112.12</v>
      </c>
      <c r="I340" s="18">
        <f t="shared" si="37"/>
        <v>0</v>
      </c>
      <c r="J340" s="18">
        <f t="shared" si="38"/>
        <v>112.12</v>
      </c>
      <c r="K340" s="14">
        <v>2.92</v>
      </c>
      <c r="L340" s="18">
        <f t="shared" si="39"/>
        <v>0</v>
      </c>
      <c r="M340" s="18">
        <f t="shared" si="40"/>
        <v>2.92</v>
      </c>
      <c r="N340" s="15">
        <f t="shared" si="41"/>
        <v>1019.106</v>
      </c>
      <c r="O340" s="15">
        <f>+N340-P340</f>
        <v>0</v>
      </c>
      <c r="P340" s="15">
        <f>+IF(N340&gt;D340,N340-D340,0)</f>
        <v>1019.106</v>
      </c>
      <c r="Q340" s="5">
        <f>+IF(P340=0,P340,P340/N340)</f>
        <v>1</v>
      </c>
    </row>
    <row r="341" spans="1:17" x14ac:dyDescent="0.25">
      <c r="A341" s="7">
        <v>46249.125</v>
      </c>
      <c r="B341" s="6">
        <v>0</v>
      </c>
      <c r="C341" s="13">
        <v>0</v>
      </c>
      <c r="D341" s="18">
        <f>+B341+C341</f>
        <v>0</v>
      </c>
      <c r="E341" s="14">
        <v>1250.5720000000001</v>
      </c>
      <c r="F341" s="18">
        <f t="shared" si="35"/>
        <v>0</v>
      </c>
      <c r="G341" s="18">
        <f t="shared" si="36"/>
        <v>1250.5720000000001</v>
      </c>
      <c r="H341" s="14">
        <v>101.2</v>
      </c>
      <c r="I341" s="18">
        <f t="shared" si="37"/>
        <v>0</v>
      </c>
      <c r="J341" s="18">
        <f t="shared" si="38"/>
        <v>101.2</v>
      </c>
      <c r="K341" s="14">
        <v>2.8</v>
      </c>
      <c r="L341" s="18">
        <f t="shared" si="39"/>
        <v>0</v>
      </c>
      <c r="M341" s="18">
        <f t="shared" si="40"/>
        <v>2.8</v>
      </c>
      <c r="N341" s="15">
        <f t="shared" si="41"/>
        <v>1354.5720000000001</v>
      </c>
      <c r="O341" s="15">
        <f>+N341-P341</f>
        <v>0</v>
      </c>
      <c r="P341" s="15">
        <f>+IF(N341&gt;D341,N341-D341,0)</f>
        <v>1354.5720000000001</v>
      </c>
      <c r="Q341" s="5">
        <f>+IF(P341=0,P341,P341/N341)</f>
        <v>1</v>
      </c>
    </row>
    <row r="342" spans="1:17" x14ac:dyDescent="0.25">
      <c r="A342" s="7">
        <v>46249.166666666664</v>
      </c>
      <c r="B342" s="6">
        <v>0</v>
      </c>
      <c r="C342" s="13">
        <v>0</v>
      </c>
      <c r="D342" s="18">
        <f>+B342+C342</f>
        <v>0</v>
      </c>
      <c r="E342" s="14">
        <v>1225.3710000000001</v>
      </c>
      <c r="F342" s="18">
        <f t="shared" si="35"/>
        <v>0</v>
      </c>
      <c r="G342" s="18">
        <f t="shared" si="36"/>
        <v>1225.3710000000001</v>
      </c>
      <c r="H342" s="14">
        <v>72.64</v>
      </c>
      <c r="I342" s="18">
        <f t="shared" si="37"/>
        <v>0</v>
      </c>
      <c r="J342" s="18">
        <f t="shared" si="38"/>
        <v>72.64</v>
      </c>
      <c r="K342" s="14">
        <v>2.92</v>
      </c>
      <c r="L342" s="18">
        <f t="shared" si="39"/>
        <v>0</v>
      </c>
      <c r="M342" s="18">
        <f t="shared" si="40"/>
        <v>2.92</v>
      </c>
      <c r="N342" s="15">
        <f t="shared" si="41"/>
        <v>1300.9310000000003</v>
      </c>
      <c r="O342" s="15">
        <f>+N342-P342</f>
        <v>0</v>
      </c>
      <c r="P342" s="15">
        <f>+IF(N342&gt;D342,N342-D342,0)</f>
        <v>1300.9310000000003</v>
      </c>
      <c r="Q342" s="5">
        <f>+IF(P342=0,P342,P342/N342)</f>
        <v>1</v>
      </c>
    </row>
    <row r="343" spans="1:17" x14ac:dyDescent="0.25">
      <c r="A343" s="7">
        <v>46249.208333333336</v>
      </c>
      <c r="B343" s="6">
        <v>0</v>
      </c>
      <c r="C343" s="13">
        <v>0</v>
      </c>
      <c r="D343" s="18">
        <f>+B343+C343</f>
        <v>0</v>
      </c>
      <c r="E343" s="14">
        <v>1099.3690000000001</v>
      </c>
      <c r="F343" s="18">
        <f t="shared" si="35"/>
        <v>0</v>
      </c>
      <c r="G343" s="18">
        <f t="shared" si="36"/>
        <v>1099.3690000000001</v>
      </c>
      <c r="H343" s="14">
        <v>69.64</v>
      </c>
      <c r="I343" s="18">
        <f t="shared" si="37"/>
        <v>0</v>
      </c>
      <c r="J343" s="18">
        <f t="shared" si="38"/>
        <v>69.64</v>
      </c>
      <c r="K343" s="14">
        <v>3.28</v>
      </c>
      <c r="L343" s="18">
        <f t="shared" si="39"/>
        <v>0</v>
      </c>
      <c r="M343" s="18">
        <f t="shared" si="40"/>
        <v>3.28</v>
      </c>
      <c r="N343" s="15">
        <f t="shared" si="41"/>
        <v>1172.2890000000002</v>
      </c>
      <c r="O343" s="15">
        <f>+N343-P343</f>
        <v>0</v>
      </c>
      <c r="P343" s="15">
        <f>+IF(N343&gt;D343,N343-D343,0)</f>
        <v>1172.2890000000002</v>
      </c>
      <c r="Q343" s="5">
        <f>+IF(P343=0,P343,P343/N343)</f>
        <v>1</v>
      </c>
    </row>
    <row r="344" spans="1:17" x14ac:dyDescent="0.25">
      <c r="A344" s="7">
        <v>46249.25</v>
      </c>
      <c r="B344" s="6">
        <v>40.950000000000003</v>
      </c>
      <c r="C344" s="13">
        <v>0</v>
      </c>
      <c r="D344" s="18">
        <f>+B344+C344</f>
        <v>40.950000000000003</v>
      </c>
      <c r="E344" s="14">
        <v>18.899999999999999</v>
      </c>
      <c r="F344" s="18">
        <f t="shared" si="35"/>
        <v>11.411899144795044</v>
      </c>
      <c r="G344" s="18">
        <f t="shared" si="36"/>
        <v>7.4881008552049542</v>
      </c>
      <c r="H344" s="14">
        <v>45.28</v>
      </c>
      <c r="I344" s="18">
        <f t="shared" si="37"/>
        <v>27.340253612503687</v>
      </c>
      <c r="J344" s="18">
        <f t="shared" si="38"/>
        <v>17.939746387496314</v>
      </c>
      <c r="K344" s="14">
        <v>3.64</v>
      </c>
      <c r="L344" s="18">
        <f t="shared" si="39"/>
        <v>2.1978472427012683</v>
      </c>
      <c r="M344" s="18">
        <f t="shared" si="40"/>
        <v>1.442152757298732</v>
      </c>
      <c r="N344" s="15">
        <f t="shared" si="41"/>
        <v>67.820000000000007</v>
      </c>
      <c r="O344" s="15">
        <f>+N344-P344</f>
        <v>40.950000000000003</v>
      </c>
      <c r="P344" s="15">
        <f>+IF(N344&gt;D344,N344-D344,0)</f>
        <v>26.870000000000005</v>
      </c>
      <c r="Q344" s="5">
        <f>+IF(P344=0,P344,P344/N344)</f>
        <v>0.39619581244470659</v>
      </c>
    </row>
    <row r="345" spans="1:17" x14ac:dyDescent="0.25">
      <c r="A345" s="7">
        <v>46249.291666666664</v>
      </c>
      <c r="B345" s="6">
        <v>378</v>
      </c>
      <c r="C345" s="13">
        <v>0</v>
      </c>
      <c r="D345" s="18">
        <f>+B345+C345</f>
        <v>378</v>
      </c>
      <c r="E345" s="14">
        <v>0</v>
      </c>
      <c r="F345" s="18">
        <f t="shared" si="35"/>
        <v>0</v>
      </c>
      <c r="G345" s="18">
        <f t="shared" si="36"/>
        <v>0</v>
      </c>
      <c r="H345" s="14">
        <v>52</v>
      </c>
      <c r="I345" s="18">
        <f t="shared" si="37"/>
        <v>52</v>
      </c>
      <c r="J345" s="18">
        <f t="shared" si="38"/>
        <v>0</v>
      </c>
      <c r="K345" s="14">
        <v>2.3199999999999998</v>
      </c>
      <c r="L345" s="18">
        <f t="shared" si="39"/>
        <v>2.3199999999999998</v>
      </c>
      <c r="M345" s="18">
        <f t="shared" si="40"/>
        <v>0</v>
      </c>
      <c r="N345" s="15">
        <f t="shared" si="41"/>
        <v>54.32</v>
      </c>
      <c r="O345" s="15">
        <f>+N345-P345</f>
        <v>54.32</v>
      </c>
      <c r="P345" s="15">
        <f>+IF(N345&gt;D345,N345-D345,0)</f>
        <v>0</v>
      </c>
      <c r="Q345" s="5">
        <f>+IF(P345=0,P345,P345/N345)</f>
        <v>0</v>
      </c>
    </row>
    <row r="346" spans="1:17" x14ac:dyDescent="0.25">
      <c r="A346" s="7">
        <v>46249.333333333336</v>
      </c>
      <c r="B346" s="6">
        <v>910.35</v>
      </c>
      <c r="C346" s="13">
        <v>0</v>
      </c>
      <c r="D346" s="18">
        <f>+B346+C346</f>
        <v>910.35</v>
      </c>
      <c r="E346" s="14">
        <v>0</v>
      </c>
      <c r="F346" s="18">
        <f t="shared" si="35"/>
        <v>0</v>
      </c>
      <c r="G346" s="18">
        <f t="shared" si="36"/>
        <v>0</v>
      </c>
      <c r="H346" s="14">
        <v>148.84</v>
      </c>
      <c r="I346" s="18">
        <f t="shared" si="37"/>
        <v>148.84</v>
      </c>
      <c r="J346" s="18">
        <f t="shared" si="38"/>
        <v>0</v>
      </c>
      <c r="K346" s="14">
        <v>19.84</v>
      </c>
      <c r="L346" s="18">
        <f t="shared" si="39"/>
        <v>19.84</v>
      </c>
      <c r="M346" s="18">
        <f t="shared" si="40"/>
        <v>0</v>
      </c>
      <c r="N346" s="15">
        <f t="shared" si="41"/>
        <v>168.68</v>
      </c>
      <c r="O346" s="15">
        <f>+N346-P346</f>
        <v>168.68</v>
      </c>
      <c r="P346" s="15">
        <f>+IF(N346&gt;D346,N346-D346,0)</f>
        <v>0</v>
      </c>
      <c r="Q346" s="5">
        <f>+IF(P346=0,P346,P346/N346)</f>
        <v>0</v>
      </c>
    </row>
    <row r="347" spans="1:17" x14ac:dyDescent="0.25">
      <c r="A347" s="7">
        <v>46249.375</v>
      </c>
      <c r="B347" s="6">
        <v>1505.7</v>
      </c>
      <c r="C347" s="13">
        <v>1.2</v>
      </c>
      <c r="D347" s="18">
        <f>+B347+C347</f>
        <v>1506.9</v>
      </c>
      <c r="E347" s="14">
        <v>0</v>
      </c>
      <c r="F347" s="18">
        <f t="shared" si="35"/>
        <v>0</v>
      </c>
      <c r="G347" s="18">
        <f t="shared" si="36"/>
        <v>0</v>
      </c>
      <c r="H347" s="14">
        <v>73.12</v>
      </c>
      <c r="I347" s="18">
        <f t="shared" si="37"/>
        <v>73.12</v>
      </c>
      <c r="J347" s="18">
        <f t="shared" si="38"/>
        <v>0</v>
      </c>
      <c r="K347" s="14">
        <v>69.760000000000005</v>
      </c>
      <c r="L347" s="18">
        <f t="shared" si="39"/>
        <v>69.760000000000005</v>
      </c>
      <c r="M347" s="18">
        <f t="shared" si="40"/>
        <v>0</v>
      </c>
      <c r="N347" s="15">
        <f t="shared" si="41"/>
        <v>142.88</v>
      </c>
      <c r="O347" s="15">
        <f>+N347-P347</f>
        <v>142.88</v>
      </c>
      <c r="P347" s="15">
        <f>+IF(N347&gt;D347,N347-D347,0)</f>
        <v>0</v>
      </c>
      <c r="Q347" s="5">
        <f>+IF(P347=0,P347,P347/N347)</f>
        <v>0</v>
      </c>
    </row>
    <row r="348" spans="1:17" x14ac:dyDescent="0.25">
      <c r="A348" s="7">
        <v>46249.416666666664</v>
      </c>
      <c r="B348" s="6">
        <v>1946.7</v>
      </c>
      <c r="C348" s="13">
        <v>13.56</v>
      </c>
      <c r="D348" s="18">
        <f>+B348+C348</f>
        <v>1960.26</v>
      </c>
      <c r="E348" s="14">
        <v>0</v>
      </c>
      <c r="F348" s="18">
        <f t="shared" si="35"/>
        <v>0</v>
      </c>
      <c r="G348" s="18">
        <f t="shared" si="36"/>
        <v>0</v>
      </c>
      <c r="H348" s="14">
        <v>23.560000000000002</v>
      </c>
      <c r="I348" s="18">
        <f t="shared" si="37"/>
        <v>23.560000000000002</v>
      </c>
      <c r="J348" s="18">
        <f t="shared" si="38"/>
        <v>0</v>
      </c>
      <c r="K348" s="14">
        <v>48.76</v>
      </c>
      <c r="L348" s="18">
        <f t="shared" si="39"/>
        <v>48.76</v>
      </c>
      <c r="M348" s="18">
        <f t="shared" si="40"/>
        <v>0</v>
      </c>
      <c r="N348" s="15">
        <f t="shared" si="41"/>
        <v>72.319999999999993</v>
      </c>
      <c r="O348" s="15">
        <f>+N348-P348</f>
        <v>72.319999999999993</v>
      </c>
      <c r="P348" s="15">
        <f>+IF(N348&gt;D348,N348-D348,0)</f>
        <v>0</v>
      </c>
      <c r="Q348" s="5">
        <f>+IF(P348=0,P348,P348/N348)</f>
        <v>0</v>
      </c>
    </row>
    <row r="349" spans="1:17" x14ac:dyDescent="0.25">
      <c r="A349" s="7">
        <v>46249.458333333336</v>
      </c>
      <c r="B349" s="6">
        <v>2126.25</v>
      </c>
      <c r="C349" s="13">
        <v>16.32</v>
      </c>
      <c r="D349" s="18">
        <f>+B349+C349</f>
        <v>2142.5700000000002</v>
      </c>
      <c r="E349" s="14">
        <v>0</v>
      </c>
      <c r="F349" s="18">
        <f t="shared" si="35"/>
        <v>0</v>
      </c>
      <c r="G349" s="18">
        <f t="shared" si="36"/>
        <v>0</v>
      </c>
      <c r="H349" s="14">
        <v>17.8</v>
      </c>
      <c r="I349" s="18">
        <f t="shared" si="37"/>
        <v>17.8</v>
      </c>
      <c r="J349" s="18">
        <f t="shared" si="38"/>
        <v>0</v>
      </c>
      <c r="K349" s="14">
        <v>58.72</v>
      </c>
      <c r="L349" s="18">
        <f t="shared" si="39"/>
        <v>58.72</v>
      </c>
      <c r="M349" s="18">
        <f t="shared" si="40"/>
        <v>0</v>
      </c>
      <c r="N349" s="15">
        <f t="shared" si="41"/>
        <v>76.52</v>
      </c>
      <c r="O349" s="15">
        <f>+N349-P349</f>
        <v>76.52</v>
      </c>
      <c r="P349" s="15">
        <f>+IF(N349&gt;D349,N349-D349,0)</f>
        <v>0</v>
      </c>
      <c r="Q349" s="5">
        <f>+IF(P349=0,P349,P349/N349)</f>
        <v>0</v>
      </c>
    </row>
    <row r="350" spans="1:17" x14ac:dyDescent="0.25">
      <c r="A350" s="7">
        <v>46249.5</v>
      </c>
      <c r="B350" s="6">
        <v>2542.0500000000002</v>
      </c>
      <c r="C350" s="13">
        <v>21.6</v>
      </c>
      <c r="D350" s="18">
        <f>+B350+C350</f>
        <v>2563.65</v>
      </c>
      <c r="E350" s="14">
        <v>0</v>
      </c>
      <c r="F350" s="18">
        <f t="shared" si="35"/>
        <v>0</v>
      </c>
      <c r="G350" s="18">
        <f t="shared" si="36"/>
        <v>0</v>
      </c>
      <c r="H350" s="14">
        <v>14.92</v>
      </c>
      <c r="I350" s="18">
        <f t="shared" si="37"/>
        <v>14.92</v>
      </c>
      <c r="J350" s="18">
        <f t="shared" si="38"/>
        <v>0</v>
      </c>
      <c r="K350" s="14">
        <v>36.4</v>
      </c>
      <c r="L350" s="18">
        <f t="shared" si="39"/>
        <v>36.4</v>
      </c>
      <c r="M350" s="18">
        <f t="shared" si="40"/>
        <v>0</v>
      </c>
      <c r="N350" s="15">
        <f t="shared" si="41"/>
        <v>51.32</v>
      </c>
      <c r="O350" s="15">
        <f>+N350-P350</f>
        <v>51.32</v>
      </c>
      <c r="P350" s="15">
        <f>+IF(N350&gt;D350,N350-D350,0)</f>
        <v>0</v>
      </c>
      <c r="Q350" s="5">
        <f>+IF(P350=0,P350,P350/N350)</f>
        <v>0</v>
      </c>
    </row>
    <row r="351" spans="1:17" x14ac:dyDescent="0.25">
      <c r="A351" s="7">
        <v>46249.541666666664</v>
      </c>
      <c r="B351" s="6">
        <v>2419.1999999999998</v>
      </c>
      <c r="C351" s="13">
        <v>4.68</v>
      </c>
      <c r="D351" s="18">
        <f>+B351+C351</f>
        <v>2423.8799999999997</v>
      </c>
      <c r="E351" s="14">
        <v>0</v>
      </c>
      <c r="F351" s="18">
        <f t="shared" si="35"/>
        <v>0</v>
      </c>
      <c r="G351" s="18">
        <f t="shared" si="36"/>
        <v>0</v>
      </c>
      <c r="H351" s="14">
        <v>45.400000000000006</v>
      </c>
      <c r="I351" s="18">
        <f t="shared" si="37"/>
        <v>45.400000000000006</v>
      </c>
      <c r="J351" s="18">
        <f t="shared" si="38"/>
        <v>0</v>
      </c>
      <c r="K351" s="14">
        <v>37.24</v>
      </c>
      <c r="L351" s="18">
        <f t="shared" si="39"/>
        <v>37.24</v>
      </c>
      <c r="M351" s="18">
        <f t="shared" si="40"/>
        <v>0</v>
      </c>
      <c r="N351" s="15">
        <f t="shared" si="41"/>
        <v>82.640000000000015</v>
      </c>
      <c r="O351" s="15">
        <f>+N351-P351</f>
        <v>82.640000000000015</v>
      </c>
      <c r="P351" s="15">
        <f>+IF(N351&gt;D351,N351-D351,0)</f>
        <v>0</v>
      </c>
      <c r="Q351" s="5">
        <f>+IF(P351=0,P351,P351/N351)</f>
        <v>0</v>
      </c>
    </row>
    <row r="352" spans="1:17" x14ac:dyDescent="0.25">
      <c r="A352" s="7">
        <v>46249.583333333336</v>
      </c>
      <c r="B352" s="6">
        <v>1946.7</v>
      </c>
      <c r="C352" s="13">
        <v>7.44</v>
      </c>
      <c r="D352" s="18">
        <f>+B352+C352</f>
        <v>1954.14</v>
      </c>
      <c r="E352" s="14">
        <v>0</v>
      </c>
      <c r="F352" s="18">
        <f t="shared" si="35"/>
        <v>0</v>
      </c>
      <c r="G352" s="18">
        <f t="shared" si="36"/>
        <v>0</v>
      </c>
      <c r="H352" s="14">
        <v>43.6</v>
      </c>
      <c r="I352" s="18">
        <f t="shared" si="37"/>
        <v>43.6</v>
      </c>
      <c r="J352" s="18">
        <f t="shared" si="38"/>
        <v>0</v>
      </c>
      <c r="K352" s="14">
        <v>25.12</v>
      </c>
      <c r="L352" s="18">
        <f t="shared" si="39"/>
        <v>25.12</v>
      </c>
      <c r="M352" s="18">
        <f t="shared" si="40"/>
        <v>0</v>
      </c>
      <c r="N352" s="15">
        <f t="shared" si="41"/>
        <v>68.72</v>
      </c>
      <c r="O352" s="15">
        <f>+N352-P352</f>
        <v>68.72</v>
      </c>
      <c r="P352" s="15">
        <f>+IF(N352&gt;D352,N352-D352,0)</f>
        <v>0</v>
      </c>
      <c r="Q352" s="5">
        <f>+IF(P352=0,P352,P352/N352)</f>
        <v>0</v>
      </c>
    </row>
    <row r="353" spans="1:17" x14ac:dyDescent="0.25">
      <c r="A353" s="7">
        <v>46249.625</v>
      </c>
      <c r="B353" s="6">
        <v>998.55</v>
      </c>
      <c r="C353" s="13">
        <v>10.68</v>
      </c>
      <c r="D353" s="18">
        <f>+B353+C353</f>
        <v>1009.2299999999999</v>
      </c>
      <c r="E353" s="14">
        <v>3.15</v>
      </c>
      <c r="F353" s="18">
        <f t="shared" si="35"/>
        <v>3.15</v>
      </c>
      <c r="G353" s="18">
        <f t="shared" si="36"/>
        <v>0</v>
      </c>
      <c r="H353" s="14">
        <v>48.76</v>
      </c>
      <c r="I353" s="18">
        <f t="shared" si="37"/>
        <v>48.76</v>
      </c>
      <c r="J353" s="18">
        <f t="shared" si="38"/>
        <v>0</v>
      </c>
      <c r="K353" s="14">
        <v>38.68</v>
      </c>
      <c r="L353" s="18">
        <f t="shared" si="39"/>
        <v>38.68</v>
      </c>
      <c r="M353" s="18">
        <f t="shared" si="40"/>
        <v>0</v>
      </c>
      <c r="N353" s="15">
        <f t="shared" si="41"/>
        <v>90.59</v>
      </c>
      <c r="O353" s="15">
        <f>+N353-P353</f>
        <v>90.59</v>
      </c>
      <c r="P353" s="15">
        <f>+IF(N353&gt;D353,N353-D353,0)</f>
        <v>0</v>
      </c>
      <c r="Q353" s="5">
        <f>+IF(P353=0,P353,P353/N353)</f>
        <v>0</v>
      </c>
    </row>
    <row r="354" spans="1:17" x14ac:dyDescent="0.25">
      <c r="A354" s="7">
        <v>46249.666666666664</v>
      </c>
      <c r="B354" s="6">
        <v>305.55</v>
      </c>
      <c r="C354" s="13">
        <v>7.92</v>
      </c>
      <c r="D354" s="18">
        <f>+B354+C354</f>
        <v>313.47000000000003</v>
      </c>
      <c r="E354" s="14">
        <v>63</v>
      </c>
      <c r="F354" s="18">
        <f t="shared" si="35"/>
        <v>63</v>
      </c>
      <c r="G354" s="18">
        <f t="shared" si="36"/>
        <v>0</v>
      </c>
      <c r="H354" s="14">
        <v>31.48</v>
      </c>
      <c r="I354" s="18">
        <f t="shared" si="37"/>
        <v>31.48</v>
      </c>
      <c r="J354" s="18">
        <f t="shared" si="38"/>
        <v>0</v>
      </c>
      <c r="K354" s="14">
        <v>43.36</v>
      </c>
      <c r="L354" s="18">
        <f t="shared" si="39"/>
        <v>43.36</v>
      </c>
      <c r="M354" s="18">
        <f t="shared" si="40"/>
        <v>0</v>
      </c>
      <c r="N354" s="15">
        <f t="shared" si="41"/>
        <v>137.84</v>
      </c>
      <c r="O354" s="15">
        <f>+N354-P354</f>
        <v>137.84</v>
      </c>
      <c r="P354" s="15">
        <f>+IF(N354&gt;D354,N354-D354,0)</f>
        <v>0</v>
      </c>
      <c r="Q354" s="5">
        <f>+IF(P354=0,P354,P354/N354)</f>
        <v>0</v>
      </c>
    </row>
    <row r="355" spans="1:17" x14ac:dyDescent="0.25">
      <c r="A355" s="7">
        <v>46249.708333333336</v>
      </c>
      <c r="B355" s="6">
        <v>56.7</v>
      </c>
      <c r="C355" s="13">
        <v>0.48</v>
      </c>
      <c r="D355" s="18">
        <f>+B355+C355</f>
        <v>57.18</v>
      </c>
      <c r="E355" s="14">
        <v>324.41500000000002</v>
      </c>
      <c r="F355" s="18">
        <f t="shared" si="35"/>
        <v>44.139985722953895</v>
      </c>
      <c r="G355" s="18">
        <f t="shared" si="36"/>
        <v>280.27501427704613</v>
      </c>
      <c r="H355" s="14">
        <v>52.48</v>
      </c>
      <c r="I355" s="18">
        <f t="shared" si="37"/>
        <v>7.1404418745761475</v>
      </c>
      <c r="J355" s="18">
        <f t="shared" si="38"/>
        <v>45.339558125423849</v>
      </c>
      <c r="K355" s="14">
        <v>43.36</v>
      </c>
      <c r="L355" s="18">
        <f t="shared" si="39"/>
        <v>5.8995724024699285</v>
      </c>
      <c r="M355" s="18">
        <f t="shared" si="40"/>
        <v>37.460427597530071</v>
      </c>
      <c r="N355" s="15">
        <f t="shared" si="41"/>
        <v>420.25500000000005</v>
      </c>
      <c r="O355" s="15">
        <f>+N355-P355</f>
        <v>57.180000000000007</v>
      </c>
      <c r="P355" s="15">
        <f>+IF(N355&gt;D355,N355-D355,0)</f>
        <v>363.07500000000005</v>
      </c>
      <c r="Q355" s="5">
        <f>+IF(P355=0,P355,P355/N355)</f>
        <v>0.86393975086554597</v>
      </c>
    </row>
    <row r="356" spans="1:17" x14ac:dyDescent="0.25">
      <c r="A356" s="7">
        <v>46249.75</v>
      </c>
      <c r="B356" s="6">
        <v>318.14999999999998</v>
      </c>
      <c r="C356" s="13">
        <v>0</v>
      </c>
      <c r="D356" s="18">
        <f>+B356+C356</f>
        <v>318.14999999999998</v>
      </c>
      <c r="E356" s="14">
        <v>0</v>
      </c>
      <c r="F356" s="18">
        <f t="shared" si="35"/>
        <v>0</v>
      </c>
      <c r="G356" s="18">
        <f t="shared" si="36"/>
        <v>0</v>
      </c>
      <c r="H356" s="14">
        <v>60.28</v>
      </c>
      <c r="I356" s="18">
        <f t="shared" si="37"/>
        <v>60.28</v>
      </c>
      <c r="J356" s="18">
        <f t="shared" si="38"/>
        <v>0</v>
      </c>
      <c r="K356" s="14">
        <v>34.36</v>
      </c>
      <c r="L356" s="18">
        <f t="shared" si="39"/>
        <v>34.36</v>
      </c>
      <c r="M356" s="18">
        <f t="shared" si="40"/>
        <v>0</v>
      </c>
      <c r="N356" s="15">
        <f t="shared" si="41"/>
        <v>94.64</v>
      </c>
      <c r="O356" s="15">
        <f>+N356-P356</f>
        <v>94.64</v>
      </c>
      <c r="P356" s="15">
        <f>+IF(N356&gt;D356,N356-D356,0)</f>
        <v>0</v>
      </c>
      <c r="Q356" s="5">
        <f>+IF(P356=0,P356,P356/N356)</f>
        <v>0</v>
      </c>
    </row>
    <row r="357" spans="1:17" x14ac:dyDescent="0.25">
      <c r="A357" s="7">
        <v>46249.791666666664</v>
      </c>
      <c r="B357" s="6">
        <v>9.4499999999999993</v>
      </c>
      <c r="C357" s="13">
        <v>0</v>
      </c>
      <c r="D357" s="18">
        <f>+B357+C357</f>
        <v>9.4499999999999993</v>
      </c>
      <c r="E357" s="14">
        <v>47.245000000000005</v>
      </c>
      <c r="F357" s="18">
        <f t="shared" si="35"/>
        <v>2.8788422477995894</v>
      </c>
      <c r="G357" s="18">
        <f t="shared" si="36"/>
        <v>44.366157752200415</v>
      </c>
      <c r="H357" s="14">
        <v>82.960000000000008</v>
      </c>
      <c r="I357" s="18">
        <f t="shared" si="37"/>
        <v>5.0551117129316196</v>
      </c>
      <c r="J357" s="18">
        <f t="shared" si="38"/>
        <v>77.904888287068388</v>
      </c>
      <c r="K357" s="14">
        <v>24.88</v>
      </c>
      <c r="L357" s="18">
        <f t="shared" si="39"/>
        <v>1.5160460392687867</v>
      </c>
      <c r="M357" s="18">
        <f t="shared" si="40"/>
        <v>23.363953960731212</v>
      </c>
      <c r="N357" s="15">
        <f t="shared" si="41"/>
        <v>155.08500000000001</v>
      </c>
      <c r="O357" s="15">
        <f>+N357-P357</f>
        <v>9.4499999999999886</v>
      </c>
      <c r="P357" s="15">
        <f>+IF(N357&gt;D357,N357-D357,0)</f>
        <v>145.63500000000002</v>
      </c>
      <c r="Q357" s="5">
        <f>+IF(P357=0,P357,P357/N357)</f>
        <v>0.93906567366283011</v>
      </c>
    </row>
    <row r="358" spans="1:17" x14ac:dyDescent="0.25">
      <c r="A358" s="7">
        <v>46249.833333333336</v>
      </c>
      <c r="B358" s="6">
        <v>0</v>
      </c>
      <c r="C358" s="13">
        <v>0</v>
      </c>
      <c r="D358" s="18">
        <f>+B358+C358</f>
        <v>0</v>
      </c>
      <c r="E358" s="14">
        <v>781.11599999999999</v>
      </c>
      <c r="F358" s="18">
        <f t="shared" si="35"/>
        <v>0</v>
      </c>
      <c r="G358" s="18">
        <f t="shared" si="36"/>
        <v>781.11599999999999</v>
      </c>
      <c r="H358" s="14">
        <v>105.16</v>
      </c>
      <c r="I358" s="18">
        <f t="shared" si="37"/>
        <v>0</v>
      </c>
      <c r="J358" s="18">
        <f t="shared" si="38"/>
        <v>105.16</v>
      </c>
      <c r="K358" s="14">
        <v>2.56</v>
      </c>
      <c r="L358" s="18">
        <f t="shared" si="39"/>
        <v>0</v>
      </c>
      <c r="M358" s="18">
        <f t="shared" si="40"/>
        <v>2.56</v>
      </c>
      <c r="N358" s="15">
        <f t="shared" si="41"/>
        <v>888.8359999999999</v>
      </c>
      <c r="O358" s="15">
        <f>+N358-P358</f>
        <v>0</v>
      </c>
      <c r="P358" s="15">
        <f>+IF(N358&gt;D358,N358-D358,0)</f>
        <v>888.8359999999999</v>
      </c>
      <c r="Q358" s="5">
        <f>+IF(P358=0,P358,P358/N358)</f>
        <v>1</v>
      </c>
    </row>
    <row r="359" spans="1:17" x14ac:dyDescent="0.25">
      <c r="A359" s="7">
        <v>46249.875</v>
      </c>
      <c r="B359" s="6">
        <v>0</v>
      </c>
      <c r="C359" s="13">
        <v>0</v>
      </c>
      <c r="D359" s="18">
        <f>+B359+C359</f>
        <v>0</v>
      </c>
      <c r="E359" s="14">
        <v>894.50400000000002</v>
      </c>
      <c r="F359" s="18">
        <f t="shared" si="35"/>
        <v>0</v>
      </c>
      <c r="G359" s="18">
        <f t="shared" si="36"/>
        <v>894.50400000000002</v>
      </c>
      <c r="H359" s="14">
        <v>103.84</v>
      </c>
      <c r="I359" s="18">
        <f t="shared" si="37"/>
        <v>0</v>
      </c>
      <c r="J359" s="18">
        <f t="shared" si="38"/>
        <v>103.84</v>
      </c>
      <c r="K359" s="14">
        <v>2.56</v>
      </c>
      <c r="L359" s="18">
        <f t="shared" si="39"/>
        <v>0</v>
      </c>
      <c r="M359" s="18">
        <f t="shared" si="40"/>
        <v>2.56</v>
      </c>
      <c r="N359" s="15">
        <f t="shared" si="41"/>
        <v>1000.904</v>
      </c>
      <c r="O359" s="15">
        <f>+N359-P359</f>
        <v>0</v>
      </c>
      <c r="P359" s="15">
        <f>+IF(N359&gt;D359,N359-D359,0)</f>
        <v>1000.904</v>
      </c>
      <c r="Q359" s="5">
        <f>+IF(P359=0,P359,P359/N359)</f>
        <v>1</v>
      </c>
    </row>
    <row r="360" spans="1:17" x14ac:dyDescent="0.25">
      <c r="A360" s="7">
        <v>46249.916666666664</v>
      </c>
      <c r="B360" s="6">
        <v>0</v>
      </c>
      <c r="C360" s="13">
        <v>0</v>
      </c>
      <c r="D360" s="18">
        <f>+B360+C360</f>
        <v>0</v>
      </c>
      <c r="E360" s="14">
        <v>1124.5700000000002</v>
      </c>
      <c r="F360" s="18">
        <f t="shared" si="35"/>
        <v>0</v>
      </c>
      <c r="G360" s="18">
        <f t="shared" si="36"/>
        <v>1124.5700000000002</v>
      </c>
      <c r="H360" s="14">
        <v>102.16</v>
      </c>
      <c r="I360" s="18">
        <f t="shared" si="37"/>
        <v>0</v>
      </c>
      <c r="J360" s="18">
        <f t="shared" si="38"/>
        <v>102.16</v>
      </c>
      <c r="K360" s="14">
        <v>3.28</v>
      </c>
      <c r="L360" s="18">
        <f t="shared" si="39"/>
        <v>0</v>
      </c>
      <c r="M360" s="18">
        <f t="shared" si="40"/>
        <v>3.28</v>
      </c>
      <c r="N360" s="15">
        <f t="shared" si="41"/>
        <v>1230.0100000000002</v>
      </c>
      <c r="O360" s="15">
        <f>+N360-P360</f>
        <v>0</v>
      </c>
      <c r="P360" s="15">
        <f>+IF(N360&gt;D360,N360-D360,0)</f>
        <v>1230.0100000000002</v>
      </c>
      <c r="Q360" s="5">
        <f>+IF(P360=0,P360,P360/N360)</f>
        <v>1</v>
      </c>
    </row>
    <row r="361" spans="1:17" x14ac:dyDescent="0.25">
      <c r="A361" s="7">
        <v>46249.958333333336</v>
      </c>
      <c r="B361" s="6">
        <v>0</v>
      </c>
      <c r="C361" s="13">
        <v>0</v>
      </c>
      <c r="D361" s="18">
        <f>+B361+C361</f>
        <v>0</v>
      </c>
      <c r="E361" s="14">
        <v>1215.921</v>
      </c>
      <c r="F361" s="18">
        <f t="shared" si="35"/>
        <v>0</v>
      </c>
      <c r="G361" s="18">
        <f t="shared" si="36"/>
        <v>1215.921</v>
      </c>
      <c r="H361" s="14">
        <v>100.6</v>
      </c>
      <c r="I361" s="18">
        <f t="shared" si="37"/>
        <v>0</v>
      </c>
      <c r="J361" s="18">
        <f t="shared" si="38"/>
        <v>100.6</v>
      </c>
      <c r="K361" s="14">
        <v>2.92</v>
      </c>
      <c r="L361" s="18">
        <f t="shared" si="39"/>
        <v>0</v>
      </c>
      <c r="M361" s="18">
        <f t="shared" si="40"/>
        <v>2.92</v>
      </c>
      <c r="N361" s="15">
        <f t="shared" si="41"/>
        <v>1319.441</v>
      </c>
      <c r="O361" s="15">
        <f>+N361-P361</f>
        <v>0</v>
      </c>
      <c r="P361" s="15">
        <f>+IF(N361&gt;D361,N361-D361,0)</f>
        <v>1319.441</v>
      </c>
      <c r="Q361" s="5">
        <f>+IF(P361=0,P361,P361/N361)</f>
        <v>1</v>
      </c>
    </row>
    <row r="362" spans="1:17" x14ac:dyDescent="0.25">
      <c r="A362" s="7">
        <v>46250</v>
      </c>
      <c r="B362" s="6">
        <v>0</v>
      </c>
      <c r="C362" s="13">
        <v>0</v>
      </c>
      <c r="D362" s="18">
        <f>+B362+C362</f>
        <v>0</v>
      </c>
      <c r="E362" s="14">
        <v>1140.32</v>
      </c>
      <c r="F362" s="18">
        <f t="shared" si="35"/>
        <v>0</v>
      </c>
      <c r="G362" s="18">
        <f t="shared" si="36"/>
        <v>1140.32</v>
      </c>
      <c r="H362" s="14">
        <v>75.88000000000001</v>
      </c>
      <c r="I362" s="18">
        <f t="shared" si="37"/>
        <v>0</v>
      </c>
      <c r="J362" s="18">
        <f t="shared" si="38"/>
        <v>75.88000000000001</v>
      </c>
      <c r="K362" s="14">
        <v>2.92</v>
      </c>
      <c r="L362" s="18">
        <f t="shared" si="39"/>
        <v>0</v>
      </c>
      <c r="M362" s="18">
        <f t="shared" si="40"/>
        <v>2.92</v>
      </c>
      <c r="N362" s="15">
        <f t="shared" si="41"/>
        <v>1219.1200000000001</v>
      </c>
      <c r="O362" s="15">
        <f>+N362-P362</f>
        <v>0</v>
      </c>
      <c r="P362" s="15">
        <f>+IF(N362&gt;D362,N362-D362,0)</f>
        <v>1219.1200000000001</v>
      </c>
      <c r="Q362" s="5">
        <f>+IF(P362=0,P362,P362/N362)</f>
        <v>1</v>
      </c>
    </row>
    <row r="363" spans="1:17" x14ac:dyDescent="0.25">
      <c r="A363" s="7">
        <v>46250.041666666664</v>
      </c>
      <c r="B363" s="6">
        <v>0</v>
      </c>
      <c r="C363" s="13">
        <v>0</v>
      </c>
      <c r="D363" s="18">
        <f>+B363+C363</f>
        <v>0</v>
      </c>
      <c r="E363" s="14">
        <v>53.551000000000002</v>
      </c>
      <c r="F363" s="18">
        <f t="shared" si="35"/>
        <v>0</v>
      </c>
      <c r="G363" s="18">
        <f t="shared" si="36"/>
        <v>53.551000000000002</v>
      </c>
      <c r="H363" s="14">
        <v>55</v>
      </c>
      <c r="I363" s="18">
        <f t="shared" si="37"/>
        <v>0</v>
      </c>
      <c r="J363" s="18">
        <f t="shared" si="38"/>
        <v>55</v>
      </c>
      <c r="K363" s="14">
        <v>2.68</v>
      </c>
      <c r="L363" s="18">
        <f t="shared" si="39"/>
        <v>0</v>
      </c>
      <c r="M363" s="18">
        <f t="shared" si="40"/>
        <v>2.68</v>
      </c>
      <c r="N363" s="15">
        <f t="shared" si="41"/>
        <v>111.23100000000001</v>
      </c>
      <c r="O363" s="15">
        <f>+N363-P363</f>
        <v>0</v>
      </c>
      <c r="P363" s="15">
        <f>+IF(N363&gt;D363,N363-D363,0)</f>
        <v>111.23100000000001</v>
      </c>
      <c r="Q363" s="5">
        <f>+IF(P363=0,P363,P363/N363)</f>
        <v>1</v>
      </c>
    </row>
    <row r="364" spans="1:17" x14ac:dyDescent="0.25">
      <c r="A364" s="7">
        <v>46250.083333333336</v>
      </c>
      <c r="B364" s="6">
        <v>0</v>
      </c>
      <c r="C364" s="13">
        <v>0</v>
      </c>
      <c r="D364" s="18">
        <f>+B364+C364</f>
        <v>0</v>
      </c>
      <c r="E364" s="14">
        <v>1181.271</v>
      </c>
      <c r="F364" s="18">
        <f t="shared" si="35"/>
        <v>0</v>
      </c>
      <c r="G364" s="18">
        <f t="shared" si="36"/>
        <v>1181.271</v>
      </c>
      <c r="H364" s="14">
        <v>56.800000000000004</v>
      </c>
      <c r="I364" s="18">
        <f t="shared" si="37"/>
        <v>0</v>
      </c>
      <c r="J364" s="18">
        <f t="shared" si="38"/>
        <v>56.800000000000004</v>
      </c>
      <c r="K364" s="14">
        <v>2.8</v>
      </c>
      <c r="L364" s="18">
        <f t="shared" si="39"/>
        <v>0</v>
      </c>
      <c r="M364" s="18">
        <f t="shared" si="40"/>
        <v>2.8</v>
      </c>
      <c r="N364" s="15">
        <f t="shared" si="41"/>
        <v>1240.8709999999999</v>
      </c>
      <c r="O364" s="15">
        <f>+N364-P364</f>
        <v>0</v>
      </c>
      <c r="P364" s="15">
        <f>+IF(N364&gt;D364,N364-D364,0)</f>
        <v>1240.8709999999999</v>
      </c>
      <c r="Q364" s="5">
        <f>+IF(P364=0,P364,P364/N364)</f>
        <v>1</v>
      </c>
    </row>
    <row r="365" spans="1:17" x14ac:dyDescent="0.25">
      <c r="A365" s="7">
        <v>46250.125</v>
      </c>
      <c r="B365" s="6">
        <v>0</v>
      </c>
      <c r="C365" s="13">
        <v>0</v>
      </c>
      <c r="D365" s="18">
        <f>+B365+C365</f>
        <v>0</v>
      </c>
      <c r="E365" s="14">
        <v>1137.17</v>
      </c>
      <c r="F365" s="18">
        <f t="shared" si="35"/>
        <v>0</v>
      </c>
      <c r="G365" s="18">
        <f t="shared" si="36"/>
        <v>1137.17</v>
      </c>
      <c r="H365" s="14">
        <v>56.92</v>
      </c>
      <c r="I365" s="18">
        <f t="shared" si="37"/>
        <v>0</v>
      </c>
      <c r="J365" s="18">
        <f t="shared" si="38"/>
        <v>56.92</v>
      </c>
      <c r="K365" s="14">
        <v>2.68</v>
      </c>
      <c r="L365" s="18">
        <f t="shared" si="39"/>
        <v>0</v>
      </c>
      <c r="M365" s="18">
        <f t="shared" si="40"/>
        <v>2.68</v>
      </c>
      <c r="N365" s="15">
        <f t="shared" si="41"/>
        <v>1196.7700000000002</v>
      </c>
      <c r="O365" s="15">
        <f>+N365-P365</f>
        <v>0</v>
      </c>
      <c r="P365" s="15">
        <f>+IF(N365&gt;D365,N365-D365,0)</f>
        <v>1196.7700000000002</v>
      </c>
      <c r="Q365" s="5">
        <f>+IF(P365=0,P365,P365/N365)</f>
        <v>1</v>
      </c>
    </row>
    <row r="366" spans="1:17" x14ac:dyDescent="0.25">
      <c r="A366" s="7">
        <v>46250.166666666664</v>
      </c>
      <c r="B366" s="6">
        <v>0</v>
      </c>
      <c r="C366" s="13">
        <v>0</v>
      </c>
      <c r="D366" s="18">
        <f>+B366+C366</f>
        <v>0</v>
      </c>
      <c r="E366" s="14">
        <v>1215.921</v>
      </c>
      <c r="F366" s="18">
        <f t="shared" si="35"/>
        <v>0</v>
      </c>
      <c r="G366" s="18">
        <f t="shared" si="36"/>
        <v>1215.921</v>
      </c>
      <c r="H366" s="14">
        <v>59.44</v>
      </c>
      <c r="I366" s="18">
        <f t="shared" si="37"/>
        <v>0</v>
      </c>
      <c r="J366" s="18">
        <f t="shared" si="38"/>
        <v>59.44</v>
      </c>
      <c r="K366" s="14">
        <v>2.68</v>
      </c>
      <c r="L366" s="18">
        <f t="shared" si="39"/>
        <v>0</v>
      </c>
      <c r="M366" s="18">
        <f t="shared" si="40"/>
        <v>2.68</v>
      </c>
      <c r="N366" s="15">
        <f t="shared" si="41"/>
        <v>1278.0410000000002</v>
      </c>
      <c r="O366" s="15">
        <f>+N366-P366</f>
        <v>0</v>
      </c>
      <c r="P366" s="15">
        <f>+IF(N366&gt;D366,N366-D366,0)</f>
        <v>1278.0410000000002</v>
      </c>
      <c r="Q366" s="5">
        <f>+IF(P366=0,P366,P366/N366)</f>
        <v>1</v>
      </c>
    </row>
    <row r="367" spans="1:17" x14ac:dyDescent="0.25">
      <c r="A367" s="7">
        <v>46250.208333333336</v>
      </c>
      <c r="B367" s="6">
        <v>0</v>
      </c>
      <c r="C367" s="13">
        <v>0</v>
      </c>
      <c r="D367" s="18">
        <f>+B367+C367</f>
        <v>0</v>
      </c>
      <c r="E367" s="14">
        <v>926.1160000000001</v>
      </c>
      <c r="F367" s="18">
        <f t="shared" si="35"/>
        <v>0</v>
      </c>
      <c r="G367" s="18">
        <f t="shared" si="36"/>
        <v>926.1160000000001</v>
      </c>
      <c r="H367" s="14">
        <v>57.88</v>
      </c>
      <c r="I367" s="18">
        <f t="shared" si="37"/>
        <v>0</v>
      </c>
      <c r="J367" s="18">
        <f t="shared" si="38"/>
        <v>57.88</v>
      </c>
      <c r="K367" s="14">
        <v>2.68</v>
      </c>
      <c r="L367" s="18">
        <f t="shared" si="39"/>
        <v>0</v>
      </c>
      <c r="M367" s="18">
        <f t="shared" si="40"/>
        <v>2.68</v>
      </c>
      <c r="N367" s="15">
        <f t="shared" si="41"/>
        <v>986.67600000000004</v>
      </c>
      <c r="O367" s="15">
        <f>+N367-P367</f>
        <v>0</v>
      </c>
      <c r="P367" s="15">
        <f>+IF(N367&gt;D367,N367-D367,0)</f>
        <v>986.67600000000004</v>
      </c>
      <c r="Q367" s="5">
        <f>+IF(P367=0,P367,P367/N367)</f>
        <v>1</v>
      </c>
    </row>
    <row r="368" spans="1:17" x14ac:dyDescent="0.25">
      <c r="A368" s="7">
        <v>46250.25</v>
      </c>
      <c r="B368" s="6">
        <v>53.55</v>
      </c>
      <c r="C368" s="13">
        <v>0</v>
      </c>
      <c r="D368" s="18">
        <f>+B368+C368</f>
        <v>53.55</v>
      </c>
      <c r="E368" s="14">
        <v>3.15</v>
      </c>
      <c r="F368" s="18">
        <f t="shared" si="35"/>
        <v>3.15</v>
      </c>
      <c r="G368" s="18">
        <f t="shared" si="36"/>
        <v>0</v>
      </c>
      <c r="H368" s="14">
        <v>46.480000000000004</v>
      </c>
      <c r="I368" s="18">
        <f t="shared" si="37"/>
        <v>46.480000000000004</v>
      </c>
      <c r="J368" s="18">
        <f t="shared" si="38"/>
        <v>0</v>
      </c>
      <c r="K368" s="14">
        <v>3.64</v>
      </c>
      <c r="L368" s="18">
        <f t="shared" si="39"/>
        <v>3.64</v>
      </c>
      <c r="M368" s="18">
        <f t="shared" si="40"/>
        <v>0</v>
      </c>
      <c r="N368" s="15">
        <f t="shared" si="41"/>
        <v>53.27</v>
      </c>
      <c r="O368" s="15">
        <f>+N368-P368</f>
        <v>53.27</v>
      </c>
      <c r="P368" s="15">
        <f>+IF(N368&gt;D368,N368-D368,0)</f>
        <v>0</v>
      </c>
      <c r="Q368" s="5">
        <f>+IF(P368=0,P368,P368/N368)</f>
        <v>0</v>
      </c>
    </row>
    <row r="369" spans="1:17" x14ac:dyDescent="0.25">
      <c r="A369" s="7">
        <v>46250.291666666664</v>
      </c>
      <c r="B369" s="6">
        <v>500.85</v>
      </c>
      <c r="C369" s="13">
        <v>1.56</v>
      </c>
      <c r="D369" s="18">
        <f>+B369+C369</f>
        <v>502.41</v>
      </c>
      <c r="E369" s="14">
        <v>0</v>
      </c>
      <c r="F369" s="18">
        <f t="shared" si="35"/>
        <v>0</v>
      </c>
      <c r="G369" s="18">
        <f t="shared" si="36"/>
        <v>0</v>
      </c>
      <c r="H369" s="14">
        <v>24.04</v>
      </c>
      <c r="I369" s="18">
        <f t="shared" si="37"/>
        <v>24.04</v>
      </c>
      <c r="J369" s="18">
        <f t="shared" si="38"/>
        <v>0</v>
      </c>
      <c r="K369" s="14">
        <v>7.1199999999999992</v>
      </c>
      <c r="L369" s="18">
        <f t="shared" si="39"/>
        <v>7.1199999999999992</v>
      </c>
      <c r="M369" s="18">
        <f t="shared" si="40"/>
        <v>0</v>
      </c>
      <c r="N369" s="15">
        <f t="shared" si="41"/>
        <v>31.159999999999997</v>
      </c>
      <c r="O369" s="15">
        <f>+N369-P369</f>
        <v>31.159999999999997</v>
      </c>
      <c r="P369" s="15">
        <f>+IF(N369&gt;D369,N369-D369,0)</f>
        <v>0</v>
      </c>
      <c r="Q369" s="5">
        <f>+IF(P369=0,P369,P369/N369)</f>
        <v>0</v>
      </c>
    </row>
    <row r="370" spans="1:17" x14ac:dyDescent="0.25">
      <c r="A370" s="7">
        <v>46250.333333333336</v>
      </c>
      <c r="B370" s="6">
        <v>1181.25</v>
      </c>
      <c r="C370" s="13">
        <v>0.48</v>
      </c>
      <c r="D370" s="18">
        <f>+B370+C370</f>
        <v>1181.73</v>
      </c>
      <c r="E370" s="14">
        <v>0</v>
      </c>
      <c r="F370" s="18">
        <f t="shared" si="35"/>
        <v>0</v>
      </c>
      <c r="G370" s="18">
        <f t="shared" si="36"/>
        <v>0</v>
      </c>
      <c r="H370" s="14">
        <v>55.599999999999994</v>
      </c>
      <c r="I370" s="18">
        <f t="shared" si="37"/>
        <v>55.599999999999994</v>
      </c>
      <c r="J370" s="18">
        <f t="shared" si="38"/>
        <v>0</v>
      </c>
      <c r="K370" s="14">
        <v>2.56</v>
      </c>
      <c r="L370" s="18">
        <f t="shared" si="39"/>
        <v>2.56</v>
      </c>
      <c r="M370" s="18">
        <f t="shared" si="40"/>
        <v>0</v>
      </c>
      <c r="N370" s="15">
        <f t="shared" si="41"/>
        <v>58.16</v>
      </c>
      <c r="O370" s="15">
        <f>+N370-P370</f>
        <v>58.16</v>
      </c>
      <c r="P370" s="15">
        <f>+IF(N370&gt;D370,N370-D370,0)</f>
        <v>0</v>
      </c>
      <c r="Q370" s="5">
        <f>+IF(P370=0,P370,P370/N370)</f>
        <v>0</v>
      </c>
    </row>
    <row r="371" spans="1:17" x14ac:dyDescent="0.25">
      <c r="A371" s="7">
        <v>46250.375</v>
      </c>
      <c r="B371" s="6">
        <v>1830.15</v>
      </c>
      <c r="C371" s="13">
        <v>21.36</v>
      </c>
      <c r="D371" s="18">
        <f>+B371+C371</f>
        <v>1851.51</v>
      </c>
      <c r="E371" s="14">
        <v>0</v>
      </c>
      <c r="F371" s="18">
        <f t="shared" si="35"/>
        <v>0</v>
      </c>
      <c r="G371" s="18">
        <f t="shared" si="36"/>
        <v>0</v>
      </c>
      <c r="H371" s="14">
        <v>9.4</v>
      </c>
      <c r="I371" s="18">
        <f t="shared" si="37"/>
        <v>9.4</v>
      </c>
      <c r="J371" s="18">
        <f t="shared" si="38"/>
        <v>0</v>
      </c>
      <c r="K371" s="14">
        <v>2.3199999999999998</v>
      </c>
      <c r="L371" s="18">
        <f t="shared" si="39"/>
        <v>2.3199999999999998</v>
      </c>
      <c r="M371" s="18">
        <f t="shared" si="40"/>
        <v>0</v>
      </c>
      <c r="N371" s="15">
        <f t="shared" si="41"/>
        <v>11.72</v>
      </c>
      <c r="O371" s="15">
        <f>+N371-P371</f>
        <v>11.72</v>
      </c>
      <c r="P371" s="15">
        <f>+IF(N371&gt;D371,N371-D371,0)</f>
        <v>0</v>
      </c>
      <c r="Q371" s="5">
        <f>+IF(P371=0,P371,P371/N371)</f>
        <v>0</v>
      </c>
    </row>
    <row r="372" spans="1:17" x14ac:dyDescent="0.25">
      <c r="A372" s="7">
        <v>46250.416666666664</v>
      </c>
      <c r="B372" s="6">
        <v>2290.0500000000002</v>
      </c>
      <c r="C372" s="13">
        <v>32.76</v>
      </c>
      <c r="D372" s="18">
        <f>+B372+C372</f>
        <v>2322.8100000000004</v>
      </c>
      <c r="E372" s="14">
        <v>0</v>
      </c>
      <c r="F372" s="18">
        <f t="shared" si="35"/>
        <v>0</v>
      </c>
      <c r="G372" s="18">
        <f t="shared" si="36"/>
        <v>0</v>
      </c>
      <c r="H372" s="14">
        <v>8.3199999999999985</v>
      </c>
      <c r="I372" s="18">
        <f t="shared" si="37"/>
        <v>8.3199999999999985</v>
      </c>
      <c r="J372" s="18">
        <f t="shared" si="38"/>
        <v>0</v>
      </c>
      <c r="K372" s="14">
        <v>2.44</v>
      </c>
      <c r="L372" s="18">
        <f t="shared" si="39"/>
        <v>2.44</v>
      </c>
      <c r="M372" s="18">
        <f t="shared" si="40"/>
        <v>0</v>
      </c>
      <c r="N372" s="15">
        <f t="shared" si="41"/>
        <v>10.759999999999998</v>
      </c>
      <c r="O372" s="15">
        <f>+N372-P372</f>
        <v>10.759999999999998</v>
      </c>
      <c r="P372" s="15">
        <f>+IF(N372&gt;D372,N372-D372,0)</f>
        <v>0</v>
      </c>
      <c r="Q372" s="5">
        <f>+IF(P372=0,P372,P372/N372)</f>
        <v>0</v>
      </c>
    </row>
    <row r="373" spans="1:17" x14ac:dyDescent="0.25">
      <c r="A373" s="7">
        <v>46250.458333333336</v>
      </c>
      <c r="B373" s="6">
        <v>2633.4</v>
      </c>
      <c r="C373" s="13">
        <v>85.8</v>
      </c>
      <c r="D373" s="18">
        <f>+B373+C373</f>
        <v>2719.2000000000003</v>
      </c>
      <c r="E373" s="14">
        <v>0</v>
      </c>
      <c r="F373" s="18">
        <f t="shared" si="35"/>
        <v>0</v>
      </c>
      <c r="G373" s="18">
        <f t="shared" si="36"/>
        <v>0</v>
      </c>
      <c r="H373" s="14">
        <v>1.36</v>
      </c>
      <c r="I373" s="18">
        <f t="shared" si="37"/>
        <v>1.36</v>
      </c>
      <c r="J373" s="18">
        <f t="shared" si="38"/>
        <v>0</v>
      </c>
      <c r="K373" s="14">
        <v>2.3199999999999998</v>
      </c>
      <c r="L373" s="18">
        <f t="shared" si="39"/>
        <v>2.3199999999999998</v>
      </c>
      <c r="M373" s="18">
        <f t="shared" si="40"/>
        <v>0</v>
      </c>
      <c r="N373" s="15">
        <f t="shared" si="41"/>
        <v>3.6799999999999997</v>
      </c>
      <c r="O373" s="15">
        <f>+N373-P373</f>
        <v>3.6799999999999997</v>
      </c>
      <c r="P373" s="15">
        <f>+IF(N373&gt;D373,N373-D373,0)</f>
        <v>0</v>
      </c>
      <c r="Q373" s="5">
        <f>+IF(P373=0,P373,P373/N373)</f>
        <v>0</v>
      </c>
    </row>
    <row r="374" spans="1:17" x14ac:dyDescent="0.25">
      <c r="A374" s="7">
        <v>46250.5</v>
      </c>
      <c r="B374" s="6">
        <v>2778.3</v>
      </c>
      <c r="C374" s="13">
        <v>98.52</v>
      </c>
      <c r="D374" s="18">
        <f>+B374+C374</f>
        <v>2876.82</v>
      </c>
      <c r="E374" s="14">
        <v>0</v>
      </c>
      <c r="F374" s="18">
        <f t="shared" si="35"/>
        <v>0</v>
      </c>
      <c r="G374" s="18">
        <f t="shared" si="36"/>
        <v>0</v>
      </c>
      <c r="H374" s="14">
        <v>1.24</v>
      </c>
      <c r="I374" s="18">
        <f t="shared" si="37"/>
        <v>1.24</v>
      </c>
      <c r="J374" s="18">
        <f t="shared" si="38"/>
        <v>0</v>
      </c>
      <c r="K374" s="14">
        <v>2.3199999999999998</v>
      </c>
      <c r="L374" s="18">
        <f t="shared" si="39"/>
        <v>2.3199999999999998</v>
      </c>
      <c r="M374" s="18">
        <f t="shared" si="40"/>
        <v>0</v>
      </c>
      <c r="N374" s="15">
        <f t="shared" si="41"/>
        <v>3.5599999999999996</v>
      </c>
      <c r="O374" s="15">
        <f>+N374-P374</f>
        <v>3.5599999999999996</v>
      </c>
      <c r="P374" s="15">
        <f>+IF(N374&gt;D374,N374-D374,0)</f>
        <v>0</v>
      </c>
      <c r="Q374" s="5">
        <f>+IF(P374=0,P374,P374/N374)</f>
        <v>0</v>
      </c>
    </row>
    <row r="375" spans="1:17" x14ac:dyDescent="0.25">
      <c r="A375" s="7">
        <v>46250.541666666664</v>
      </c>
      <c r="B375" s="6">
        <v>2778.3</v>
      </c>
      <c r="C375" s="13">
        <v>115.92</v>
      </c>
      <c r="D375" s="18">
        <f>+B375+C375</f>
        <v>2894.2200000000003</v>
      </c>
      <c r="E375" s="14">
        <v>0</v>
      </c>
      <c r="F375" s="18">
        <f t="shared" si="35"/>
        <v>0</v>
      </c>
      <c r="G375" s="18">
        <f t="shared" si="36"/>
        <v>0</v>
      </c>
      <c r="H375" s="14">
        <v>1.1199999999999999</v>
      </c>
      <c r="I375" s="18">
        <f t="shared" si="37"/>
        <v>1.1199999999999999</v>
      </c>
      <c r="J375" s="18">
        <f t="shared" si="38"/>
        <v>0</v>
      </c>
      <c r="K375" s="14">
        <v>7.96</v>
      </c>
      <c r="L375" s="18">
        <f t="shared" si="39"/>
        <v>7.96</v>
      </c>
      <c r="M375" s="18">
        <f t="shared" si="40"/>
        <v>0</v>
      </c>
      <c r="N375" s="15">
        <f t="shared" si="41"/>
        <v>9.08</v>
      </c>
      <c r="O375" s="15">
        <f>+N375-P375</f>
        <v>9.08</v>
      </c>
      <c r="P375" s="15">
        <f>+IF(N375&gt;D375,N375-D375,0)</f>
        <v>0</v>
      </c>
      <c r="Q375" s="5">
        <f>+IF(P375=0,P375,P375/N375)</f>
        <v>0</v>
      </c>
    </row>
    <row r="376" spans="1:17" x14ac:dyDescent="0.25">
      <c r="A376" s="7">
        <v>46250.583333333336</v>
      </c>
      <c r="B376" s="6">
        <v>2573.5500000000002</v>
      </c>
      <c r="C376" s="13">
        <v>92.28</v>
      </c>
      <c r="D376" s="18">
        <f>+B376+C376</f>
        <v>2665.8300000000004</v>
      </c>
      <c r="E376" s="14">
        <v>0</v>
      </c>
      <c r="F376" s="18">
        <f t="shared" si="35"/>
        <v>0</v>
      </c>
      <c r="G376" s="18">
        <f t="shared" si="36"/>
        <v>0</v>
      </c>
      <c r="H376" s="14">
        <v>1.48</v>
      </c>
      <c r="I376" s="18">
        <f t="shared" si="37"/>
        <v>1.48</v>
      </c>
      <c r="J376" s="18">
        <f t="shared" si="38"/>
        <v>0</v>
      </c>
      <c r="K376" s="14">
        <v>13.24</v>
      </c>
      <c r="L376" s="18">
        <f t="shared" si="39"/>
        <v>13.24</v>
      </c>
      <c r="M376" s="18">
        <f t="shared" si="40"/>
        <v>0</v>
      </c>
      <c r="N376" s="15">
        <f t="shared" si="41"/>
        <v>14.72</v>
      </c>
      <c r="O376" s="15">
        <f>+N376-P376</f>
        <v>14.72</v>
      </c>
      <c r="P376" s="15">
        <f>+IF(N376&gt;D376,N376-D376,0)</f>
        <v>0</v>
      </c>
      <c r="Q376" s="5">
        <f>+IF(P376=0,P376,P376/N376)</f>
        <v>0</v>
      </c>
    </row>
    <row r="377" spans="1:17" x14ac:dyDescent="0.25">
      <c r="A377" s="7">
        <v>46250.625</v>
      </c>
      <c r="B377" s="6">
        <v>2019.15</v>
      </c>
      <c r="C377" s="13">
        <v>62.4</v>
      </c>
      <c r="D377" s="18">
        <f>+B377+C377</f>
        <v>2081.5500000000002</v>
      </c>
      <c r="E377" s="14">
        <v>0</v>
      </c>
      <c r="F377" s="18">
        <f t="shared" si="35"/>
        <v>0</v>
      </c>
      <c r="G377" s="18">
        <f t="shared" si="36"/>
        <v>0</v>
      </c>
      <c r="H377" s="14">
        <v>7</v>
      </c>
      <c r="I377" s="18">
        <f t="shared" si="37"/>
        <v>7</v>
      </c>
      <c r="J377" s="18">
        <f t="shared" si="38"/>
        <v>0</v>
      </c>
      <c r="K377" s="14">
        <v>1.96</v>
      </c>
      <c r="L377" s="18">
        <f t="shared" si="39"/>
        <v>1.96</v>
      </c>
      <c r="M377" s="18">
        <f t="shared" si="40"/>
        <v>0</v>
      </c>
      <c r="N377" s="15">
        <f t="shared" si="41"/>
        <v>8.9600000000000009</v>
      </c>
      <c r="O377" s="15">
        <f>+N377-P377</f>
        <v>8.9600000000000009</v>
      </c>
      <c r="P377" s="15">
        <f>+IF(N377&gt;D377,N377-D377,0)</f>
        <v>0</v>
      </c>
      <c r="Q377" s="5">
        <f>+IF(P377=0,P377,P377/N377)</f>
        <v>0</v>
      </c>
    </row>
    <row r="378" spans="1:17" x14ac:dyDescent="0.25">
      <c r="A378" s="7">
        <v>46250.666666666664</v>
      </c>
      <c r="B378" s="6">
        <v>1697.85</v>
      </c>
      <c r="C378" s="13">
        <v>40.32</v>
      </c>
      <c r="D378" s="18">
        <f>+B378+C378</f>
        <v>1738.1699999999998</v>
      </c>
      <c r="E378" s="14">
        <v>0</v>
      </c>
      <c r="F378" s="18">
        <f t="shared" si="35"/>
        <v>0</v>
      </c>
      <c r="G378" s="18">
        <f t="shared" si="36"/>
        <v>0</v>
      </c>
      <c r="H378" s="14">
        <v>5.32</v>
      </c>
      <c r="I378" s="18">
        <f t="shared" si="37"/>
        <v>5.32</v>
      </c>
      <c r="J378" s="18">
        <f t="shared" si="38"/>
        <v>0</v>
      </c>
      <c r="K378" s="14">
        <v>2.0799999999999996</v>
      </c>
      <c r="L378" s="18">
        <f t="shared" si="39"/>
        <v>2.0799999999999996</v>
      </c>
      <c r="M378" s="18">
        <f t="shared" si="40"/>
        <v>0</v>
      </c>
      <c r="N378" s="15">
        <f t="shared" si="41"/>
        <v>7.4</v>
      </c>
      <c r="O378" s="15">
        <f>+N378-P378</f>
        <v>7.4</v>
      </c>
      <c r="P378" s="15">
        <f>+IF(N378&gt;D378,N378-D378,0)</f>
        <v>0</v>
      </c>
      <c r="Q378" s="5">
        <f>+IF(P378=0,P378,P378/N378)</f>
        <v>0</v>
      </c>
    </row>
    <row r="379" spans="1:17" x14ac:dyDescent="0.25">
      <c r="A379" s="7">
        <v>46250.708333333336</v>
      </c>
      <c r="B379" s="6">
        <v>882</v>
      </c>
      <c r="C379" s="13">
        <v>13.32</v>
      </c>
      <c r="D379" s="18">
        <f>+B379+C379</f>
        <v>895.32</v>
      </c>
      <c r="E379" s="14">
        <v>0</v>
      </c>
      <c r="F379" s="18">
        <f t="shared" si="35"/>
        <v>0</v>
      </c>
      <c r="G379" s="18">
        <f t="shared" si="36"/>
        <v>0</v>
      </c>
      <c r="H379" s="14">
        <v>8.08</v>
      </c>
      <c r="I379" s="18">
        <f t="shared" si="37"/>
        <v>8.08</v>
      </c>
      <c r="J379" s="18">
        <f t="shared" si="38"/>
        <v>0</v>
      </c>
      <c r="K379" s="14">
        <v>1.84</v>
      </c>
      <c r="L379" s="18">
        <f t="shared" si="39"/>
        <v>1.84</v>
      </c>
      <c r="M379" s="18">
        <f t="shared" si="40"/>
        <v>0</v>
      </c>
      <c r="N379" s="15">
        <f t="shared" si="41"/>
        <v>9.92</v>
      </c>
      <c r="O379" s="15">
        <f>+N379-P379</f>
        <v>9.92</v>
      </c>
      <c r="P379" s="15">
        <f>+IF(N379&gt;D379,N379-D379,0)</f>
        <v>0</v>
      </c>
      <c r="Q379" s="5">
        <f>+IF(P379=0,P379,P379/N379)</f>
        <v>0</v>
      </c>
    </row>
    <row r="380" spans="1:17" x14ac:dyDescent="0.25">
      <c r="A380" s="7">
        <v>46250.75</v>
      </c>
      <c r="B380" s="6">
        <v>252</v>
      </c>
      <c r="C380" s="13">
        <v>0.6</v>
      </c>
      <c r="D380" s="18">
        <f>+B380+C380</f>
        <v>252.6</v>
      </c>
      <c r="E380" s="14">
        <v>0</v>
      </c>
      <c r="F380" s="18">
        <f t="shared" si="35"/>
        <v>0</v>
      </c>
      <c r="G380" s="18">
        <f t="shared" si="36"/>
        <v>0</v>
      </c>
      <c r="H380" s="14">
        <v>30.759999999999998</v>
      </c>
      <c r="I380" s="18">
        <f t="shared" si="37"/>
        <v>30.759999999999998</v>
      </c>
      <c r="J380" s="18">
        <f t="shared" si="38"/>
        <v>0</v>
      </c>
      <c r="K380" s="14">
        <v>1.84</v>
      </c>
      <c r="L380" s="18">
        <f t="shared" si="39"/>
        <v>1.84</v>
      </c>
      <c r="M380" s="18">
        <f t="shared" si="40"/>
        <v>0</v>
      </c>
      <c r="N380" s="15">
        <f t="shared" si="41"/>
        <v>32.6</v>
      </c>
      <c r="O380" s="15">
        <f>+N380-P380</f>
        <v>32.6</v>
      </c>
      <c r="P380" s="15">
        <f>+IF(N380&gt;D380,N380-D380,0)</f>
        <v>0</v>
      </c>
      <c r="Q380" s="5">
        <f>+IF(P380=0,P380,P380/N380)</f>
        <v>0</v>
      </c>
    </row>
    <row r="381" spans="1:17" x14ac:dyDescent="0.25">
      <c r="A381" s="7">
        <v>46250.791666666664</v>
      </c>
      <c r="B381" s="6">
        <v>6.3</v>
      </c>
      <c r="C381" s="13">
        <v>0</v>
      </c>
      <c r="D381" s="18">
        <f>+B381+C381</f>
        <v>6.3</v>
      </c>
      <c r="E381" s="14">
        <v>22.048000000000002</v>
      </c>
      <c r="F381" s="18">
        <f t="shared" si="35"/>
        <v>1.8687762350661927</v>
      </c>
      <c r="G381" s="18">
        <f t="shared" si="36"/>
        <v>20.179223764933809</v>
      </c>
      <c r="H381" s="14">
        <v>50.319999999999993</v>
      </c>
      <c r="I381" s="18">
        <f t="shared" si="37"/>
        <v>4.2650952534710953</v>
      </c>
      <c r="J381" s="18">
        <f t="shared" si="38"/>
        <v>46.054904746528898</v>
      </c>
      <c r="K381" s="14">
        <v>1.96</v>
      </c>
      <c r="L381" s="18">
        <f t="shared" si="39"/>
        <v>0.1661285114627058</v>
      </c>
      <c r="M381" s="18">
        <f t="shared" si="40"/>
        <v>1.7938714885372942</v>
      </c>
      <c r="N381" s="15">
        <f t="shared" si="41"/>
        <v>74.327999999999989</v>
      </c>
      <c r="O381" s="15">
        <f>+N381-P381</f>
        <v>6.2999999999999972</v>
      </c>
      <c r="P381" s="15">
        <f>+IF(N381&gt;D381,N381-D381,0)</f>
        <v>68.027999999999992</v>
      </c>
      <c r="Q381" s="5">
        <f>+IF(P381=0,P381,P381/N381)</f>
        <v>0.91524055537617055</v>
      </c>
    </row>
    <row r="382" spans="1:17" x14ac:dyDescent="0.25">
      <c r="A382" s="7">
        <v>46250.833333333336</v>
      </c>
      <c r="B382" s="6">
        <v>0</v>
      </c>
      <c r="C382" s="13">
        <v>0</v>
      </c>
      <c r="D382" s="18">
        <f>+B382+C382</f>
        <v>0</v>
      </c>
      <c r="E382" s="14">
        <v>34.646000000000001</v>
      </c>
      <c r="F382" s="18">
        <f t="shared" si="35"/>
        <v>0</v>
      </c>
      <c r="G382" s="18">
        <f t="shared" si="36"/>
        <v>34.646000000000001</v>
      </c>
      <c r="H382" s="14">
        <v>44.56</v>
      </c>
      <c r="I382" s="18">
        <f t="shared" si="37"/>
        <v>0</v>
      </c>
      <c r="J382" s="18">
        <f t="shared" si="38"/>
        <v>44.56</v>
      </c>
      <c r="K382" s="14">
        <v>3.8800000000000003</v>
      </c>
      <c r="L382" s="18">
        <f t="shared" si="39"/>
        <v>0</v>
      </c>
      <c r="M382" s="18">
        <f t="shared" si="40"/>
        <v>3.8800000000000003</v>
      </c>
      <c r="N382" s="15">
        <f t="shared" si="41"/>
        <v>83.085999999999999</v>
      </c>
      <c r="O382" s="15">
        <f>+N382-P382</f>
        <v>0</v>
      </c>
      <c r="P382" s="15">
        <f>+IF(N382&gt;D382,N382-D382,0)</f>
        <v>83.085999999999999</v>
      </c>
      <c r="Q382" s="5">
        <f>+IF(P382=0,P382,P382/N382)</f>
        <v>1</v>
      </c>
    </row>
    <row r="383" spans="1:17" x14ac:dyDescent="0.25">
      <c r="A383" s="7">
        <v>46250.875</v>
      </c>
      <c r="B383" s="6">
        <v>0</v>
      </c>
      <c r="C383" s="13">
        <v>0</v>
      </c>
      <c r="D383" s="18">
        <f>+B383+C383</f>
        <v>0</v>
      </c>
      <c r="E383" s="14">
        <v>31.496999999999996</v>
      </c>
      <c r="F383" s="18">
        <f t="shared" si="35"/>
        <v>0</v>
      </c>
      <c r="G383" s="18">
        <f t="shared" si="36"/>
        <v>31.496999999999996</v>
      </c>
      <c r="H383" s="14">
        <v>43.6</v>
      </c>
      <c r="I383" s="18">
        <f t="shared" si="37"/>
        <v>0</v>
      </c>
      <c r="J383" s="18">
        <f t="shared" si="38"/>
        <v>43.6</v>
      </c>
      <c r="K383" s="14">
        <v>2.44</v>
      </c>
      <c r="L383" s="18">
        <f t="shared" si="39"/>
        <v>0</v>
      </c>
      <c r="M383" s="18">
        <f t="shared" si="40"/>
        <v>2.44</v>
      </c>
      <c r="N383" s="15">
        <f t="shared" si="41"/>
        <v>77.536999999999992</v>
      </c>
      <c r="O383" s="15">
        <f>+N383-P383</f>
        <v>0</v>
      </c>
      <c r="P383" s="15">
        <f>+IF(N383&gt;D383,N383-D383,0)</f>
        <v>77.536999999999992</v>
      </c>
      <c r="Q383" s="5">
        <f>+IF(P383=0,P383,P383/N383)</f>
        <v>1</v>
      </c>
    </row>
    <row r="384" spans="1:17" x14ac:dyDescent="0.25">
      <c r="A384" s="7">
        <v>46250.916666666664</v>
      </c>
      <c r="B384" s="6">
        <v>0</v>
      </c>
      <c r="C384" s="13">
        <v>0</v>
      </c>
      <c r="D384" s="18">
        <f>+B384+C384</f>
        <v>0</v>
      </c>
      <c r="E384" s="14">
        <v>31.501000000000001</v>
      </c>
      <c r="F384" s="18">
        <f t="shared" si="35"/>
        <v>0</v>
      </c>
      <c r="G384" s="18">
        <f t="shared" si="36"/>
        <v>31.501000000000001</v>
      </c>
      <c r="H384" s="14">
        <v>41.8</v>
      </c>
      <c r="I384" s="18">
        <f t="shared" si="37"/>
        <v>0</v>
      </c>
      <c r="J384" s="18">
        <f t="shared" si="38"/>
        <v>41.8</v>
      </c>
      <c r="K384" s="14">
        <v>2.2000000000000002</v>
      </c>
      <c r="L384" s="18">
        <f t="shared" si="39"/>
        <v>0</v>
      </c>
      <c r="M384" s="18">
        <f t="shared" si="40"/>
        <v>2.2000000000000002</v>
      </c>
      <c r="N384" s="15">
        <f t="shared" si="41"/>
        <v>75.501000000000005</v>
      </c>
      <c r="O384" s="15">
        <f>+N384-P384</f>
        <v>0</v>
      </c>
      <c r="P384" s="15">
        <f>+IF(N384&gt;D384,N384-D384,0)</f>
        <v>75.501000000000005</v>
      </c>
      <c r="Q384" s="5">
        <f>+IF(P384=0,P384,P384/N384)</f>
        <v>1</v>
      </c>
    </row>
    <row r="385" spans="1:17" x14ac:dyDescent="0.25">
      <c r="A385" s="7">
        <v>46250.958333333336</v>
      </c>
      <c r="B385" s="6">
        <v>0</v>
      </c>
      <c r="C385" s="13">
        <v>0</v>
      </c>
      <c r="D385" s="18">
        <f>+B385+C385</f>
        <v>0</v>
      </c>
      <c r="E385" s="14">
        <v>34.651000000000003</v>
      </c>
      <c r="F385" s="18">
        <f t="shared" si="35"/>
        <v>0</v>
      </c>
      <c r="G385" s="18">
        <f t="shared" si="36"/>
        <v>34.651000000000003</v>
      </c>
      <c r="H385" s="14">
        <v>44.08</v>
      </c>
      <c r="I385" s="18">
        <f t="shared" si="37"/>
        <v>0</v>
      </c>
      <c r="J385" s="18">
        <f t="shared" si="38"/>
        <v>44.08</v>
      </c>
      <c r="K385" s="14">
        <v>2.44</v>
      </c>
      <c r="L385" s="18">
        <f t="shared" si="39"/>
        <v>0</v>
      </c>
      <c r="M385" s="18">
        <f t="shared" si="40"/>
        <v>2.44</v>
      </c>
      <c r="N385" s="15">
        <f t="shared" si="41"/>
        <v>81.170999999999992</v>
      </c>
      <c r="O385" s="15">
        <f>+N385-P385</f>
        <v>0</v>
      </c>
      <c r="P385" s="15">
        <f>+IF(N385&gt;D385,N385-D385,0)</f>
        <v>81.170999999999992</v>
      </c>
      <c r="Q385" s="5">
        <f>+IF(P385=0,P385,P385/N385)</f>
        <v>1</v>
      </c>
    </row>
    <row r="386" spans="1:17" x14ac:dyDescent="0.25">
      <c r="A386" s="7">
        <v>46251</v>
      </c>
      <c r="B386" s="6">
        <v>0</v>
      </c>
      <c r="C386" s="13">
        <v>0</v>
      </c>
      <c r="D386" s="18">
        <f>+B386+C386</f>
        <v>0</v>
      </c>
      <c r="E386" s="14">
        <v>31.501000000000001</v>
      </c>
      <c r="F386" s="18">
        <f t="shared" si="35"/>
        <v>0</v>
      </c>
      <c r="G386" s="18">
        <f t="shared" si="36"/>
        <v>31.501000000000001</v>
      </c>
      <c r="H386" s="14">
        <v>43.6</v>
      </c>
      <c r="I386" s="18">
        <f t="shared" si="37"/>
        <v>0</v>
      </c>
      <c r="J386" s="18">
        <f t="shared" si="38"/>
        <v>43.6</v>
      </c>
      <c r="K386" s="14">
        <v>2.3199999999999998</v>
      </c>
      <c r="L386" s="18">
        <f t="shared" si="39"/>
        <v>0</v>
      </c>
      <c r="M386" s="18">
        <f t="shared" si="40"/>
        <v>2.3199999999999998</v>
      </c>
      <c r="N386" s="15">
        <f t="shared" si="41"/>
        <v>77.420999999999992</v>
      </c>
      <c r="O386" s="15">
        <f>+N386-P386</f>
        <v>0</v>
      </c>
      <c r="P386" s="15">
        <f>+IF(N386&gt;D386,N386-D386,0)</f>
        <v>77.420999999999992</v>
      </c>
      <c r="Q386" s="5">
        <f>+IF(P386=0,P386,P386/N386)</f>
        <v>1</v>
      </c>
    </row>
    <row r="387" spans="1:17" x14ac:dyDescent="0.25">
      <c r="A387" s="7">
        <v>46251.041666666664</v>
      </c>
      <c r="B387" s="6">
        <v>0</v>
      </c>
      <c r="C387" s="13">
        <v>0</v>
      </c>
      <c r="D387" s="18">
        <f>+B387+C387</f>
        <v>0</v>
      </c>
      <c r="E387" s="14">
        <v>31.501000000000001</v>
      </c>
      <c r="F387" s="18">
        <f t="shared" ref="F387:F450" si="42">+E387-G387</f>
        <v>0</v>
      </c>
      <c r="G387" s="18">
        <f t="shared" ref="G387:G450" si="43">+E387*Q387</f>
        <v>31.501000000000001</v>
      </c>
      <c r="H387" s="14">
        <v>41.92</v>
      </c>
      <c r="I387" s="18">
        <f t="shared" ref="I387:I450" si="44">+H387-J387</f>
        <v>0</v>
      </c>
      <c r="J387" s="18">
        <f t="shared" ref="J387:J450" si="45">+H387*Q387</f>
        <v>41.92</v>
      </c>
      <c r="K387" s="14">
        <v>2.3199999999999998</v>
      </c>
      <c r="L387" s="18">
        <f t="shared" ref="L387:L450" si="46">+K387-M387</f>
        <v>0</v>
      </c>
      <c r="M387" s="18">
        <f t="shared" ref="M387:M450" si="47">+K387*Q387</f>
        <v>2.3199999999999998</v>
      </c>
      <c r="N387" s="15">
        <f t="shared" ref="N387:N450" si="48">+E387+H387+K387</f>
        <v>75.741</v>
      </c>
      <c r="O387" s="15">
        <f>+N387-P387</f>
        <v>0</v>
      </c>
      <c r="P387" s="15">
        <f>+IF(N387&gt;D387,N387-D387,0)</f>
        <v>75.741</v>
      </c>
      <c r="Q387" s="5">
        <f>+IF(P387=0,P387,P387/N387)</f>
        <v>1</v>
      </c>
    </row>
    <row r="388" spans="1:17" x14ac:dyDescent="0.25">
      <c r="A388" s="7">
        <v>46251.083333333336</v>
      </c>
      <c r="B388" s="6">
        <v>0</v>
      </c>
      <c r="C388" s="13">
        <v>0</v>
      </c>
      <c r="D388" s="18">
        <f>+B388+C388</f>
        <v>0</v>
      </c>
      <c r="E388" s="14">
        <v>31.501000000000001</v>
      </c>
      <c r="F388" s="18">
        <f t="shared" si="42"/>
        <v>0</v>
      </c>
      <c r="G388" s="18">
        <f t="shared" si="43"/>
        <v>31.501000000000001</v>
      </c>
      <c r="H388" s="14">
        <v>45.16</v>
      </c>
      <c r="I388" s="18">
        <f t="shared" si="44"/>
        <v>0</v>
      </c>
      <c r="J388" s="18">
        <f t="shared" si="45"/>
        <v>45.16</v>
      </c>
      <c r="K388" s="14">
        <v>3.64</v>
      </c>
      <c r="L388" s="18">
        <f t="shared" si="46"/>
        <v>0</v>
      </c>
      <c r="M388" s="18">
        <f t="shared" si="47"/>
        <v>3.64</v>
      </c>
      <c r="N388" s="15">
        <f t="shared" si="48"/>
        <v>80.301000000000002</v>
      </c>
      <c r="O388" s="15">
        <f>+N388-P388</f>
        <v>0</v>
      </c>
      <c r="P388" s="15">
        <f>+IF(N388&gt;D388,N388-D388,0)</f>
        <v>80.301000000000002</v>
      </c>
      <c r="Q388" s="5">
        <f>+IF(P388=0,P388,P388/N388)</f>
        <v>1</v>
      </c>
    </row>
    <row r="389" spans="1:17" x14ac:dyDescent="0.25">
      <c r="A389" s="7">
        <v>46251.125</v>
      </c>
      <c r="B389" s="6">
        <v>0</v>
      </c>
      <c r="C389" s="13">
        <v>0</v>
      </c>
      <c r="D389" s="18">
        <f>+B389+C389</f>
        <v>0</v>
      </c>
      <c r="E389" s="14">
        <v>31.501000000000001</v>
      </c>
      <c r="F389" s="18">
        <f t="shared" si="42"/>
        <v>0</v>
      </c>
      <c r="G389" s="18">
        <f t="shared" si="43"/>
        <v>31.501000000000001</v>
      </c>
      <c r="H389" s="14">
        <v>44.92</v>
      </c>
      <c r="I389" s="18">
        <f t="shared" si="44"/>
        <v>0</v>
      </c>
      <c r="J389" s="18">
        <f t="shared" si="45"/>
        <v>44.92</v>
      </c>
      <c r="K389" s="14">
        <v>2.2000000000000002</v>
      </c>
      <c r="L389" s="18">
        <f t="shared" si="46"/>
        <v>0</v>
      </c>
      <c r="M389" s="18">
        <f t="shared" si="47"/>
        <v>2.2000000000000002</v>
      </c>
      <c r="N389" s="15">
        <f t="shared" si="48"/>
        <v>78.621000000000009</v>
      </c>
      <c r="O389" s="15">
        <f>+N389-P389</f>
        <v>0</v>
      </c>
      <c r="P389" s="15">
        <f>+IF(N389&gt;D389,N389-D389,0)</f>
        <v>78.621000000000009</v>
      </c>
      <c r="Q389" s="5">
        <f>+IF(P389=0,P389,P389/N389)</f>
        <v>1</v>
      </c>
    </row>
    <row r="390" spans="1:17" x14ac:dyDescent="0.25">
      <c r="A390" s="7">
        <v>46251.166666666664</v>
      </c>
      <c r="B390" s="6">
        <v>0</v>
      </c>
      <c r="C390" s="13">
        <v>0</v>
      </c>
      <c r="D390" s="18">
        <f>+B390+C390</f>
        <v>0</v>
      </c>
      <c r="E390" s="14">
        <v>31.501000000000001</v>
      </c>
      <c r="F390" s="18">
        <f t="shared" si="42"/>
        <v>0</v>
      </c>
      <c r="G390" s="18">
        <f t="shared" si="43"/>
        <v>31.501000000000001</v>
      </c>
      <c r="H390" s="14">
        <v>41.92</v>
      </c>
      <c r="I390" s="18">
        <f t="shared" si="44"/>
        <v>0</v>
      </c>
      <c r="J390" s="18">
        <f t="shared" si="45"/>
        <v>41.92</v>
      </c>
      <c r="K390" s="14">
        <v>2.44</v>
      </c>
      <c r="L390" s="18">
        <f t="shared" si="46"/>
        <v>0</v>
      </c>
      <c r="M390" s="18">
        <f t="shared" si="47"/>
        <v>2.44</v>
      </c>
      <c r="N390" s="15">
        <f t="shared" si="48"/>
        <v>75.861000000000004</v>
      </c>
      <c r="O390" s="15">
        <f>+N390-P390</f>
        <v>0</v>
      </c>
      <c r="P390" s="15">
        <f>+IF(N390&gt;D390,N390-D390,0)</f>
        <v>75.861000000000004</v>
      </c>
      <c r="Q390" s="5">
        <f>+IF(P390=0,P390,P390/N390)</f>
        <v>1</v>
      </c>
    </row>
    <row r="391" spans="1:17" x14ac:dyDescent="0.25">
      <c r="A391" s="7">
        <v>46251.208333333336</v>
      </c>
      <c r="B391" s="6">
        <v>0</v>
      </c>
      <c r="C391" s="13">
        <v>0</v>
      </c>
      <c r="D391" s="18">
        <f>+B391+C391</f>
        <v>0</v>
      </c>
      <c r="E391" s="14">
        <v>34.651000000000003</v>
      </c>
      <c r="F391" s="18">
        <f t="shared" si="42"/>
        <v>0</v>
      </c>
      <c r="G391" s="18">
        <f t="shared" si="43"/>
        <v>34.651000000000003</v>
      </c>
      <c r="H391" s="14">
        <v>48.4</v>
      </c>
      <c r="I391" s="18">
        <f t="shared" si="44"/>
        <v>0</v>
      </c>
      <c r="J391" s="18">
        <f t="shared" si="45"/>
        <v>48.4</v>
      </c>
      <c r="K391" s="14">
        <v>3.04</v>
      </c>
      <c r="L391" s="18">
        <f t="shared" si="46"/>
        <v>0</v>
      </c>
      <c r="M391" s="18">
        <f t="shared" si="47"/>
        <v>3.04</v>
      </c>
      <c r="N391" s="15">
        <f t="shared" si="48"/>
        <v>86.091000000000008</v>
      </c>
      <c r="O391" s="15">
        <f>+N391-P391</f>
        <v>0</v>
      </c>
      <c r="P391" s="15">
        <f>+IF(N391&gt;D391,N391-D391,0)</f>
        <v>86.091000000000008</v>
      </c>
      <c r="Q391" s="5">
        <f>+IF(P391=0,P391,P391/N391)</f>
        <v>1</v>
      </c>
    </row>
    <row r="392" spans="1:17" x14ac:dyDescent="0.25">
      <c r="A392" s="7">
        <v>46251.25</v>
      </c>
      <c r="B392" s="6">
        <v>56.7</v>
      </c>
      <c r="C392" s="13">
        <v>0</v>
      </c>
      <c r="D392" s="18">
        <f>+B392+C392</f>
        <v>56.7</v>
      </c>
      <c r="E392" s="14">
        <v>3.15</v>
      </c>
      <c r="F392" s="18">
        <f t="shared" si="42"/>
        <v>3.15</v>
      </c>
      <c r="G392" s="18">
        <f t="shared" si="43"/>
        <v>0</v>
      </c>
      <c r="H392" s="14">
        <v>36.64</v>
      </c>
      <c r="I392" s="18">
        <f t="shared" si="44"/>
        <v>36.64</v>
      </c>
      <c r="J392" s="18">
        <f t="shared" si="45"/>
        <v>0</v>
      </c>
      <c r="K392" s="14">
        <v>2.56</v>
      </c>
      <c r="L392" s="18">
        <f t="shared" si="46"/>
        <v>2.56</v>
      </c>
      <c r="M392" s="18">
        <f t="shared" si="47"/>
        <v>0</v>
      </c>
      <c r="N392" s="15">
        <f t="shared" si="48"/>
        <v>42.35</v>
      </c>
      <c r="O392" s="15">
        <f>+N392-P392</f>
        <v>42.35</v>
      </c>
      <c r="P392" s="15">
        <f>+IF(N392&gt;D392,N392-D392,0)</f>
        <v>0</v>
      </c>
      <c r="Q392" s="5">
        <f>+IF(P392=0,P392,P392/N392)</f>
        <v>0</v>
      </c>
    </row>
    <row r="393" spans="1:17" x14ac:dyDescent="0.25">
      <c r="A393" s="7">
        <v>46251.291666666664</v>
      </c>
      <c r="B393" s="6">
        <v>513.45000000000005</v>
      </c>
      <c r="C393" s="13">
        <v>0.48</v>
      </c>
      <c r="D393" s="18">
        <f>+B393+C393</f>
        <v>513.93000000000006</v>
      </c>
      <c r="E393" s="14">
        <v>0</v>
      </c>
      <c r="F393" s="18">
        <f t="shared" si="42"/>
        <v>0</v>
      </c>
      <c r="G393" s="18">
        <f t="shared" si="43"/>
        <v>0</v>
      </c>
      <c r="H393" s="14">
        <v>39.64</v>
      </c>
      <c r="I393" s="18">
        <f t="shared" si="44"/>
        <v>39.64</v>
      </c>
      <c r="J393" s="18">
        <f t="shared" si="45"/>
        <v>0</v>
      </c>
      <c r="K393" s="14">
        <v>2.0799999999999996</v>
      </c>
      <c r="L393" s="18">
        <f t="shared" si="46"/>
        <v>2.0799999999999996</v>
      </c>
      <c r="M393" s="18">
        <f t="shared" si="47"/>
        <v>0</v>
      </c>
      <c r="N393" s="15">
        <f t="shared" si="48"/>
        <v>41.72</v>
      </c>
      <c r="O393" s="15">
        <f>+N393-P393</f>
        <v>41.72</v>
      </c>
      <c r="P393" s="15">
        <f>+IF(N393&gt;D393,N393-D393,0)</f>
        <v>0</v>
      </c>
      <c r="Q393" s="5">
        <f>+IF(P393=0,P393,P393/N393)</f>
        <v>0</v>
      </c>
    </row>
    <row r="394" spans="1:17" x14ac:dyDescent="0.25">
      <c r="A394" s="7">
        <v>46251.333333333336</v>
      </c>
      <c r="B394" s="6">
        <v>485.1</v>
      </c>
      <c r="C394" s="13">
        <v>0</v>
      </c>
      <c r="D394" s="18">
        <f>+B394+C394</f>
        <v>485.1</v>
      </c>
      <c r="E394" s="14">
        <v>0</v>
      </c>
      <c r="F394" s="18">
        <f t="shared" si="42"/>
        <v>0</v>
      </c>
      <c r="G394" s="18">
        <f t="shared" si="43"/>
        <v>0</v>
      </c>
      <c r="H394" s="14">
        <v>143.68</v>
      </c>
      <c r="I394" s="18">
        <f t="shared" si="44"/>
        <v>143.68</v>
      </c>
      <c r="J394" s="18">
        <f t="shared" si="45"/>
        <v>0</v>
      </c>
      <c r="K394" s="14">
        <v>8.68</v>
      </c>
      <c r="L394" s="18">
        <f t="shared" si="46"/>
        <v>8.68</v>
      </c>
      <c r="M394" s="18">
        <f t="shared" si="47"/>
        <v>0</v>
      </c>
      <c r="N394" s="15">
        <f t="shared" si="48"/>
        <v>152.36000000000001</v>
      </c>
      <c r="O394" s="15">
        <f>+N394-P394</f>
        <v>152.36000000000001</v>
      </c>
      <c r="P394" s="15">
        <f>+IF(N394&gt;D394,N394-D394,0)</f>
        <v>0</v>
      </c>
      <c r="Q394" s="5">
        <f>+IF(P394=0,P394,P394/N394)</f>
        <v>0</v>
      </c>
    </row>
    <row r="395" spans="1:17" x14ac:dyDescent="0.25">
      <c r="A395" s="7">
        <v>46251.375</v>
      </c>
      <c r="B395" s="6">
        <v>970.2</v>
      </c>
      <c r="C395" s="13">
        <v>0</v>
      </c>
      <c r="D395" s="18">
        <f>+B395+C395</f>
        <v>970.2</v>
      </c>
      <c r="E395" s="14">
        <v>0</v>
      </c>
      <c r="F395" s="18">
        <f t="shared" si="42"/>
        <v>0</v>
      </c>
      <c r="G395" s="18">
        <f t="shared" si="43"/>
        <v>0</v>
      </c>
      <c r="H395" s="14">
        <v>110.56</v>
      </c>
      <c r="I395" s="18">
        <f t="shared" si="44"/>
        <v>110.56</v>
      </c>
      <c r="J395" s="18">
        <f t="shared" si="45"/>
        <v>0</v>
      </c>
      <c r="K395" s="14">
        <v>47.68</v>
      </c>
      <c r="L395" s="18">
        <f t="shared" si="46"/>
        <v>47.68</v>
      </c>
      <c r="M395" s="18">
        <f t="shared" si="47"/>
        <v>0</v>
      </c>
      <c r="N395" s="15">
        <f t="shared" si="48"/>
        <v>158.24</v>
      </c>
      <c r="O395" s="15">
        <f>+N395-P395</f>
        <v>158.24</v>
      </c>
      <c r="P395" s="15">
        <f>+IF(N395&gt;D395,N395-D395,0)</f>
        <v>0</v>
      </c>
      <c r="Q395" s="5">
        <f>+IF(P395=0,P395,P395/N395)</f>
        <v>0</v>
      </c>
    </row>
    <row r="396" spans="1:17" x14ac:dyDescent="0.25">
      <c r="A396" s="7">
        <v>46251.416666666664</v>
      </c>
      <c r="B396" s="6">
        <v>1534.05</v>
      </c>
      <c r="C396" s="13">
        <v>0.6</v>
      </c>
      <c r="D396" s="18">
        <f>+B396+C396</f>
        <v>1534.6499999999999</v>
      </c>
      <c r="E396" s="14">
        <v>0</v>
      </c>
      <c r="F396" s="18">
        <f t="shared" si="42"/>
        <v>0</v>
      </c>
      <c r="G396" s="18">
        <f t="shared" si="43"/>
        <v>0</v>
      </c>
      <c r="H396" s="14">
        <v>46.480000000000004</v>
      </c>
      <c r="I396" s="18">
        <f t="shared" si="44"/>
        <v>46.480000000000004</v>
      </c>
      <c r="J396" s="18">
        <f t="shared" si="45"/>
        <v>0</v>
      </c>
      <c r="K396" s="14">
        <v>15.520000000000001</v>
      </c>
      <c r="L396" s="18">
        <f t="shared" si="46"/>
        <v>15.520000000000001</v>
      </c>
      <c r="M396" s="18">
        <f t="shared" si="47"/>
        <v>0</v>
      </c>
      <c r="N396" s="15">
        <f t="shared" si="48"/>
        <v>62.000000000000007</v>
      </c>
      <c r="O396" s="15">
        <f>+N396-P396</f>
        <v>62.000000000000007</v>
      </c>
      <c r="P396" s="15">
        <f>+IF(N396&gt;D396,N396-D396,0)</f>
        <v>0</v>
      </c>
      <c r="Q396" s="5">
        <f>+IF(P396=0,P396,P396/N396)</f>
        <v>0</v>
      </c>
    </row>
    <row r="397" spans="1:17" x14ac:dyDescent="0.25">
      <c r="A397" s="7">
        <v>46251.458333333336</v>
      </c>
      <c r="B397" s="6">
        <v>1852.2</v>
      </c>
      <c r="C397" s="13">
        <v>9.7200000000000006</v>
      </c>
      <c r="D397" s="18">
        <f>+B397+C397</f>
        <v>1861.92</v>
      </c>
      <c r="E397" s="14">
        <v>0</v>
      </c>
      <c r="F397" s="18">
        <f t="shared" si="42"/>
        <v>0</v>
      </c>
      <c r="G397" s="18">
        <f t="shared" si="43"/>
        <v>0</v>
      </c>
      <c r="H397" s="14">
        <v>34.119999999999997</v>
      </c>
      <c r="I397" s="18">
        <f t="shared" si="44"/>
        <v>34.119999999999997</v>
      </c>
      <c r="J397" s="18">
        <f t="shared" si="45"/>
        <v>0</v>
      </c>
      <c r="K397" s="14">
        <v>21.52</v>
      </c>
      <c r="L397" s="18">
        <f t="shared" si="46"/>
        <v>21.52</v>
      </c>
      <c r="M397" s="18">
        <f t="shared" si="47"/>
        <v>0</v>
      </c>
      <c r="N397" s="15">
        <f t="shared" si="48"/>
        <v>55.64</v>
      </c>
      <c r="O397" s="15">
        <f>+N397-P397</f>
        <v>55.64</v>
      </c>
      <c r="P397" s="15">
        <f>+IF(N397&gt;D397,N397-D397,0)</f>
        <v>0</v>
      </c>
      <c r="Q397" s="5">
        <f>+IF(P397=0,P397,P397/N397)</f>
        <v>0</v>
      </c>
    </row>
    <row r="398" spans="1:17" x14ac:dyDescent="0.25">
      <c r="A398" s="7">
        <v>46251.5</v>
      </c>
      <c r="B398" s="6">
        <v>2416.0500000000002</v>
      </c>
      <c r="C398" s="13">
        <v>18.84</v>
      </c>
      <c r="D398" s="18">
        <f>+B398+C398</f>
        <v>2434.8900000000003</v>
      </c>
      <c r="E398" s="14">
        <v>0</v>
      </c>
      <c r="F398" s="18">
        <f t="shared" si="42"/>
        <v>0</v>
      </c>
      <c r="G398" s="18">
        <f t="shared" si="43"/>
        <v>0</v>
      </c>
      <c r="H398" s="14">
        <v>13.6</v>
      </c>
      <c r="I398" s="18">
        <f t="shared" si="44"/>
        <v>13.6</v>
      </c>
      <c r="J398" s="18">
        <f t="shared" si="45"/>
        <v>0</v>
      </c>
      <c r="K398" s="14">
        <v>32.800000000000004</v>
      </c>
      <c r="L398" s="18">
        <f t="shared" si="46"/>
        <v>32.800000000000004</v>
      </c>
      <c r="M398" s="18">
        <f t="shared" si="47"/>
        <v>0</v>
      </c>
      <c r="N398" s="15">
        <f t="shared" si="48"/>
        <v>46.400000000000006</v>
      </c>
      <c r="O398" s="15">
        <f>+N398-P398</f>
        <v>46.400000000000006</v>
      </c>
      <c r="P398" s="15">
        <f>+IF(N398&gt;D398,N398-D398,0)</f>
        <v>0</v>
      </c>
      <c r="Q398" s="5">
        <f>+IF(P398=0,P398,P398/N398)</f>
        <v>0</v>
      </c>
    </row>
    <row r="399" spans="1:17" x14ac:dyDescent="0.25">
      <c r="A399" s="7">
        <v>46251.541666666664</v>
      </c>
      <c r="B399" s="6">
        <v>2337.3000000000002</v>
      </c>
      <c r="C399" s="13">
        <v>12.36</v>
      </c>
      <c r="D399" s="18">
        <f>+B399+C399</f>
        <v>2349.6600000000003</v>
      </c>
      <c r="E399" s="14">
        <v>0</v>
      </c>
      <c r="F399" s="18">
        <f t="shared" si="42"/>
        <v>0</v>
      </c>
      <c r="G399" s="18">
        <f t="shared" si="43"/>
        <v>0</v>
      </c>
      <c r="H399" s="14">
        <v>23.2</v>
      </c>
      <c r="I399" s="18">
        <f t="shared" si="44"/>
        <v>23.2</v>
      </c>
      <c r="J399" s="18">
        <f t="shared" si="45"/>
        <v>0</v>
      </c>
      <c r="K399" s="14">
        <v>42.160000000000004</v>
      </c>
      <c r="L399" s="18">
        <f t="shared" si="46"/>
        <v>42.160000000000004</v>
      </c>
      <c r="M399" s="18">
        <f t="shared" si="47"/>
        <v>0</v>
      </c>
      <c r="N399" s="15">
        <f t="shared" si="48"/>
        <v>65.36</v>
      </c>
      <c r="O399" s="15">
        <f>+N399-P399</f>
        <v>65.36</v>
      </c>
      <c r="P399" s="15">
        <f>+IF(N399&gt;D399,N399-D399,0)</f>
        <v>0</v>
      </c>
      <c r="Q399" s="5">
        <f>+IF(P399=0,P399,P399/N399)</f>
        <v>0</v>
      </c>
    </row>
    <row r="400" spans="1:17" x14ac:dyDescent="0.25">
      <c r="A400" s="7">
        <v>46251.583333333336</v>
      </c>
      <c r="B400" s="6">
        <v>355.95</v>
      </c>
      <c r="C400" s="13">
        <v>0</v>
      </c>
      <c r="D400" s="18">
        <f>+B400+C400</f>
        <v>355.95</v>
      </c>
      <c r="E400" s="14">
        <v>163.80000000000001</v>
      </c>
      <c r="F400" s="18">
        <f t="shared" si="42"/>
        <v>163.80000000000001</v>
      </c>
      <c r="G400" s="18">
        <f t="shared" si="43"/>
        <v>0</v>
      </c>
      <c r="H400" s="14">
        <v>131.32</v>
      </c>
      <c r="I400" s="18">
        <f t="shared" si="44"/>
        <v>131.32</v>
      </c>
      <c r="J400" s="18">
        <f t="shared" si="45"/>
        <v>0</v>
      </c>
      <c r="K400" s="14">
        <v>33.4</v>
      </c>
      <c r="L400" s="18">
        <f t="shared" si="46"/>
        <v>33.4</v>
      </c>
      <c r="M400" s="18">
        <f t="shared" si="47"/>
        <v>0</v>
      </c>
      <c r="N400" s="15">
        <f t="shared" si="48"/>
        <v>328.52</v>
      </c>
      <c r="O400" s="15">
        <f>+N400-P400</f>
        <v>328.52</v>
      </c>
      <c r="P400" s="15">
        <f>+IF(N400&gt;D400,N400-D400,0)</f>
        <v>0</v>
      </c>
      <c r="Q400" s="5">
        <f>+IF(P400=0,P400,P400/N400)</f>
        <v>0</v>
      </c>
    </row>
    <row r="401" spans="1:17" x14ac:dyDescent="0.25">
      <c r="A401" s="7">
        <v>46251.625</v>
      </c>
      <c r="B401" s="6">
        <v>0</v>
      </c>
      <c r="C401" s="13">
        <v>0</v>
      </c>
      <c r="D401" s="18">
        <f>+B401+C401</f>
        <v>0</v>
      </c>
      <c r="E401" s="14">
        <v>478.8</v>
      </c>
      <c r="F401" s="18">
        <f t="shared" si="42"/>
        <v>0</v>
      </c>
      <c r="G401" s="18">
        <f t="shared" si="43"/>
        <v>478.8</v>
      </c>
      <c r="H401" s="14">
        <v>170.2</v>
      </c>
      <c r="I401" s="18">
        <f t="shared" si="44"/>
        <v>0</v>
      </c>
      <c r="J401" s="18">
        <f t="shared" si="45"/>
        <v>170.2</v>
      </c>
      <c r="K401" s="14">
        <v>48.28</v>
      </c>
      <c r="L401" s="18">
        <f t="shared" si="46"/>
        <v>0</v>
      </c>
      <c r="M401" s="18">
        <f t="shared" si="47"/>
        <v>48.28</v>
      </c>
      <c r="N401" s="15">
        <f t="shared" si="48"/>
        <v>697.28</v>
      </c>
      <c r="O401" s="15">
        <f>+N401-P401</f>
        <v>0</v>
      </c>
      <c r="P401" s="15">
        <f>+IF(N401&gt;D401,N401-D401,0)</f>
        <v>697.28</v>
      </c>
      <c r="Q401" s="5">
        <f>+IF(P401=0,P401,P401/N401)</f>
        <v>1</v>
      </c>
    </row>
    <row r="402" spans="1:17" x14ac:dyDescent="0.25">
      <c r="A402" s="7">
        <v>46251.666666666664</v>
      </c>
      <c r="B402" s="6">
        <v>0</v>
      </c>
      <c r="C402" s="13">
        <v>0</v>
      </c>
      <c r="D402" s="18">
        <f>+B402+C402</f>
        <v>0</v>
      </c>
      <c r="E402" s="14">
        <v>1045.8</v>
      </c>
      <c r="F402" s="18">
        <f t="shared" si="42"/>
        <v>0</v>
      </c>
      <c r="G402" s="18">
        <f t="shared" si="43"/>
        <v>1045.8</v>
      </c>
      <c r="H402" s="14">
        <v>197.8</v>
      </c>
      <c r="I402" s="18">
        <f t="shared" si="44"/>
        <v>0</v>
      </c>
      <c r="J402" s="18">
        <f t="shared" si="45"/>
        <v>197.8</v>
      </c>
      <c r="K402" s="14">
        <v>25.72</v>
      </c>
      <c r="L402" s="18">
        <f t="shared" si="46"/>
        <v>0</v>
      </c>
      <c r="M402" s="18">
        <f t="shared" si="47"/>
        <v>25.72</v>
      </c>
      <c r="N402" s="15">
        <f t="shared" si="48"/>
        <v>1269.32</v>
      </c>
      <c r="O402" s="15">
        <f>+N402-P402</f>
        <v>0</v>
      </c>
      <c r="P402" s="15">
        <f>+IF(N402&gt;D402,N402-D402,0)</f>
        <v>1269.32</v>
      </c>
      <c r="Q402" s="5">
        <f>+IF(P402=0,P402,P402/N402)</f>
        <v>1</v>
      </c>
    </row>
    <row r="403" spans="1:17" x14ac:dyDescent="0.25">
      <c r="A403" s="7">
        <v>46251.708333333336</v>
      </c>
      <c r="B403" s="6">
        <v>0</v>
      </c>
      <c r="C403" s="13">
        <v>0</v>
      </c>
      <c r="D403" s="18">
        <f>+B403+C403</f>
        <v>0</v>
      </c>
      <c r="E403" s="14">
        <v>554.34</v>
      </c>
      <c r="F403" s="18">
        <f t="shared" si="42"/>
        <v>0</v>
      </c>
      <c r="G403" s="18">
        <f t="shared" si="43"/>
        <v>554.34</v>
      </c>
      <c r="H403" s="14">
        <v>116.8</v>
      </c>
      <c r="I403" s="18">
        <f t="shared" si="44"/>
        <v>0</v>
      </c>
      <c r="J403" s="18">
        <f t="shared" si="45"/>
        <v>116.8</v>
      </c>
      <c r="K403" s="14">
        <v>20.2</v>
      </c>
      <c r="L403" s="18">
        <f t="shared" si="46"/>
        <v>0</v>
      </c>
      <c r="M403" s="18">
        <f t="shared" si="47"/>
        <v>20.2</v>
      </c>
      <c r="N403" s="15">
        <f t="shared" si="48"/>
        <v>691.34</v>
      </c>
      <c r="O403" s="15">
        <f>+N403-P403</f>
        <v>0</v>
      </c>
      <c r="P403" s="15">
        <f>+IF(N403&gt;D403,N403-D403,0)</f>
        <v>691.34</v>
      </c>
      <c r="Q403" s="5">
        <f>+IF(P403=0,P403,P403/N403)</f>
        <v>1</v>
      </c>
    </row>
    <row r="404" spans="1:17" x14ac:dyDescent="0.25">
      <c r="A404" s="7">
        <v>46251.75</v>
      </c>
      <c r="B404" s="6">
        <v>6.3</v>
      </c>
      <c r="C404" s="13">
        <v>0</v>
      </c>
      <c r="D404" s="18">
        <f>+B404+C404</f>
        <v>6.3</v>
      </c>
      <c r="E404" s="14">
        <v>9.4490000000000016</v>
      </c>
      <c r="F404" s="18">
        <f t="shared" si="42"/>
        <v>0.57924763304109206</v>
      </c>
      <c r="G404" s="18">
        <f t="shared" si="43"/>
        <v>8.8697523669589096</v>
      </c>
      <c r="H404" s="14">
        <v>78.28</v>
      </c>
      <c r="I404" s="18">
        <f t="shared" si="44"/>
        <v>4.7987622726697765</v>
      </c>
      <c r="J404" s="18">
        <f t="shared" si="45"/>
        <v>73.481237727330225</v>
      </c>
      <c r="K404" s="14">
        <v>15.04</v>
      </c>
      <c r="L404" s="18">
        <f t="shared" si="46"/>
        <v>0.92199009428913392</v>
      </c>
      <c r="M404" s="18">
        <f t="shared" si="47"/>
        <v>14.118009905710865</v>
      </c>
      <c r="N404" s="15">
        <f t="shared" si="48"/>
        <v>102.76900000000001</v>
      </c>
      <c r="O404" s="15">
        <f>+N404-P404</f>
        <v>6.2999999999999972</v>
      </c>
      <c r="P404" s="15">
        <f>+IF(N404&gt;D404,N404-D404,0)</f>
        <v>96.469000000000008</v>
      </c>
      <c r="Q404" s="5">
        <f>+IF(P404=0,P404,P404/N404)</f>
        <v>0.93869746713503099</v>
      </c>
    </row>
    <row r="405" spans="1:17" x14ac:dyDescent="0.25">
      <c r="A405" s="7">
        <v>46251.791666666664</v>
      </c>
      <c r="B405" s="6">
        <v>0</v>
      </c>
      <c r="C405" s="13">
        <v>0</v>
      </c>
      <c r="D405" s="18">
        <f>+B405+C405</f>
        <v>0</v>
      </c>
      <c r="E405" s="14">
        <v>56.694000000000003</v>
      </c>
      <c r="F405" s="18">
        <f t="shared" si="42"/>
        <v>0</v>
      </c>
      <c r="G405" s="18">
        <f t="shared" si="43"/>
        <v>56.694000000000003</v>
      </c>
      <c r="H405" s="14">
        <v>83.2</v>
      </c>
      <c r="I405" s="18">
        <f t="shared" si="44"/>
        <v>0</v>
      </c>
      <c r="J405" s="18">
        <f t="shared" si="45"/>
        <v>83.2</v>
      </c>
      <c r="K405" s="14">
        <v>1.1199999999999999</v>
      </c>
      <c r="L405" s="18">
        <f t="shared" si="46"/>
        <v>0</v>
      </c>
      <c r="M405" s="18">
        <f t="shared" si="47"/>
        <v>1.1199999999999999</v>
      </c>
      <c r="N405" s="15">
        <f t="shared" si="48"/>
        <v>141.01400000000001</v>
      </c>
      <c r="O405" s="15">
        <f>+N405-P405</f>
        <v>0</v>
      </c>
      <c r="P405" s="15">
        <f>+IF(N405&gt;D405,N405-D405,0)</f>
        <v>141.01400000000001</v>
      </c>
      <c r="Q405" s="5">
        <f>+IF(P405=0,P405,P405/N405)</f>
        <v>1</v>
      </c>
    </row>
    <row r="406" spans="1:17" x14ac:dyDescent="0.25">
      <c r="A406" s="7">
        <v>46251.833333333336</v>
      </c>
      <c r="B406" s="6">
        <v>0</v>
      </c>
      <c r="C406" s="13">
        <v>0</v>
      </c>
      <c r="D406" s="18">
        <f>+B406+C406</f>
        <v>0</v>
      </c>
      <c r="E406" s="14">
        <v>1181.1229999999998</v>
      </c>
      <c r="F406" s="18">
        <f t="shared" si="42"/>
        <v>0</v>
      </c>
      <c r="G406" s="18">
        <f t="shared" si="43"/>
        <v>1181.1229999999998</v>
      </c>
      <c r="H406" s="14">
        <v>113.91999999999999</v>
      </c>
      <c r="I406" s="18">
        <f t="shared" si="44"/>
        <v>0</v>
      </c>
      <c r="J406" s="18">
        <f t="shared" si="45"/>
        <v>113.91999999999999</v>
      </c>
      <c r="K406" s="14">
        <v>1.1199999999999999</v>
      </c>
      <c r="L406" s="18">
        <f t="shared" si="46"/>
        <v>0</v>
      </c>
      <c r="M406" s="18">
        <f t="shared" si="47"/>
        <v>1.1199999999999999</v>
      </c>
      <c r="N406" s="15">
        <f t="shared" si="48"/>
        <v>1296.1629999999998</v>
      </c>
      <c r="O406" s="15">
        <f>+N406-P406</f>
        <v>0</v>
      </c>
      <c r="P406" s="15">
        <f>+IF(N406&gt;D406,N406-D406,0)</f>
        <v>1296.1629999999998</v>
      </c>
      <c r="Q406" s="5">
        <f>+IF(P406=0,P406,P406/N406)</f>
        <v>1</v>
      </c>
    </row>
    <row r="407" spans="1:17" x14ac:dyDescent="0.25">
      <c r="A407" s="7">
        <v>46251.875</v>
      </c>
      <c r="B407" s="6">
        <v>0</v>
      </c>
      <c r="C407" s="13">
        <v>0</v>
      </c>
      <c r="D407" s="18">
        <f>+B407+C407</f>
        <v>0</v>
      </c>
      <c r="E407" s="14">
        <v>1111.8300000000002</v>
      </c>
      <c r="F407" s="18">
        <f t="shared" si="42"/>
        <v>0</v>
      </c>
      <c r="G407" s="18">
        <f t="shared" si="43"/>
        <v>1111.8300000000002</v>
      </c>
      <c r="H407" s="14">
        <v>103.48</v>
      </c>
      <c r="I407" s="18">
        <f t="shared" si="44"/>
        <v>0</v>
      </c>
      <c r="J407" s="18">
        <f t="shared" si="45"/>
        <v>103.48</v>
      </c>
      <c r="K407" s="14">
        <v>1.1199999999999999</v>
      </c>
      <c r="L407" s="18">
        <f t="shared" si="46"/>
        <v>0</v>
      </c>
      <c r="M407" s="18">
        <f t="shared" si="47"/>
        <v>1.1199999999999999</v>
      </c>
      <c r="N407" s="15">
        <f t="shared" si="48"/>
        <v>1216.43</v>
      </c>
      <c r="O407" s="15">
        <f>+N407-P407</f>
        <v>0</v>
      </c>
      <c r="P407" s="15">
        <f>+IF(N407&gt;D407,N407-D407,0)</f>
        <v>1216.43</v>
      </c>
      <c r="Q407" s="5">
        <f>+IF(P407=0,P407,P407/N407)</f>
        <v>1</v>
      </c>
    </row>
    <row r="408" spans="1:17" x14ac:dyDescent="0.25">
      <c r="A408" s="7">
        <v>46251.916666666664</v>
      </c>
      <c r="B408" s="6">
        <v>0</v>
      </c>
      <c r="C408" s="13">
        <v>0</v>
      </c>
      <c r="D408" s="18">
        <f>+B408+C408</f>
        <v>0</v>
      </c>
      <c r="E408" s="14">
        <v>1102.519</v>
      </c>
      <c r="F408" s="18">
        <f t="shared" si="42"/>
        <v>0</v>
      </c>
      <c r="G408" s="18">
        <f t="shared" si="43"/>
        <v>1102.519</v>
      </c>
      <c r="H408" s="14">
        <v>108.03999999999999</v>
      </c>
      <c r="I408" s="18">
        <f t="shared" si="44"/>
        <v>0</v>
      </c>
      <c r="J408" s="18">
        <f t="shared" si="45"/>
        <v>108.03999999999999</v>
      </c>
      <c r="K408" s="14">
        <v>1.1199999999999999</v>
      </c>
      <c r="L408" s="18">
        <f t="shared" si="46"/>
        <v>0</v>
      </c>
      <c r="M408" s="18">
        <f t="shared" si="47"/>
        <v>1.1199999999999999</v>
      </c>
      <c r="N408" s="15">
        <f t="shared" si="48"/>
        <v>1211.6789999999999</v>
      </c>
      <c r="O408" s="15">
        <f>+N408-P408</f>
        <v>0</v>
      </c>
      <c r="P408" s="15">
        <f>+IF(N408&gt;D408,N408-D408,0)</f>
        <v>1211.6789999999999</v>
      </c>
      <c r="Q408" s="5">
        <f>+IF(P408=0,P408,P408/N408)</f>
        <v>1</v>
      </c>
    </row>
    <row r="409" spans="1:17" x14ac:dyDescent="0.25">
      <c r="A409" s="7">
        <v>46251.958333333336</v>
      </c>
      <c r="B409" s="6">
        <v>0</v>
      </c>
      <c r="C409" s="13">
        <v>0</v>
      </c>
      <c r="D409" s="18">
        <f>+B409+C409</f>
        <v>0</v>
      </c>
      <c r="E409" s="14">
        <v>1083.6190000000001</v>
      </c>
      <c r="F409" s="18">
        <f t="shared" si="42"/>
        <v>0</v>
      </c>
      <c r="G409" s="18">
        <f t="shared" si="43"/>
        <v>1083.6190000000001</v>
      </c>
      <c r="H409" s="14">
        <v>104.44000000000001</v>
      </c>
      <c r="I409" s="18">
        <f t="shared" si="44"/>
        <v>0</v>
      </c>
      <c r="J409" s="18">
        <f t="shared" si="45"/>
        <v>104.44000000000001</v>
      </c>
      <c r="K409" s="14">
        <v>9.4629999999999992</v>
      </c>
      <c r="L409" s="18">
        <f t="shared" si="46"/>
        <v>0</v>
      </c>
      <c r="M409" s="18">
        <f t="shared" si="47"/>
        <v>9.4629999999999992</v>
      </c>
      <c r="N409" s="15">
        <f t="shared" si="48"/>
        <v>1197.5220000000002</v>
      </c>
      <c r="O409" s="15">
        <f>+N409-P409</f>
        <v>0</v>
      </c>
      <c r="P409" s="15">
        <f>+IF(N409&gt;D409,N409-D409,0)</f>
        <v>1197.5220000000002</v>
      </c>
      <c r="Q409" s="5">
        <f>+IF(P409=0,P409,P409/N409)</f>
        <v>1</v>
      </c>
    </row>
    <row r="410" spans="1:17" x14ac:dyDescent="0.25">
      <c r="A410" s="7">
        <v>46252</v>
      </c>
      <c r="B410" s="6">
        <v>0</v>
      </c>
      <c r="C410" s="13">
        <v>0</v>
      </c>
      <c r="D410" s="18">
        <f>+B410+C410</f>
        <v>0</v>
      </c>
      <c r="E410" s="14">
        <v>1023.768</v>
      </c>
      <c r="F410" s="18">
        <f t="shared" si="42"/>
        <v>0</v>
      </c>
      <c r="G410" s="18">
        <f t="shared" si="43"/>
        <v>1023.768</v>
      </c>
      <c r="H410" s="14">
        <v>99.64</v>
      </c>
      <c r="I410" s="18">
        <f t="shared" si="44"/>
        <v>0</v>
      </c>
      <c r="J410" s="18">
        <f t="shared" si="45"/>
        <v>99.64</v>
      </c>
      <c r="K410" s="14">
        <v>2.68</v>
      </c>
      <c r="L410" s="18">
        <f t="shared" si="46"/>
        <v>0</v>
      </c>
      <c r="M410" s="18">
        <f t="shared" si="47"/>
        <v>2.68</v>
      </c>
      <c r="N410" s="15">
        <f t="shared" si="48"/>
        <v>1126.0880000000002</v>
      </c>
      <c r="O410" s="15">
        <f>+N410-P410</f>
        <v>0</v>
      </c>
      <c r="P410" s="15">
        <f>+IF(N410&gt;D410,N410-D410,0)</f>
        <v>1126.0880000000002</v>
      </c>
      <c r="Q410" s="5">
        <f>+IF(P410=0,P410,P410/N410)</f>
        <v>1</v>
      </c>
    </row>
    <row r="411" spans="1:17" x14ac:dyDescent="0.25">
      <c r="A411" s="7">
        <v>46252.041666666664</v>
      </c>
      <c r="B411" s="6">
        <v>0</v>
      </c>
      <c r="C411" s="13">
        <v>0</v>
      </c>
      <c r="D411" s="18">
        <f>+B411+C411</f>
        <v>0</v>
      </c>
      <c r="E411" s="14">
        <v>66.150999999999996</v>
      </c>
      <c r="F411" s="18">
        <f t="shared" si="42"/>
        <v>0</v>
      </c>
      <c r="G411" s="18">
        <f t="shared" si="43"/>
        <v>66.150999999999996</v>
      </c>
      <c r="H411" s="14">
        <v>94.72</v>
      </c>
      <c r="I411" s="18">
        <f t="shared" si="44"/>
        <v>0</v>
      </c>
      <c r="J411" s="18">
        <f t="shared" si="45"/>
        <v>94.72</v>
      </c>
      <c r="K411" s="14">
        <v>2.8</v>
      </c>
      <c r="L411" s="18">
        <f t="shared" si="46"/>
        <v>0</v>
      </c>
      <c r="M411" s="18">
        <f t="shared" si="47"/>
        <v>2.8</v>
      </c>
      <c r="N411" s="15">
        <f t="shared" si="48"/>
        <v>163.67099999999999</v>
      </c>
      <c r="O411" s="15">
        <f>+N411-P411</f>
        <v>0</v>
      </c>
      <c r="P411" s="15">
        <f>+IF(N411&gt;D411,N411-D411,0)</f>
        <v>163.67099999999999</v>
      </c>
      <c r="Q411" s="5">
        <f>+IF(P411=0,P411,P411/N411)</f>
        <v>1</v>
      </c>
    </row>
    <row r="412" spans="1:17" x14ac:dyDescent="0.25">
      <c r="A412" s="7">
        <v>46252.083333333336</v>
      </c>
      <c r="B412" s="6">
        <v>0</v>
      </c>
      <c r="C412" s="13">
        <v>0</v>
      </c>
      <c r="D412" s="18">
        <f>+B412+C412</f>
        <v>0</v>
      </c>
      <c r="E412" s="14">
        <v>1206.471</v>
      </c>
      <c r="F412" s="18">
        <f t="shared" si="42"/>
        <v>0</v>
      </c>
      <c r="G412" s="18">
        <f t="shared" si="43"/>
        <v>1206.471</v>
      </c>
      <c r="H412" s="14">
        <v>97.36</v>
      </c>
      <c r="I412" s="18">
        <f t="shared" si="44"/>
        <v>0</v>
      </c>
      <c r="J412" s="18">
        <f t="shared" si="45"/>
        <v>97.36</v>
      </c>
      <c r="K412" s="14">
        <v>2.56</v>
      </c>
      <c r="L412" s="18">
        <f t="shared" si="46"/>
        <v>0</v>
      </c>
      <c r="M412" s="18">
        <f t="shared" si="47"/>
        <v>2.56</v>
      </c>
      <c r="N412" s="15">
        <f t="shared" si="48"/>
        <v>1306.3909999999998</v>
      </c>
      <c r="O412" s="15">
        <f>+N412-P412</f>
        <v>0</v>
      </c>
      <c r="P412" s="15">
        <f>+IF(N412&gt;D412,N412-D412,0)</f>
        <v>1306.3909999999998</v>
      </c>
      <c r="Q412" s="5">
        <f>+IF(P412=0,P412,P412/N412)</f>
        <v>1</v>
      </c>
    </row>
    <row r="413" spans="1:17" x14ac:dyDescent="0.25">
      <c r="A413" s="7">
        <v>46252.125</v>
      </c>
      <c r="B413" s="6">
        <v>0</v>
      </c>
      <c r="C413" s="13">
        <v>0</v>
      </c>
      <c r="D413" s="18">
        <f>+B413+C413</f>
        <v>0</v>
      </c>
      <c r="E413" s="14">
        <v>1212.771</v>
      </c>
      <c r="F413" s="18">
        <f t="shared" si="42"/>
        <v>0</v>
      </c>
      <c r="G413" s="18">
        <f t="shared" si="43"/>
        <v>1212.771</v>
      </c>
      <c r="H413" s="14">
        <v>73</v>
      </c>
      <c r="I413" s="18">
        <f t="shared" si="44"/>
        <v>0</v>
      </c>
      <c r="J413" s="18">
        <f t="shared" si="45"/>
        <v>73</v>
      </c>
      <c r="K413" s="14">
        <v>2.68</v>
      </c>
      <c r="L413" s="18">
        <f t="shared" si="46"/>
        <v>0</v>
      </c>
      <c r="M413" s="18">
        <f t="shared" si="47"/>
        <v>2.68</v>
      </c>
      <c r="N413" s="15">
        <f t="shared" si="48"/>
        <v>1288.451</v>
      </c>
      <c r="O413" s="15">
        <f>+N413-P413</f>
        <v>0</v>
      </c>
      <c r="P413" s="15">
        <f>+IF(N413&gt;D413,N413-D413,0)</f>
        <v>1288.451</v>
      </c>
      <c r="Q413" s="5">
        <f>+IF(P413=0,P413,P413/N413)</f>
        <v>1</v>
      </c>
    </row>
    <row r="414" spans="1:17" x14ac:dyDescent="0.25">
      <c r="A414" s="7">
        <v>46252.166666666664</v>
      </c>
      <c r="B414" s="6">
        <v>0</v>
      </c>
      <c r="C414" s="13">
        <v>0</v>
      </c>
      <c r="D414" s="18">
        <f>+B414+C414</f>
        <v>0</v>
      </c>
      <c r="E414" s="14">
        <v>913.51599999999996</v>
      </c>
      <c r="F414" s="18">
        <f t="shared" si="42"/>
        <v>0</v>
      </c>
      <c r="G414" s="18">
        <f t="shared" si="43"/>
        <v>913.51599999999996</v>
      </c>
      <c r="H414" s="14">
        <v>41.92</v>
      </c>
      <c r="I414" s="18">
        <f t="shared" si="44"/>
        <v>0</v>
      </c>
      <c r="J414" s="18">
        <f t="shared" si="45"/>
        <v>41.92</v>
      </c>
      <c r="K414" s="14">
        <v>2.92</v>
      </c>
      <c r="L414" s="18">
        <f t="shared" si="46"/>
        <v>0</v>
      </c>
      <c r="M414" s="18">
        <f t="shared" si="47"/>
        <v>2.92</v>
      </c>
      <c r="N414" s="15">
        <f t="shared" si="48"/>
        <v>958.35599999999988</v>
      </c>
      <c r="O414" s="15">
        <f>+N414-P414</f>
        <v>0</v>
      </c>
      <c r="P414" s="15">
        <f>+IF(N414&gt;D414,N414-D414,0)</f>
        <v>958.35599999999988</v>
      </c>
      <c r="Q414" s="5">
        <f>+IF(P414=0,P414,P414/N414)</f>
        <v>1</v>
      </c>
    </row>
    <row r="415" spans="1:17" x14ac:dyDescent="0.25">
      <c r="A415" s="7">
        <v>46252.208333333336</v>
      </c>
      <c r="B415" s="6">
        <v>0</v>
      </c>
      <c r="C415" s="13">
        <v>0</v>
      </c>
      <c r="D415" s="18">
        <f>+B415+C415</f>
        <v>0</v>
      </c>
      <c r="E415" s="14">
        <v>1130.8700000000001</v>
      </c>
      <c r="F415" s="18">
        <f t="shared" si="42"/>
        <v>0</v>
      </c>
      <c r="G415" s="18">
        <f t="shared" si="43"/>
        <v>1130.8700000000001</v>
      </c>
      <c r="H415" s="14">
        <v>52.720000000000006</v>
      </c>
      <c r="I415" s="18">
        <f t="shared" si="44"/>
        <v>0</v>
      </c>
      <c r="J415" s="18">
        <f t="shared" si="45"/>
        <v>52.720000000000006</v>
      </c>
      <c r="K415" s="14">
        <v>2.8</v>
      </c>
      <c r="L415" s="18">
        <f t="shared" si="46"/>
        <v>0</v>
      </c>
      <c r="M415" s="18">
        <f t="shared" si="47"/>
        <v>2.8</v>
      </c>
      <c r="N415" s="15">
        <f t="shared" si="48"/>
        <v>1186.3900000000001</v>
      </c>
      <c r="O415" s="15">
        <f>+N415-P415</f>
        <v>0</v>
      </c>
      <c r="P415" s="15">
        <f>+IF(N415&gt;D415,N415-D415,0)</f>
        <v>1186.3900000000001</v>
      </c>
      <c r="Q415" s="5">
        <f>+IF(P415=0,P415,P415/N415)</f>
        <v>1</v>
      </c>
    </row>
    <row r="416" spans="1:17" x14ac:dyDescent="0.25">
      <c r="A416" s="7">
        <v>46252.25</v>
      </c>
      <c r="B416" s="6">
        <v>34.65</v>
      </c>
      <c r="C416" s="13">
        <v>5.76</v>
      </c>
      <c r="D416" s="18">
        <f>+B416+C416</f>
        <v>40.409999999999997</v>
      </c>
      <c r="E416" s="14">
        <v>18.899999999999999</v>
      </c>
      <c r="F416" s="18">
        <f t="shared" si="42"/>
        <v>18.899999999999999</v>
      </c>
      <c r="G416" s="18">
        <f t="shared" si="43"/>
        <v>0</v>
      </c>
      <c r="H416" s="14">
        <v>12.64</v>
      </c>
      <c r="I416" s="18">
        <f t="shared" si="44"/>
        <v>12.64</v>
      </c>
      <c r="J416" s="18">
        <f t="shared" si="45"/>
        <v>0</v>
      </c>
      <c r="K416" s="14">
        <v>3.52</v>
      </c>
      <c r="L416" s="18">
        <f t="shared" si="46"/>
        <v>3.52</v>
      </c>
      <c r="M416" s="18">
        <f t="shared" si="47"/>
        <v>0</v>
      </c>
      <c r="N416" s="15">
        <f t="shared" si="48"/>
        <v>35.06</v>
      </c>
      <c r="O416" s="15">
        <f>+N416-P416</f>
        <v>35.06</v>
      </c>
      <c r="P416" s="15">
        <f>+IF(N416&gt;D416,N416-D416,0)</f>
        <v>0</v>
      </c>
      <c r="Q416" s="5">
        <f>+IF(P416=0,P416,P416/N416)</f>
        <v>0</v>
      </c>
    </row>
    <row r="417" spans="1:17" x14ac:dyDescent="0.25">
      <c r="A417" s="7">
        <v>46252.291666666664</v>
      </c>
      <c r="B417" s="6">
        <v>488.25</v>
      </c>
      <c r="C417" s="13">
        <v>7.08</v>
      </c>
      <c r="D417" s="18">
        <f>+B417+C417</f>
        <v>495.33</v>
      </c>
      <c r="E417" s="14">
        <v>0</v>
      </c>
      <c r="F417" s="18">
        <f t="shared" si="42"/>
        <v>0</v>
      </c>
      <c r="G417" s="18">
        <f t="shared" si="43"/>
        <v>0</v>
      </c>
      <c r="H417" s="14">
        <v>30.52</v>
      </c>
      <c r="I417" s="18">
        <f t="shared" si="44"/>
        <v>30.52</v>
      </c>
      <c r="J417" s="18">
        <f t="shared" si="45"/>
        <v>0</v>
      </c>
      <c r="K417" s="14">
        <v>2.56</v>
      </c>
      <c r="L417" s="18">
        <f t="shared" si="46"/>
        <v>2.56</v>
      </c>
      <c r="M417" s="18">
        <f t="shared" si="47"/>
        <v>0</v>
      </c>
      <c r="N417" s="15">
        <f t="shared" si="48"/>
        <v>33.08</v>
      </c>
      <c r="O417" s="15">
        <f>+N417-P417</f>
        <v>33.08</v>
      </c>
      <c r="P417" s="15">
        <f>+IF(N417&gt;D417,N417-D417,0)</f>
        <v>0</v>
      </c>
      <c r="Q417" s="5">
        <f>+IF(P417=0,P417,P417/N417)</f>
        <v>0</v>
      </c>
    </row>
    <row r="418" spans="1:17" x14ac:dyDescent="0.25">
      <c r="A418" s="7">
        <v>46252.333333333336</v>
      </c>
      <c r="B418" s="6">
        <v>538.65</v>
      </c>
      <c r="C418" s="13">
        <v>0</v>
      </c>
      <c r="D418" s="18">
        <f>+B418+C418</f>
        <v>538.65</v>
      </c>
      <c r="E418" s="14">
        <v>0</v>
      </c>
      <c r="F418" s="18">
        <f t="shared" si="42"/>
        <v>0</v>
      </c>
      <c r="G418" s="18">
        <f t="shared" si="43"/>
        <v>0</v>
      </c>
      <c r="H418" s="14">
        <v>111.28</v>
      </c>
      <c r="I418" s="18">
        <f t="shared" si="44"/>
        <v>111.28</v>
      </c>
      <c r="J418" s="18">
        <f t="shared" si="45"/>
        <v>0</v>
      </c>
      <c r="K418" s="14">
        <v>4.3600000000000003</v>
      </c>
      <c r="L418" s="18">
        <f t="shared" si="46"/>
        <v>4.3600000000000003</v>
      </c>
      <c r="M418" s="18">
        <f t="shared" si="47"/>
        <v>0</v>
      </c>
      <c r="N418" s="15">
        <f t="shared" si="48"/>
        <v>115.64</v>
      </c>
      <c r="O418" s="15">
        <f>+N418-P418</f>
        <v>115.64</v>
      </c>
      <c r="P418" s="15">
        <f>+IF(N418&gt;D418,N418-D418,0)</f>
        <v>0</v>
      </c>
      <c r="Q418" s="5">
        <f>+IF(P418=0,P418,P418/N418)</f>
        <v>0</v>
      </c>
    </row>
    <row r="419" spans="1:17" x14ac:dyDescent="0.25">
      <c r="A419" s="7">
        <v>46252.375</v>
      </c>
      <c r="B419" s="6">
        <v>1055.25</v>
      </c>
      <c r="C419" s="13">
        <v>2.52</v>
      </c>
      <c r="D419" s="18">
        <f>+B419+C419</f>
        <v>1057.77</v>
      </c>
      <c r="E419" s="14">
        <v>0</v>
      </c>
      <c r="F419" s="18">
        <f t="shared" si="42"/>
        <v>0</v>
      </c>
      <c r="G419" s="18">
        <f t="shared" si="43"/>
        <v>0</v>
      </c>
      <c r="H419" s="14">
        <v>61.36</v>
      </c>
      <c r="I419" s="18">
        <f t="shared" si="44"/>
        <v>61.36</v>
      </c>
      <c r="J419" s="18">
        <f t="shared" si="45"/>
        <v>0</v>
      </c>
      <c r="K419" s="14">
        <v>15.76</v>
      </c>
      <c r="L419" s="18">
        <f t="shared" si="46"/>
        <v>15.76</v>
      </c>
      <c r="M419" s="18">
        <f t="shared" si="47"/>
        <v>0</v>
      </c>
      <c r="N419" s="15">
        <f t="shared" si="48"/>
        <v>77.12</v>
      </c>
      <c r="O419" s="15">
        <f>+N419-P419</f>
        <v>77.12</v>
      </c>
      <c r="P419" s="15">
        <f>+IF(N419&gt;D419,N419-D419,0)</f>
        <v>0</v>
      </c>
      <c r="Q419" s="5">
        <f>+IF(P419=0,P419,P419/N419)</f>
        <v>0</v>
      </c>
    </row>
    <row r="420" spans="1:17" x14ac:dyDescent="0.25">
      <c r="A420" s="7">
        <v>46252.416666666664</v>
      </c>
      <c r="B420" s="6">
        <v>1543.5</v>
      </c>
      <c r="C420" s="13">
        <v>1.68</v>
      </c>
      <c r="D420" s="18">
        <f>+B420+C420</f>
        <v>1545.18</v>
      </c>
      <c r="E420" s="14">
        <v>0</v>
      </c>
      <c r="F420" s="18">
        <f t="shared" si="42"/>
        <v>0</v>
      </c>
      <c r="G420" s="18">
        <f t="shared" si="43"/>
        <v>0</v>
      </c>
      <c r="H420" s="14">
        <v>57.76</v>
      </c>
      <c r="I420" s="18">
        <f t="shared" si="44"/>
        <v>57.76</v>
      </c>
      <c r="J420" s="18">
        <f t="shared" si="45"/>
        <v>0</v>
      </c>
      <c r="K420" s="14">
        <v>28.96</v>
      </c>
      <c r="L420" s="18">
        <f t="shared" si="46"/>
        <v>28.96</v>
      </c>
      <c r="M420" s="18">
        <f t="shared" si="47"/>
        <v>0</v>
      </c>
      <c r="N420" s="15">
        <f t="shared" si="48"/>
        <v>86.72</v>
      </c>
      <c r="O420" s="15">
        <f>+N420-P420</f>
        <v>86.72</v>
      </c>
      <c r="P420" s="15">
        <f>+IF(N420&gt;D420,N420-D420,0)</f>
        <v>0</v>
      </c>
      <c r="Q420" s="5">
        <f>+IF(P420=0,P420,P420/N420)</f>
        <v>0</v>
      </c>
    </row>
    <row r="421" spans="1:17" x14ac:dyDescent="0.25">
      <c r="A421" s="7">
        <v>46252.458333333336</v>
      </c>
      <c r="B421" s="6">
        <v>2097.9</v>
      </c>
      <c r="C421" s="13">
        <v>15.24</v>
      </c>
      <c r="D421" s="18">
        <f>+B421+C421</f>
        <v>2113.14</v>
      </c>
      <c r="E421" s="14">
        <v>0</v>
      </c>
      <c r="F421" s="18">
        <f t="shared" si="42"/>
        <v>0</v>
      </c>
      <c r="G421" s="18">
        <f t="shared" si="43"/>
        <v>0</v>
      </c>
      <c r="H421" s="14">
        <v>20.32</v>
      </c>
      <c r="I421" s="18">
        <f t="shared" si="44"/>
        <v>20.32</v>
      </c>
      <c r="J421" s="18">
        <f t="shared" si="45"/>
        <v>0</v>
      </c>
      <c r="K421" s="14">
        <v>46.72</v>
      </c>
      <c r="L421" s="18">
        <f t="shared" si="46"/>
        <v>46.72</v>
      </c>
      <c r="M421" s="18">
        <f t="shared" si="47"/>
        <v>0</v>
      </c>
      <c r="N421" s="15">
        <f t="shared" si="48"/>
        <v>67.039999999999992</v>
      </c>
      <c r="O421" s="15">
        <f>+N421-P421</f>
        <v>67.039999999999992</v>
      </c>
      <c r="P421" s="15">
        <f>+IF(N421&gt;D421,N421-D421,0)</f>
        <v>0</v>
      </c>
      <c r="Q421" s="5">
        <f>+IF(P421=0,P421,P421/N421)</f>
        <v>0</v>
      </c>
    </row>
    <row r="422" spans="1:17" x14ac:dyDescent="0.25">
      <c r="A422" s="7">
        <v>46252.5</v>
      </c>
      <c r="B422" s="6">
        <v>2400.3000000000002</v>
      </c>
      <c r="C422" s="13">
        <v>41.4</v>
      </c>
      <c r="D422" s="18">
        <f>+B422+C422</f>
        <v>2441.7000000000003</v>
      </c>
      <c r="E422" s="14">
        <v>0</v>
      </c>
      <c r="F422" s="18">
        <f t="shared" si="42"/>
        <v>0</v>
      </c>
      <c r="G422" s="18">
        <f t="shared" si="43"/>
        <v>0</v>
      </c>
      <c r="H422" s="14">
        <v>5.92</v>
      </c>
      <c r="I422" s="18">
        <f t="shared" si="44"/>
        <v>5.92</v>
      </c>
      <c r="J422" s="18">
        <f t="shared" si="45"/>
        <v>0</v>
      </c>
      <c r="K422" s="14">
        <v>33.64</v>
      </c>
      <c r="L422" s="18">
        <f t="shared" si="46"/>
        <v>33.64</v>
      </c>
      <c r="M422" s="18">
        <f t="shared" si="47"/>
        <v>0</v>
      </c>
      <c r="N422" s="15">
        <f t="shared" si="48"/>
        <v>39.56</v>
      </c>
      <c r="O422" s="15">
        <f>+N422-P422</f>
        <v>39.56</v>
      </c>
      <c r="P422" s="15">
        <f>+IF(N422&gt;D422,N422-D422,0)</f>
        <v>0</v>
      </c>
      <c r="Q422" s="5">
        <f>+IF(P422=0,P422,P422/N422)</f>
        <v>0</v>
      </c>
    </row>
    <row r="423" spans="1:17" x14ac:dyDescent="0.25">
      <c r="A423" s="7">
        <v>46252.541666666664</v>
      </c>
      <c r="B423" s="6">
        <v>2731.05</v>
      </c>
      <c r="C423" s="13">
        <v>14.28</v>
      </c>
      <c r="D423" s="18">
        <f>+B423+C423</f>
        <v>2745.3300000000004</v>
      </c>
      <c r="E423" s="14">
        <v>0</v>
      </c>
      <c r="F423" s="18">
        <f t="shared" si="42"/>
        <v>0</v>
      </c>
      <c r="G423" s="18">
        <f t="shared" si="43"/>
        <v>0</v>
      </c>
      <c r="H423" s="14">
        <v>28.72</v>
      </c>
      <c r="I423" s="18">
        <f t="shared" si="44"/>
        <v>28.72</v>
      </c>
      <c r="J423" s="18">
        <f t="shared" si="45"/>
        <v>0</v>
      </c>
      <c r="K423" s="14">
        <v>16</v>
      </c>
      <c r="L423" s="18">
        <f t="shared" si="46"/>
        <v>16</v>
      </c>
      <c r="M423" s="18">
        <f t="shared" si="47"/>
        <v>0</v>
      </c>
      <c r="N423" s="15">
        <f t="shared" si="48"/>
        <v>44.72</v>
      </c>
      <c r="O423" s="15">
        <f>+N423-P423</f>
        <v>44.72</v>
      </c>
      <c r="P423" s="15">
        <f>+IF(N423&gt;D423,N423-D423,0)</f>
        <v>0</v>
      </c>
      <c r="Q423" s="5">
        <f>+IF(P423=0,P423,P423/N423)</f>
        <v>0</v>
      </c>
    </row>
    <row r="424" spans="1:17" x14ac:dyDescent="0.25">
      <c r="A424" s="7">
        <v>46252.583333333336</v>
      </c>
      <c r="B424" s="6">
        <v>2154.6</v>
      </c>
      <c r="C424" s="13">
        <v>14.4</v>
      </c>
      <c r="D424" s="18">
        <f>+B424+C424</f>
        <v>2169</v>
      </c>
      <c r="E424" s="14">
        <v>0</v>
      </c>
      <c r="F424" s="18">
        <f t="shared" si="42"/>
        <v>0</v>
      </c>
      <c r="G424" s="18">
        <f t="shared" si="43"/>
        <v>0</v>
      </c>
      <c r="H424" s="14">
        <v>31.84</v>
      </c>
      <c r="I424" s="18">
        <f t="shared" si="44"/>
        <v>31.84</v>
      </c>
      <c r="J424" s="18">
        <f t="shared" si="45"/>
        <v>0</v>
      </c>
      <c r="K424" s="14">
        <v>48.4</v>
      </c>
      <c r="L424" s="18">
        <f t="shared" si="46"/>
        <v>48.4</v>
      </c>
      <c r="M424" s="18">
        <f t="shared" si="47"/>
        <v>0</v>
      </c>
      <c r="N424" s="15">
        <f t="shared" si="48"/>
        <v>80.239999999999995</v>
      </c>
      <c r="O424" s="15">
        <f>+N424-P424</f>
        <v>80.239999999999995</v>
      </c>
      <c r="P424" s="15">
        <f>+IF(N424&gt;D424,N424-D424,0)</f>
        <v>0</v>
      </c>
      <c r="Q424" s="5">
        <f>+IF(P424=0,P424,P424/N424)</f>
        <v>0</v>
      </c>
    </row>
    <row r="425" spans="1:17" x14ac:dyDescent="0.25">
      <c r="A425" s="7">
        <v>46252.625</v>
      </c>
      <c r="B425" s="6">
        <v>1341.9</v>
      </c>
      <c r="C425" s="13">
        <v>1.68</v>
      </c>
      <c r="D425" s="18">
        <f>+B425+C425</f>
        <v>1343.5800000000002</v>
      </c>
      <c r="E425" s="14">
        <v>0</v>
      </c>
      <c r="F425" s="18">
        <f t="shared" si="42"/>
        <v>0</v>
      </c>
      <c r="G425" s="18">
        <f t="shared" si="43"/>
        <v>0</v>
      </c>
      <c r="H425" s="14">
        <v>36.64</v>
      </c>
      <c r="I425" s="18">
        <f t="shared" si="44"/>
        <v>36.64</v>
      </c>
      <c r="J425" s="18">
        <f t="shared" si="45"/>
        <v>0</v>
      </c>
      <c r="K425" s="14">
        <v>35.92</v>
      </c>
      <c r="L425" s="18">
        <f t="shared" si="46"/>
        <v>35.92</v>
      </c>
      <c r="M425" s="18">
        <f t="shared" si="47"/>
        <v>0</v>
      </c>
      <c r="N425" s="15">
        <f t="shared" si="48"/>
        <v>72.56</v>
      </c>
      <c r="O425" s="15">
        <f>+N425-P425</f>
        <v>72.56</v>
      </c>
      <c r="P425" s="15">
        <f>+IF(N425&gt;D425,N425-D425,0)</f>
        <v>0</v>
      </c>
      <c r="Q425" s="5">
        <f>+IF(P425=0,P425,P425/N425)</f>
        <v>0</v>
      </c>
    </row>
    <row r="426" spans="1:17" x14ac:dyDescent="0.25">
      <c r="A426" s="7">
        <v>46252.666666666664</v>
      </c>
      <c r="B426" s="6">
        <v>652.04999999999995</v>
      </c>
      <c r="C426" s="13">
        <v>0.12</v>
      </c>
      <c r="D426" s="18">
        <f>+B426+C426</f>
        <v>652.16999999999996</v>
      </c>
      <c r="E426" s="14">
        <v>3.15</v>
      </c>
      <c r="F426" s="18">
        <f t="shared" si="42"/>
        <v>3.15</v>
      </c>
      <c r="G426" s="18">
        <f t="shared" si="43"/>
        <v>0</v>
      </c>
      <c r="H426" s="14">
        <v>68.44</v>
      </c>
      <c r="I426" s="18">
        <f t="shared" si="44"/>
        <v>68.44</v>
      </c>
      <c r="J426" s="18">
        <f t="shared" si="45"/>
        <v>0</v>
      </c>
      <c r="K426" s="14">
        <v>26.44</v>
      </c>
      <c r="L426" s="18">
        <f t="shared" si="46"/>
        <v>26.44</v>
      </c>
      <c r="M426" s="18">
        <f t="shared" si="47"/>
        <v>0</v>
      </c>
      <c r="N426" s="15">
        <f t="shared" si="48"/>
        <v>98.03</v>
      </c>
      <c r="O426" s="15">
        <f>+N426-P426</f>
        <v>98.03</v>
      </c>
      <c r="P426" s="15">
        <f>+IF(N426&gt;D426,N426-D426,0)</f>
        <v>0</v>
      </c>
      <c r="Q426" s="5">
        <f>+IF(P426=0,P426,P426/N426)</f>
        <v>0</v>
      </c>
    </row>
    <row r="427" spans="1:17" x14ac:dyDescent="0.25">
      <c r="A427" s="7">
        <v>46252.708333333336</v>
      </c>
      <c r="B427" s="6">
        <v>154.35</v>
      </c>
      <c r="C427" s="13">
        <v>0</v>
      </c>
      <c r="D427" s="18">
        <f>+B427+C427</f>
        <v>154.35</v>
      </c>
      <c r="E427" s="14">
        <v>78.742000000000004</v>
      </c>
      <c r="F427" s="18">
        <f t="shared" si="42"/>
        <v>67.844657869176416</v>
      </c>
      <c r="G427" s="18">
        <f t="shared" si="43"/>
        <v>10.897342130823594</v>
      </c>
      <c r="H427" s="14">
        <v>76.48</v>
      </c>
      <c r="I427" s="18">
        <f t="shared" si="44"/>
        <v>65.895702850252874</v>
      </c>
      <c r="J427" s="18">
        <f t="shared" si="45"/>
        <v>10.58429714974713</v>
      </c>
      <c r="K427" s="14">
        <v>23.92</v>
      </c>
      <c r="L427" s="18">
        <f t="shared" si="46"/>
        <v>20.609639280570722</v>
      </c>
      <c r="M427" s="18">
        <f t="shared" si="47"/>
        <v>3.3103607194292803</v>
      </c>
      <c r="N427" s="15">
        <f t="shared" si="48"/>
        <v>179.142</v>
      </c>
      <c r="O427" s="15">
        <f>+N427-P427</f>
        <v>154.35</v>
      </c>
      <c r="P427" s="15">
        <f>+IF(N427&gt;D427,N427-D427,0)</f>
        <v>24.792000000000002</v>
      </c>
      <c r="Q427" s="5">
        <f>+IF(P427=0,P427,P427/N427)</f>
        <v>0.13839300666510368</v>
      </c>
    </row>
    <row r="428" spans="1:17" x14ac:dyDescent="0.25">
      <c r="A428" s="7">
        <v>46252.75</v>
      </c>
      <c r="B428" s="6">
        <v>211.05</v>
      </c>
      <c r="C428" s="13">
        <v>0</v>
      </c>
      <c r="D428" s="18">
        <f>+B428+C428</f>
        <v>211.05</v>
      </c>
      <c r="E428" s="14">
        <v>3.15</v>
      </c>
      <c r="F428" s="18">
        <f t="shared" si="42"/>
        <v>3.15</v>
      </c>
      <c r="G428" s="18">
        <f t="shared" si="43"/>
        <v>0</v>
      </c>
      <c r="H428" s="14">
        <v>53.56</v>
      </c>
      <c r="I428" s="18">
        <f t="shared" si="44"/>
        <v>53.56</v>
      </c>
      <c r="J428" s="18">
        <f t="shared" si="45"/>
        <v>0</v>
      </c>
      <c r="K428" s="14">
        <v>19.720000000000002</v>
      </c>
      <c r="L428" s="18">
        <f t="shared" si="46"/>
        <v>19.720000000000002</v>
      </c>
      <c r="M428" s="18">
        <f t="shared" si="47"/>
        <v>0</v>
      </c>
      <c r="N428" s="15">
        <f t="shared" si="48"/>
        <v>76.430000000000007</v>
      </c>
      <c r="O428" s="15">
        <f>+N428-P428</f>
        <v>76.430000000000007</v>
      </c>
      <c r="P428" s="15">
        <f>+IF(N428&gt;D428,N428-D428,0)</f>
        <v>0</v>
      </c>
      <c r="Q428" s="5">
        <f>+IF(P428=0,P428,P428/N428)</f>
        <v>0</v>
      </c>
    </row>
    <row r="429" spans="1:17" x14ac:dyDescent="0.25">
      <c r="A429" s="7">
        <v>46252.791666666664</v>
      </c>
      <c r="B429" s="6">
        <v>0</v>
      </c>
      <c r="C429" s="13">
        <v>0</v>
      </c>
      <c r="D429" s="18">
        <f>+B429+C429</f>
        <v>0</v>
      </c>
      <c r="E429" s="14">
        <v>66.142999999999986</v>
      </c>
      <c r="F429" s="18">
        <f t="shared" si="42"/>
        <v>0</v>
      </c>
      <c r="G429" s="18">
        <f t="shared" si="43"/>
        <v>66.142999999999986</v>
      </c>
      <c r="H429" s="14">
        <v>88</v>
      </c>
      <c r="I429" s="18">
        <f t="shared" si="44"/>
        <v>0</v>
      </c>
      <c r="J429" s="18">
        <f t="shared" si="45"/>
        <v>88</v>
      </c>
      <c r="K429" s="14">
        <v>2.3199999999999998</v>
      </c>
      <c r="L429" s="18">
        <f t="shared" si="46"/>
        <v>0</v>
      </c>
      <c r="M429" s="18">
        <f t="shared" si="47"/>
        <v>2.3199999999999998</v>
      </c>
      <c r="N429" s="15">
        <f t="shared" si="48"/>
        <v>156.46299999999997</v>
      </c>
      <c r="O429" s="15">
        <f>+N429-P429</f>
        <v>0</v>
      </c>
      <c r="P429" s="15">
        <f>+IF(N429&gt;D429,N429-D429,0)</f>
        <v>156.46299999999997</v>
      </c>
      <c r="Q429" s="5">
        <f>+IF(P429=0,P429,P429/N429)</f>
        <v>1</v>
      </c>
    </row>
    <row r="430" spans="1:17" x14ac:dyDescent="0.25">
      <c r="A430" s="7">
        <v>46252.833333333336</v>
      </c>
      <c r="B430" s="6">
        <v>0</v>
      </c>
      <c r="C430" s="13">
        <v>0</v>
      </c>
      <c r="D430" s="18">
        <f>+B430+C430</f>
        <v>0</v>
      </c>
      <c r="E430" s="14">
        <v>1212.6189999999999</v>
      </c>
      <c r="F430" s="18">
        <f t="shared" si="42"/>
        <v>0</v>
      </c>
      <c r="G430" s="18">
        <f t="shared" si="43"/>
        <v>1212.6189999999999</v>
      </c>
      <c r="H430" s="14">
        <v>102.04</v>
      </c>
      <c r="I430" s="18">
        <f t="shared" si="44"/>
        <v>0</v>
      </c>
      <c r="J430" s="18">
        <f t="shared" si="45"/>
        <v>102.04</v>
      </c>
      <c r="K430" s="14">
        <v>2.3199999999999998</v>
      </c>
      <c r="L430" s="18">
        <f t="shared" si="46"/>
        <v>0</v>
      </c>
      <c r="M430" s="18">
        <f t="shared" si="47"/>
        <v>2.3199999999999998</v>
      </c>
      <c r="N430" s="15">
        <f t="shared" si="48"/>
        <v>1316.9789999999998</v>
      </c>
      <c r="O430" s="15">
        <f>+N430-P430</f>
        <v>0</v>
      </c>
      <c r="P430" s="15">
        <f>+IF(N430&gt;D430,N430-D430,0)</f>
        <v>1316.9789999999998</v>
      </c>
      <c r="Q430" s="5">
        <f>+IF(P430=0,P430,P430/N430)</f>
        <v>1</v>
      </c>
    </row>
    <row r="431" spans="1:17" x14ac:dyDescent="0.25">
      <c r="A431" s="7">
        <v>46252.875</v>
      </c>
      <c r="B431" s="6">
        <v>0</v>
      </c>
      <c r="C431" s="13">
        <v>0</v>
      </c>
      <c r="D431" s="18">
        <f>+B431+C431</f>
        <v>0</v>
      </c>
      <c r="E431" s="14">
        <v>1212.6189999999999</v>
      </c>
      <c r="F431" s="18">
        <f t="shared" si="42"/>
        <v>0</v>
      </c>
      <c r="G431" s="18">
        <f t="shared" si="43"/>
        <v>1212.6189999999999</v>
      </c>
      <c r="H431" s="14">
        <v>104.08000000000001</v>
      </c>
      <c r="I431" s="18">
        <f t="shared" si="44"/>
        <v>0</v>
      </c>
      <c r="J431" s="18">
        <f t="shared" si="45"/>
        <v>104.08000000000001</v>
      </c>
      <c r="K431" s="14">
        <v>2.68</v>
      </c>
      <c r="L431" s="18">
        <f t="shared" si="46"/>
        <v>0</v>
      </c>
      <c r="M431" s="18">
        <f t="shared" si="47"/>
        <v>2.68</v>
      </c>
      <c r="N431" s="15">
        <f t="shared" si="48"/>
        <v>1319.3789999999999</v>
      </c>
      <c r="O431" s="15">
        <f>+N431-P431</f>
        <v>0</v>
      </c>
      <c r="P431" s="15">
        <f>+IF(N431&gt;D431,N431-D431,0)</f>
        <v>1319.3789999999999</v>
      </c>
      <c r="Q431" s="5">
        <f>+IF(P431=0,P431,P431/N431)</f>
        <v>1</v>
      </c>
    </row>
    <row r="432" spans="1:17" x14ac:dyDescent="0.25">
      <c r="A432" s="7">
        <v>46252.916666666664</v>
      </c>
      <c r="B432" s="6">
        <v>0</v>
      </c>
      <c r="C432" s="13">
        <v>0</v>
      </c>
      <c r="D432" s="18">
        <f>+B432+C432</f>
        <v>0</v>
      </c>
      <c r="E432" s="14">
        <v>916.66599999999994</v>
      </c>
      <c r="F432" s="18">
        <f t="shared" si="42"/>
        <v>0</v>
      </c>
      <c r="G432" s="18">
        <f t="shared" si="43"/>
        <v>916.66599999999994</v>
      </c>
      <c r="H432" s="14">
        <v>122.80000000000001</v>
      </c>
      <c r="I432" s="18">
        <f t="shared" si="44"/>
        <v>0</v>
      </c>
      <c r="J432" s="18">
        <f t="shared" si="45"/>
        <v>122.80000000000001</v>
      </c>
      <c r="K432" s="14">
        <v>2.8</v>
      </c>
      <c r="L432" s="18">
        <f t="shared" si="46"/>
        <v>0</v>
      </c>
      <c r="M432" s="18">
        <f t="shared" si="47"/>
        <v>2.8</v>
      </c>
      <c r="N432" s="15">
        <f t="shared" si="48"/>
        <v>1042.2659999999998</v>
      </c>
      <c r="O432" s="15">
        <f>+N432-P432</f>
        <v>0</v>
      </c>
      <c r="P432" s="15">
        <f>+IF(N432&gt;D432,N432-D432,0)</f>
        <v>1042.2659999999998</v>
      </c>
      <c r="Q432" s="5">
        <f>+IF(P432=0,P432,P432/N432)</f>
        <v>1</v>
      </c>
    </row>
    <row r="433" spans="1:17" x14ac:dyDescent="0.25">
      <c r="A433" s="7">
        <v>46252.958333333336</v>
      </c>
      <c r="B433" s="6">
        <v>0</v>
      </c>
      <c r="C433" s="13">
        <v>0</v>
      </c>
      <c r="D433" s="18">
        <f>+B433+C433</f>
        <v>0</v>
      </c>
      <c r="E433" s="14">
        <v>1159.22</v>
      </c>
      <c r="F433" s="18">
        <f t="shared" si="42"/>
        <v>0</v>
      </c>
      <c r="G433" s="18">
        <f t="shared" si="43"/>
        <v>1159.22</v>
      </c>
      <c r="H433" s="14">
        <v>103.72000000000001</v>
      </c>
      <c r="I433" s="18">
        <f t="shared" si="44"/>
        <v>0</v>
      </c>
      <c r="J433" s="18">
        <f t="shared" si="45"/>
        <v>103.72000000000001</v>
      </c>
      <c r="K433" s="14">
        <v>2.92</v>
      </c>
      <c r="L433" s="18">
        <f t="shared" si="46"/>
        <v>0</v>
      </c>
      <c r="M433" s="18">
        <f t="shared" si="47"/>
        <v>2.92</v>
      </c>
      <c r="N433" s="15">
        <f t="shared" si="48"/>
        <v>1265.8600000000001</v>
      </c>
      <c r="O433" s="15">
        <f>+N433-P433</f>
        <v>0</v>
      </c>
      <c r="P433" s="15">
        <f>+IF(N433&gt;D433,N433-D433,0)</f>
        <v>1265.8600000000001</v>
      </c>
      <c r="Q433" s="5">
        <f>+IF(P433=0,P433,P433/N433)</f>
        <v>1</v>
      </c>
    </row>
    <row r="434" spans="1:17" x14ac:dyDescent="0.25">
      <c r="A434" s="7">
        <v>46253</v>
      </c>
      <c r="B434" s="6">
        <v>0</v>
      </c>
      <c r="C434" s="13">
        <v>0</v>
      </c>
      <c r="D434" s="18">
        <f>+B434+C434</f>
        <v>0</v>
      </c>
      <c r="E434" s="14">
        <v>762.31299999999999</v>
      </c>
      <c r="F434" s="18">
        <f t="shared" si="42"/>
        <v>0</v>
      </c>
      <c r="G434" s="18">
        <f t="shared" si="43"/>
        <v>762.31299999999999</v>
      </c>
      <c r="H434" s="14">
        <v>117.64</v>
      </c>
      <c r="I434" s="18">
        <f t="shared" si="44"/>
        <v>0</v>
      </c>
      <c r="J434" s="18">
        <f t="shared" si="45"/>
        <v>117.64</v>
      </c>
      <c r="K434" s="14">
        <v>16.48</v>
      </c>
      <c r="L434" s="18">
        <f t="shared" si="46"/>
        <v>0</v>
      </c>
      <c r="M434" s="18">
        <f t="shared" si="47"/>
        <v>16.48</v>
      </c>
      <c r="N434" s="15">
        <f t="shared" si="48"/>
        <v>896.43299999999999</v>
      </c>
      <c r="O434" s="15">
        <f>+N434-P434</f>
        <v>0</v>
      </c>
      <c r="P434" s="15">
        <f>+IF(N434&gt;D434,N434-D434,0)</f>
        <v>896.43299999999999</v>
      </c>
      <c r="Q434" s="5">
        <f>+IF(P434=0,P434,P434/N434)</f>
        <v>1</v>
      </c>
    </row>
    <row r="435" spans="1:17" x14ac:dyDescent="0.25">
      <c r="A435" s="7">
        <v>46253.041666666664</v>
      </c>
      <c r="B435" s="6">
        <v>0</v>
      </c>
      <c r="C435" s="13">
        <v>0</v>
      </c>
      <c r="D435" s="18">
        <f>+B435+C435</f>
        <v>0</v>
      </c>
      <c r="E435" s="14">
        <v>97.652000000000001</v>
      </c>
      <c r="F435" s="18">
        <f t="shared" si="42"/>
        <v>0</v>
      </c>
      <c r="G435" s="18">
        <f t="shared" si="43"/>
        <v>97.652000000000001</v>
      </c>
      <c r="H435" s="14">
        <v>113.91999999999999</v>
      </c>
      <c r="I435" s="18">
        <f t="shared" si="44"/>
        <v>0</v>
      </c>
      <c r="J435" s="18">
        <f t="shared" si="45"/>
        <v>113.91999999999999</v>
      </c>
      <c r="K435" s="14">
        <v>4</v>
      </c>
      <c r="L435" s="18">
        <f t="shared" si="46"/>
        <v>0</v>
      </c>
      <c r="M435" s="18">
        <f t="shared" si="47"/>
        <v>4</v>
      </c>
      <c r="N435" s="15">
        <f t="shared" si="48"/>
        <v>215.572</v>
      </c>
      <c r="O435" s="15">
        <f>+N435-P435</f>
        <v>0</v>
      </c>
      <c r="P435" s="15">
        <f>+IF(N435&gt;D435,N435-D435,0)</f>
        <v>215.572</v>
      </c>
      <c r="Q435" s="5">
        <f>+IF(P435=0,P435,P435/N435)</f>
        <v>1</v>
      </c>
    </row>
    <row r="436" spans="1:17" x14ac:dyDescent="0.25">
      <c r="A436" s="7">
        <v>46253.083333333336</v>
      </c>
      <c r="B436" s="6">
        <v>0</v>
      </c>
      <c r="C436" s="13">
        <v>0</v>
      </c>
      <c r="D436" s="18">
        <f>+B436+C436</f>
        <v>0</v>
      </c>
      <c r="E436" s="14">
        <v>1168.67</v>
      </c>
      <c r="F436" s="18">
        <f t="shared" si="42"/>
        <v>0</v>
      </c>
      <c r="G436" s="18">
        <f t="shared" si="43"/>
        <v>1168.67</v>
      </c>
      <c r="H436" s="14">
        <v>111.88</v>
      </c>
      <c r="I436" s="18">
        <f t="shared" si="44"/>
        <v>0</v>
      </c>
      <c r="J436" s="18">
        <f t="shared" si="45"/>
        <v>111.88</v>
      </c>
      <c r="K436" s="14">
        <v>2.68</v>
      </c>
      <c r="L436" s="18">
        <f t="shared" si="46"/>
        <v>0</v>
      </c>
      <c r="M436" s="18">
        <f t="shared" si="47"/>
        <v>2.68</v>
      </c>
      <c r="N436" s="15">
        <f t="shared" si="48"/>
        <v>1283.2300000000002</v>
      </c>
      <c r="O436" s="15">
        <f>+N436-P436</f>
        <v>0</v>
      </c>
      <c r="P436" s="15">
        <f>+IF(N436&gt;D436,N436-D436,0)</f>
        <v>1283.2300000000002</v>
      </c>
      <c r="Q436" s="5">
        <f>+IF(P436=0,P436,P436/N436)</f>
        <v>1</v>
      </c>
    </row>
    <row r="437" spans="1:17" x14ac:dyDescent="0.25">
      <c r="A437" s="7">
        <v>46253.125</v>
      </c>
      <c r="B437" s="6">
        <v>0</v>
      </c>
      <c r="C437" s="13">
        <v>0</v>
      </c>
      <c r="D437" s="18">
        <f>+B437+C437</f>
        <v>0</v>
      </c>
      <c r="E437" s="14">
        <v>1096.2190000000001</v>
      </c>
      <c r="F437" s="18">
        <f t="shared" si="42"/>
        <v>0</v>
      </c>
      <c r="G437" s="18">
        <f t="shared" si="43"/>
        <v>1096.2190000000001</v>
      </c>
      <c r="H437" s="14">
        <v>86.56</v>
      </c>
      <c r="I437" s="18">
        <f t="shared" si="44"/>
        <v>0</v>
      </c>
      <c r="J437" s="18">
        <f t="shared" si="45"/>
        <v>86.56</v>
      </c>
      <c r="K437" s="14">
        <v>2.8</v>
      </c>
      <c r="L437" s="18">
        <f t="shared" si="46"/>
        <v>0</v>
      </c>
      <c r="M437" s="18">
        <f t="shared" si="47"/>
        <v>2.8</v>
      </c>
      <c r="N437" s="15">
        <f t="shared" si="48"/>
        <v>1185.579</v>
      </c>
      <c r="O437" s="15">
        <f>+N437-P437</f>
        <v>0</v>
      </c>
      <c r="P437" s="15">
        <f>+IF(N437&gt;D437,N437-D437,0)</f>
        <v>1185.579</v>
      </c>
      <c r="Q437" s="5">
        <f>+IF(P437=0,P437,P437/N437)</f>
        <v>1</v>
      </c>
    </row>
    <row r="438" spans="1:17" x14ac:dyDescent="0.25">
      <c r="A438" s="7">
        <v>46253.166666666664</v>
      </c>
      <c r="B438" s="6">
        <v>0</v>
      </c>
      <c r="C438" s="13">
        <v>0</v>
      </c>
      <c r="D438" s="18">
        <f>+B438+C438</f>
        <v>0</v>
      </c>
      <c r="E438" s="14">
        <v>929.26600000000008</v>
      </c>
      <c r="F438" s="18">
        <f t="shared" si="42"/>
        <v>0</v>
      </c>
      <c r="G438" s="18">
        <f t="shared" si="43"/>
        <v>929.26600000000008</v>
      </c>
      <c r="H438" s="14">
        <v>84.88</v>
      </c>
      <c r="I438" s="18">
        <f t="shared" si="44"/>
        <v>0</v>
      </c>
      <c r="J438" s="18">
        <f t="shared" si="45"/>
        <v>84.88</v>
      </c>
      <c r="K438" s="14">
        <v>2.8</v>
      </c>
      <c r="L438" s="18">
        <f t="shared" si="46"/>
        <v>0</v>
      </c>
      <c r="M438" s="18">
        <f t="shared" si="47"/>
        <v>2.8</v>
      </c>
      <c r="N438" s="15">
        <f t="shared" si="48"/>
        <v>1016.946</v>
      </c>
      <c r="O438" s="15">
        <f>+N438-P438</f>
        <v>0</v>
      </c>
      <c r="P438" s="15">
        <f>+IF(N438&gt;D438,N438-D438,0)</f>
        <v>1016.946</v>
      </c>
      <c r="Q438" s="5">
        <f>+IF(P438=0,P438,P438/N438)</f>
        <v>1</v>
      </c>
    </row>
    <row r="439" spans="1:17" x14ac:dyDescent="0.25">
      <c r="A439" s="7">
        <v>46253.208333333336</v>
      </c>
      <c r="B439" s="6">
        <v>0</v>
      </c>
      <c r="C439" s="13">
        <v>0</v>
      </c>
      <c r="D439" s="18">
        <f>+B439+C439</f>
        <v>0</v>
      </c>
      <c r="E439" s="14">
        <v>1130.8700000000001</v>
      </c>
      <c r="F439" s="18">
        <f t="shared" si="42"/>
        <v>0</v>
      </c>
      <c r="G439" s="18">
        <f t="shared" si="43"/>
        <v>1130.8700000000001</v>
      </c>
      <c r="H439" s="14">
        <v>71.8</v>
      </c>
      <c r="I439" s="18">
        <f t="shared" si="44"/>
        <v>0</v>
      </c>
      <c r="J439" s="18">
        <f t="shared" si="45"/>
        <v>71.8</v>
      </c>
      <c r="K439" s="14">
        <v>3.04</v>
      </c>
      <c r="L439" s="18">
        <f t="shared" si="46"/>
        <v>0</v>
      </c>
      <c r="M439" s="18">
        <f t="shared" si="47"/>
        <v>3.04</v>
      </c>
      <c r="N439" s="15">
        <f t="shared" si="48"/>
        <v>1205.71</v>
      </c>
      <c r="O439" s="15">
        <f>+N439-P439</f>
        <v>0</v>
      </c>
      <c r="P439" s="15">
        <f>+IF(N439&gt;D439,N439-D439,0)</f>
        <v>1205.71</v>
      </c>
      <c r="Q439" s="5">
        <f>+IF(P439=0,P439,P439/N439)</f>
        <v>1</v>
      </c>
    </row>
    <row r="440" spans="1:17" x14ac:dyDescent="0.25">
      <c r="A440" s="7">
        <v>46253.25</v>
      </c>
      <c r="B440" s="6">
        <v>56.7</v>
      </c>
      <c r="C440" s="13">
        <v>0</v>
      </c>
      <c r="D440" s="18">
        <f>+B440+C440</f>
        <v>56.7</v>
      </c>
      <c r="E440" s="14">
        <v>3.15</v>
      </c>
      <c r="F440" s="18">
        <f t="shared" si="42"/>
        <v>2.6677371172516811</v>
      </c>
      <c r="G440" s="18">
        <f t="shared" si="43"/>
        <v>0.48226288274831908</v>
      </c>
      <c r="H440" s="14">
        <v>60.519999999999996</v>
      </c>
      <c r="I440" s="18">
        <f t="shared" si="44"/>
        <v>51.254428678118003</v>
      </c>
      <c r="J440" s="18">
        <f t="shared" si="45"/>
        <v>9.2655713218819908</v>
      </c>
      <c r="K440" s="14">
        <v>3.28</v>
      </c>
      <c r="L440" s="18">
        <f t="shared" si="46"/>
        <v>2.7778342046303215</v>
      </c>
      <c r="M440" s="18">
        <f t="shared" si="47"/>
        <v>0.50216579536967831</v>
      </c>
      <c r="N440" s="15">
        <f t="shared" si="48"/>
        <v>66.949999999999989</v>
      </c>
      <c r="O440" s="15">
        <f>+N440-P440</f>
        <v>56.7</v>
      </c>
      <c r="P440" s="15">
        <f>+IF(N440&gt;D440,N440-D440,0)</f>
        <v>10.249999999999986</v>
      </c>
      <c r="Q440" s="5">
        <f>+IF(P440=0,P440,P440/N440)</f>
        <v>0.15309932785660924</v>
      </c>
    </row>
    <row r="441" spans="1:17" x14ac:dyDescent="0.25">
      <c r="A441" s="7">
        <v>46253.291666666664</v>
      </c>
      <c r="B441" s="6">
        <v>522.9</v>
      </c>
      <c r="C441" s="13">
        <v>0</v>
      </c>
      <c r="D441" s="18">
        <f>+B441+C441</f>
        <v>522.9</v>
      </c>
      <c r="E441" s="14">
        <v>0</v>
      </c>
      <c r="F441" s="18">
        <f t="shared" si="42"/>
        <v>0</v>
      </c>
      <c r="G441" s="18">
        <f t="shared" si="43"/>
        <v>0</v>
      </c>
      <c r="H441" s="14">
        <v>51.64</v>
      </c>
      <c r="I441" s="18">
        <f t="shared" si="44"/>
        <v>51.64</v>
      </c>
      <c r="J441" s="18">
        <f t="shared" si="45"/>
        <v>0</v>
      </c>
      <c r="K441" s="14">
        <v>2.44</v>
      </c>
      <c r="L441" s="18">
        <f t="shared" si="46"/>
        <v>2.44</v>
      </c>
      <c r="M441" s="18">
        <f t="shared" si="47"/>
        <v>0</v>
      </c>
      <c r="N441" s="15">
        <f t="shared" si="48"/>
        <v>54.08</v>
      </c>
      <c r="O441" s="15">
        <f>+N441-P441</f>
        <v>54.08</v>
      </c>
      <c r="P441" s="15">
        <f>+IF(N441&gt;D441,N441-D441,0)</f>
        <v>0</v>
      </c>
      <c r="Q441" s="5">
        <f>+IF(P441=0,P441,P441/N441)</f>
        <v>0</v>
      </c>
    </row>
    <row r="442" spans="1:17" x14ac:dyDescent="0.25">
      <c r="A442" s="7">
        <v>46253.333333333336</v>
      </c>
      <c r="B442" s="6">
        <v>412.65</v>
      </c>
      <c r="C442" s="13">
        <v>0</v>
      </c>
      <c r="D442" s="18">
        <f>+B442+C442</f>
        <v>412.65</v>
      </c>
      <c r="E442" s="14">
        <v>0</v>
      </c>
      <c r="F442" s="18">
        <f t="shared" si="42"/>
        <v>0</v>
      </c>
      <c r="G442" s="18">
        <f t="shared" si="43"/>
        <v>0</v>
      </c>
      <c r="H442" s="14">
        <v>95.68</v>
      </c>
      <c r="I442" s="18">
        <f t="shared" si="44"/>
        <v>95.68</v>
      </c>
      <c r="J442" s="18">
        <f t="shared" si="45"/>
        <v>0</v>
      </c>
      <c r="K442" s="14">
        <v>7.36</v>
      </c>
      <c r="L442" s="18">
        <f t="shared" si="46"/>
        <v>7.36</v>
      </c>
      <c r="M442" s="18">
        <f t="shared" si="47"/>
        <v>0</v>
      </c>
      <c r="N442" s="15">
        <f t="shared" si="48"/>
        <v>103.04</v>
      </c>
      <c r="O442" s="15">
        <f>+N442-P442</f>
        <v>103.04</v>
      </c>
      <c r="P442" s="15">
        <f>+IF(N442&gt;D442,N442-D442,0)</f>
        <v>0</v>
      </c>
      <c r="Q442" s="5">
        <f>+IF(P442=0,P442,P442/N442)</f>
        <v>0</v>
      </c>
    </row>
    <row r="443" spans="1:17" x14ac:dyDescent="0.25">
      <c r="A443" s="7">
        <v>46253.375</v>
      </c>
      <c r="B443" s="6">
        <v>1055.25</v>
      </c>
      <c r="C443" s="13">
        <v>0.36</v>
      </c>
      <c r="D443" s="18">
        <f>+B443+C443</f>
        <v>1055.6099999999999</v>
      </c>
      <c r="E443" s="14">
        <v>0</v>
      </c>
      <c r="F443" s="18">
        <f t="shared" si="42"/>
        <v>0</v>
      </c>
      <c r="G443" s="18">
        <f t="shared" si="43"/>
        <v>0</v>
      </c>
      <c r="H443" s="14">
        <v>48.4</v>
      </c>
      <c r="I443" s="18">
        <f t="shared" si="44"/>
        <v>48.4</v>
      </c>
      <c r="J443" s="18">
        <f t="shared" si="45"/>
        <v>0</v>
      </c>
      <c r="K443" s="14">
        <v>50.08</v>
      </c>
      <c r="L443" s="18">
        <f t="shared" si="46"/>
        <v>50.08</v>
      </c>
      <c r="M443" s="18">
        <f t="shared" si="47"/>
        <v>0</v>
      </c>
      <c r="N443" s="15">
        <f t="shared" si="48"/>
        <v>98.47999999999999</v>
      </c>
      <c r="O443" s="15">
        <f>+N443-P443</f>
        <v>98.47999999999999</v>
      </c>
      <c r="P443" s="15">
        <f>+IF(N443&gt;D443,N443-D443,0)</f>
        <v>0</v>
      </c>
      <c r="Q443" s="5">
        <f>+IF(P443=0,P443,P443/N443)</f>
        <v>0</v>
      </c>
    </row>
    <row r="444" spans="1:17" x14ac:dyDescent="0.25">
      <c r="A444" s="7">
        <v>46253.416666666664</v>
      </c>
      <c r="B444" s="6">
        <v>1496.25</v>
      </c>
      <c r="C444" s="13">
        <v>0.96</v>
      </c>
      <c r="D444" s="18">
        <f>+B444+C444</f>
        <v>1497.21</v>
      </c>
      <c r="E444" s="14">
        <v>0</v>
      </c>
      <c r="F444" s="18">
        <f t="shared" si="42"/>
        <v>0</v>
      </c>
      <c r="G444" s="18">
        <f t="shared" si="43"/>
        <v>0</v>
      </c>
      <c r="H444" s="14">
        <v>62.32</v>
      </c>
      <c r="I444" s="18">
        <f t="shared" si="44"/>
        <v>62.32</v>
      </c>
      <c r="J444" s="18">
        <f t="shared" si="45"/>
        <v>0</v>
      </c>
      <c r="K444" s="14">
        <v>16.48</v>
      </c>
      <c r="L444" s="18">
        <f t="shared" si="46"/>
        <v>16.48</v>
      </c>
      <c r="M444" s="18">
        <f t="shared" si="47"/>
        <v>0</v>
      </c>
      <c r="N444" s="15">
        <f t="shared" si="48"/>
        <v>78.8</v>
      </c>
      <c r="O444" s="15">
        <f>+N444-P444</f>
        <v>78.8</v>
      </c>
      <c r="P444" s="15">
        <f>+IF(N444&gt;D444,N444-D444,0)</f>
        <v>0</v>
      </c>
      <c r="Q444" s="5">
        <f>+IF(P444=0,P444,P444/N444)</f>
        <v>0</v>
      </c>
    </row>
    <row r="445" spans="1:17" x14ac:dyDescent="0.25">
      <c r="A445" s="7">
        <v>46253.458333333336</v>
      </c>
      <c r="B445" s="6">
        <v>1845.9</v>
      </c>
      <c r="C445" s="13">
        <v>8.76</v>
      </c>
      <c r="D445" s="18">
        <f>+B445+C445</f>
        <v>1854.66</v>
      </c>
      <c r="E445" s="14">
        <v>0</v>
      </c>
      <c r="F445" s="18">
        <f t="shared" si="42"/>
        <v>0</v>
      </c>
      <c r="G445" s="18">
        <f t="shared" si="43"/>
        <v>0</v>
      </c>
      <c r="H445" s="14">
        <v>24.88</v>
      </c>
      <c r="I445" s="18">
        <f t="shared" si="44"/>
        <v>24.88</v>
      </c>
      <c r="J445" s="18">
        <f t="shared" si="45"/>
        <v>0</v>
      </c>
      <c r="K445" s="14">
        <v>24.76</v>
      </c>
      <c r="L445" s="18">
        <f t="shared" si="46"/>
        <v>24.76</v>
      </c>
      <c r="M445" s="18">
        <f t="shared" si="47"/>
        <v>0</v>
      </c>
      <c r="N445" s="15">
        <f t="shared" si="48"/>
        <v>49.64</v>
      </c>
      <c r="O445" s="15">
        <f>+N445-P445</f>
        <v>49.64</v>
      </c>
      <c r="P445" s="15">
        <f>+IF(N445&gt;D445,N445-D445,0)</f>
        <v>0</v>
      </c>
      <c r="Q445" s="5">
        <f>+IF(P445=0,P445,P445/N445)</f>
        <v>0</v>
      </c>
    </row>
    <row r="446" spans="1:17" x14ac:dyDescent="0.25">
      <c r="A446" s="7">
        <v>46253.5</v>
      </c>
      <c r="B446" s="6">
        <v>2337.3000000000002</v>
      </c>
      <c r="C446" s="13">
        <v>31.92</v>
      </c>
      <c r="D446" s="18">
        <f>+B446+C446</f>
        <v>2369.2200000000003</v>
      </c>
      <c r="E446" s="14">
        <v>0</v>
      </c>
      <c r="F446" s="18">
        <f t="shared" si="42"/>
        <v>0</v>
      </c>
      <c r="G446" s="18">
        <f t="shared" si="43"/>
        <v>0</v>
      </c>
      <c r="H446" s="14">
        <v>15.28</v>
      </c>
      <c r="I446" s="18">
        <f t="shared" si="44"/>
        <v>15.28</v>
      </c>
      <c r="J446" s="18">
        <f t="shared" si="45"/>
        <v>0</v>
      </c>
      <c r="K446" s="14">
        <v>18.64</v>
      </c>
      <c r="L446" s="18">
        <f t="shared" si="46"/>
        <v>18.64</v>
      </c>
      <c r="M446" s="18">
        <f t="shared" si="47"/>
        <v>0</v>
      </c>
      <c r="N446" s="15">
        <f t="shared" si="48"/>
        <v>33.92</v>
      </c>
      <c r="O446" s="15">
        <f>+N446-P446</f>
        <v>33.92</v>
      </c>
      <c r="P446" s="15">
        <f>+IF(N446&gt;D446,N446-D446,0)</f>
        <v>0</v>
      </c>
      <c r="Q446" s="5">
        <f>+IF(P446=0,P446,P446/N446)</f>
        <v>0</v>
      </c>
    </row>
    <row r="447" spans="1:17" x14ac:dyDescent="0.25">
      <c r="A447" s="7">
        <v>46253.541666666664</v>
      </c>
      <c r="B447" s="6">
        <v>2365.65</v>
      </c>
      <c r="C447" s="13">
        <v>17.28</v>
      </c>
      <c r="D447" s="18">
        <f>+B447+C447</f>
        <v>2382.9300000000003</v>
      </c>
      <c r="E447" s="14">
        <v>0</v>
      </c>
      <c r="F447" s="18">
        <f t="shared" si="42"/>
        <v>0</v>
      </c>
      <c r="G447" s="18">
        <f t="shared" si="43"/>
        <v>0</v>
      </c>
      <c r="H447" s="14">
        <v>58.24</v>
      </c>
      <c r="I447" s="18">
        <f t="shared" si="44"/>
        <v>58.24</v>
      </c>
      <c r="J447" s="18">
        <f t="shared" si="45"/>
        <v>0</v>
      </c>
      <c r="K447" s="14">
        <v>16</v>
      </c>
      <c r="L447" s="18">
        <f t="shared" si="46"/>
        <v>16</v>
      </c>
      <c r="M447" s="18">
        <f t="shared" si="47"/>
        <v>0</v>
      </c>
      <c r="N447" s="15">
        <f t="shared" si="48"/>
        <v>74.240000000000009</v>
      </c>
      <c r="O447" s="15">
        <f>+N447-P447</f>
        <v>74.240000000000009</v>
      </c>
      <c r="P447" s="15">
        <f>+IF(N447&gt;D447,N447-D447,0)</f>
        <v>0</v>
      </c>
      <c r="Q447" s="5">
        <f>+IF(P447=0,P447,P447/N447)</f>
        <v>0</v>
      </c>
    </row>
    <row r="448" spans="1:17" x14ac:dyDescent="0.25">
      <c r="A448" s="7">
        <v>46253.583333333336</v>
      </c>
      <c r="B448" s="6">
        <v>1461.6</v>
      </c>
      <c r="C448" s="13">
        <v>3.12</v>
      </c>
      <c r="D448" s="18">
        <f>+B448+C448</f>
        <v>1464.7199999999998</v>
      </c>
      <c r="E448" s="14">
        <v>0</v>
      </c>
      <c r="F448" s="18">
        <f t="shared" si="42"/>
        <v>0</v>
      </c>
      <c r="G448" s="18">
        <f t="shared" si="43"/>
        <v>0</v>
      </c>
      <c r="H448" s="14">
        <v>76.240000000000009</v>
      </c>
      <c r="I448" s="18">
        <f t="shared" si="44"/>
        <v>76.240000000000009</v>
      </c>
      <c r="J448" s="18">
        <f t="shared" si="45"/>
        <v>0</v>
      </c>
      <c r="K448" s="14">
        <v>36.28</v>
      </c>
      <c r="L448" s="18">
        <f t="shared" si="46"/>
        <v>36.28</v>
      </c>
      <c r="M448" s="18">
        <f t="shared" si="47"/>
        <v>0</v>
      </c>
      <c r="N448" s="15">
        <f t="shared" si="48"/>
        <v>112.52000000000001</v>
      </c>
      <c r="O448" s="15">
        <f>+N448-P448</f>
        <v>112.52000000000001</v>
      </c>
      <c r="P448" s="15">
        <f>+IF(N448&gt;D448,N448-D448,0)</f>
        <v>0</v>
      </c>
      <c r="Q448" s="5">
        <f>+IF(P448=0,P448,P448/N448)</f>
        <v>0</v>
      </c>
    </row>
    <row r="449" spans="1:17" x14ac:dyDescent="0.25">
      <c r="A449" s="7">
        <v>46253.625</v>
      </c>
      <c r="B449" s="6">
        <v>1449</v>
      </c>
      <c r="C449" s="13">
        <v>21.96</v>
      </c>
      <c r="D449" s="18">
        <f>+B449+C449</f>
        <v>1470.96</v>
      </c>
      <c r="E449" s="14">
        <v>0</v>
      </c>
      <c r="F449" s="18">
        <f t="shared" si="42"/>
        <v>0</v>
      </c>
      <c r="G449" s="18">
        <f t="shared" si="43"/>
        <v>0</v>
      </c>
      <c r="H449" s="14">
        <v>12.76</v>
      </c>
      <c r="I449" s="18">
        <f t="shared" si="44"/>
        <v>12.76</v>
      </c>
      <c r="J449" s="18">
        <f t="shared" si="45"/>
        <v>0</v>
      </c>
      <c r="K449" s="14">
        <v>39.76</v>
      </c>
      <c r="L449" s="18">
        <f t="shared" si="46"/>
        <v>39.76</v>
      </c>
      <c r="M449" s="18">
        <f t="shared" si="47"/>
        <v>0</v>
      </c>
      <c r="N449" s="15">
        <f t="shared" si="48"/>
        <v>52.519999999999996</v>
      </c>
      <c r="O449" s="15">
        <f>+N449-P449</f>
        <v>52.519999999999996</v>
      </c>
      <c r="P449" s="15">
        <f>+IF(N449&gt;D449,N449-D449,0)</f>
        <v>0</v>
      </c>
      <c r="Q449" s="5">
        <f>+IF(P449=0,P449,P449/N449)</f>
        <v>0</v>
      </c>
    </row>
    <row r="450" spans="1:17" x14ac:dyDescent="0.25">
      <c r="A450" s="7">
        <v>46253.666666666664</v>
      </c>
      <c r="B450" s="6">
        <v>765.45</v>
      </c>
      <c r="C450" s="13">
        <v>32.04</v>
      </c>
      <c r="D450" s="18">
        <f>+B450+C450</f>
        <v>797.49</v>
      </c>
      <c r="E450" s="14">
        <v>22.05</v>
      </c>
      <c r="F450" s="18">
        <f t="shared" si="42"/>
        <v>22.05</v>
      </c>
      <c r="G450" s="18">
        <f t="shared" si="43"/>
        <v>0</v>
      </c>
      <c r="H450" s="14">
        <v>40</v>
      </c>
      <c r="I450" s="18">
        <f t="shared" si="44"/>
        <v>40</v>
      </c>
      <c r="J450" s="18">
        <f t="shared" si="45"/>
        <v>0</v>
      </c>
      <c r="K450" s="14">
        <v>37</v>
      </c>
      <c r="L450" s="18">
        <f t="shared" si="46"/>
        <v>37</v>
      </c>
      <c r="M450" s="18">
        <f t="shared" si="47"/>
        <v>0</v>
      </c>
      <c r="N450" s="15">
        <f t="shared" si="48"/>
        <v>99.05</v>
      </c>
      <c r="O450" s="15">
        <f>+N450-P450</f>
        <v>99.05</v>
      </c>
      <c r="P450" s="15">
        <f>+IF(N450&gt;D450,N450-D450,0)</f>
        <v>0</v>
      </c>
      <c r="Q450" s="5">
        <f>+IF(P450=0,P450,P450/N450)</f>
        <v>0</v>
      </c>
    </row>
    <row r="451" spans="1:17" x14ac:dyDescent="0.25">
      <c r="A451" s="7">
        <v>46253.708333333336</v>
      </c>
      <c r="B451" s="6">
        <v>75.599999999999994</v>
      </c>
      <c r="C451" s="13">
        <v>0.24</v>
      </c>
      <c r="D451" s="18">
        <f>+B451+C451</f>
        <v>75.839999999999989</v>
      </c>
      <c r="E451" s="14">
        <v>144.88400000000001</v>
      </c>
      <c r="F451" s="18">
        <f t="shared" ref="F451:F514" si="49">+E451-G451</f>
        <v>46.432626899477683</v>
      </c>
      <c r="G451" s="18">
        <f t="shared" ref="G451:G514" si="50">+E451*Q451</f>
        <v>98.451373100522332</v>
      </c>
      <c r="H451" s="14">
        <v>52.24</v>
      </c>
      <c r="I451" s="18">
        <f t="shared" ref="I451:I514" si="51">+H451-J451</f>
        <v>16.741948242930306</v>
      </c>
      <c r="J451" s="18">
        <f t="shared" ref="J451:J514" si="52">+H451*Q451</f>
        <v>35.498051757069696</v>
      </c>
      <c r="K451" s="14">
        <v>39.519999999999996</v>
      </c>
      <c r="L451" s="18">
        <f t="shared" ref="L451:L514" si="53">+K451-M451</f>
        <v>12.66542485759199</v>
      </c>
      <c r="M451" s="18">
        <f t="shared" ref="M451:M514" si="54">+K451*Q451</f>
        <v>26.854575142408006</v>
      </c>
      <c r="N451" s="15">
        <f t="shared" ref="N451:N514" si="55">+E451+H451+K451</f>
        <v>236.64400000000001</v>
      </c>
      <c r="O451" s="15">
        <f>+N451-P451</f>
        <v>75.839999999999975</v>
      </c>
      <c r="P451" s="15">
        <f>+IF(N451&gt;D451,N451-D451,0)</f>
        <v>160.80400000000003</v>
      </c>
      <c r="Q451" s="5">
        <f>+IF(P451=0,P451,P451/N451)</f>
        <v>0.67951860178157919</v>
      </c>
    </row>
    <row r="452" spans="1:17" x14ac:dyDescent="0.25">
      <c r="A452" s="7">
        <v>46253.75</v>
      </c>
      <c r="B452" s="6">
        <v>277.2</v>
      </c>
      <c r="C452" s="13">
        <v>0.24</v>
      </c>
      <c r="D452" s="18">
        <f>+B452+C452</f>
        <v>277.44</v>
      </c>
      <c r="E452" s="14">
        <v>0</v>
      </c>
      <c r="F452" s="18">
        <f t="shared" si="49"/>
        <v>0</v>
      </c>
      <c r="G452" s="18">
        <f t="shared" si="50"/>
        <v>0</v>
      </c>
      <c r="H452" s="14">
        <v>30.28</v>
      </c>
      <c r="I452" s="18">
        <f t="shared" si="51"/>
        <v>30.28</v>
      </c>
      <c r="J452" s="18">
        <f t="shared" si="52"/>
        <v>0</v>
      </c>
      <c r="K452" s="14">
        <v>43</v>
      </c>
      <c r="L452" s="18">
        <f t="shared" si="53"/>
        <v>43</v>
      </c>
      <c r="M452" s="18">
        <f t="shared" si="54"/>
        <v>0</v>
      </c>
      <c r="N452" s="15">
        <f t="shared" si="55"/>
        <v>73.28</v>
      </c>
      <c r="O452" s="15">
        <f>+N452-P452</f>
        <v>73.28</v>
      </c>
      <c r="P452" s="15">
        <f>+IF(N452&gt;D452,N452-D452,0)</f>
        <v>0</v>
      </c>
      <c r="Q452" s="5">
        <f>+IF(P452=0,P452,P452/N452)</f>
        <v>0</v>
      </c>
    </row>
    <row r="453" spans="1:17" x14ac:dyDescent="0.25">
      <c r="A453" s="7">
        <v>46253.791666666664</v>
      </c>
      <c r="B453" s="6">
        <v>0</v>
      </c>
      <c r="C453" s="13">
        <v>0</v>
      </c>
      <c r="D453" s="18">
        <f>+B453+C453</f>
        <v>0</v>
      </c>
      <c r="E453" s="14">
        <v>100.789</v>
      </c>
      <c r="F453" s="18">
        <f t="shared" si="49"/>
        <v>0</v>
      </c>
      <c r="G453" s="18">
        <f t="shared" si="50"/>
        <v>100.789</v>
      </c>
      <c r="H453" s="14">
        <v>82</v>
      </c>
      <c r="I453" s="18">
        <f t="shared" si="51"/>
        <v>0</v>
      </c>
      <c r="J453" s="18">
        <f t="shared" si="52"/>
        <v>82</v>
      </c>
      <c r="K453" s="14">
        <v>35.32</v>
      </c>
      <c r="L453" s="18">
        <f t="shared" si="53"/>
        <v>0</v>
      </c>
      <c r="M453" s="18">
        <f t="shared" si="54"/>
        <v>35.32</v>
      </c>
      <c r="N453" s="15">
        <f t="shared" si="55"/>
        <v>218.10899999999998</v>
      </c>
      <c r="O453" s="15">
        <f>+N453-P453</f>
        <v>0</v>
      </c>
      <c r="P453" s="15">
        <f>+IF(N453&gt;D453,N453-D453,0)</f>
        <v>218.10899999999998</v>
      </c>
      <c r="Q453" s="5">
        <f>+IF(P453=0,P453,P453/N453)</f>
        <v>1</v>
      </c>
    </row>
    <row r="454" spans="1:17" x14ac:dyDescent="0.25">
      <c r="A454" s="7">
        <v>46253.833333333336</v>
      </c>
      <c r="B454" s="6">
        <v>0</v>
      </c>
      <c r="C454" s="13">
        <v>0</v>
      </c>
      <c r="D454" s="18">
        <f>+B454+C454</f>
        <v>0</v>
      </c>
      <c r="E454" s="14">
        <v>1080.3339999999998</v>
      </c>
      <c r="F454" s="18">
        <f t="shared" si="49"/>
        <v>0</v>
      </c>
      <c r="G454" s="18">
        <f t="shared" si="50"/>
        <v>1080.3339999999998</v>
      </c>
      <c r="H454" s="14">
        <v>92.44</v>
      </c>
      <c r="I454" s="18">
        <f t="shared" si="51"/>
        <v>0</v>
      </c>
      <c r="J454" s="18">
        <f t="shared" si="52"/>
        <v>92.44</v>
      </c>
      <c r="K454" s="14">
        <v>11.92</v>
      </c>
      <c r="L454" s="18">
        <f t="shared" si="53"/>
        <v>0</v>
      </c>
      <c r="M454" s="18">
        <f t="shared" si="54"/>
        <v>11.92</v>
      </c>
      <c r="N454" s="15">
        <f t="shared" si="55"/>
        <v>1184.694</v>
      </c>
      <c r="O454" s="15">
        <f>+N454-P454</f>
        <v>0</v>
      </c>
      <c r="P454" s="15">
        <f>+IF(N454&gt;D454,N454-D454,0)</f>
        <v>1184.694</v>
      </c>
      <c r="Q454" s="5">
        <f>+IF(P454=0,P454,P454/N454)</f>
        <v>1</v>
      </c>
    </row>
    <row r="455" spans="1:17" x14ac:dyDescent="0.25">
      <c r="A455" s="7">
        <v>46253.875</v>
      </c>
      <c r="B455" s="6">
        <v>0</v>
      </c>
      <c r="C455" s="13">
        <v>0</v>
      </c>
      <c r="D455" s="18">
        <f>+B455+C455</f>
        <v>0</v>
      </c>
      <c r="E455" s="14">
        <v>944.89800000000002</v>
      </c>
      <c r="F455" s="18">
        <f t="shared" si="49"/>
        <v>0</v>
      </c>
      <c r="G455" s="18">
        <f t="shared" si="50"/>
        <v>944.89800000000002</v>
      </c>
      <c r="H455" s="14">
        <v>91.36</v>
      </c>
      <c r="I455" s="18">
        <f t="shared" si="51"/>
        <v>0</v>
      </c>
      <c r="J455" s="18">
        <f t="shared" si="52"/>
        <v>91.36</v>
      </c>
      <c r="K455" s="14">
        <v>2.8</v>
      </c>
      <c r="L455" s="18">
        <f t="shared" si="53"/>
        <v>0</v>
      </c>
      <c r="M455" s="18">
        <f t="shared" si="54"/>
        <v>2.8</v>
      </c>
      <c r="N455" s="15">
        <f t="shared" si="55"/>
        <v>1039.058</v>
      </c>
      <c r="O455" s="15">
        <f>+N455-P455</f>
        <v>0</v>
      </c>
      <c r="P455" s="15">
        <f>+IF(N455&gt;D455,N455-D455,0)</f>
        <v>1039.058</v>
      </c>
      <c r="Q455" s="5">
        <f>+IF(P455=0,P455,P455/N455)</f>
        <v>1</v>
      </c>
    </row>
    <row r="456" spans="1:17" x14ac:dyDescent="0.25">
      <c r="A456" s="7">
        <v>46253.916666666664</v>
      </c>
      <c r="B456" s="6">
        <v>0</v>
      </c>
      <c r="C456" s="13">
        <v>0</v>
      </c>
      <c r="D456" s="18">
        <f>+B456+C456</f>
        <v>0</v>
      </c>
      <c r="E456" s="14">
        <v>841.06499999999994</v>
      </c>
      <c r="F456" s="18">
        <f t="shared" si="49"/>
        <v>0</v>
      </c>
      <c r="G456" s="18">
        <f t="shared" si="50"/>
        <v>841.06499999999994</v>
      </c>
      <c r="H456" s="14">
        <v>93.64</v>
      </c>
      <c r="I456" s="18">
        <f t="shared" si="51"/>
        <v>0</v>
      </c>
      <c r="J456" s="18">
        <f t="shared" si="52"/>
        <v>93.64</v>
      </c>
      <c r="K456" s="14">
        <v>2.68</v>
      </c>
      <c r="L456" s="18">
        <f t="shared" si="53"/>
        <v>0</v>
      </c>
      <c r="M456" s="18">
        <f t="shared" si="54"/>
        <v>2.68</v>
      </c>
      <c r="N456" s="15">
        <f t="shared" si="55"/>
        <v>937.38499999999988</v>
      </c>
      <c r="O456" s="15">
        <f>+N456-P456</f>
        <v>0</v>
      </c>
      <c r="P456" s="15">
        <f>+IF(N456&gt;D456,N456-D456,0)</f>
        <v>937.38499999999988</v>
      </c>
      <c r="Q456" s="5">
        <f>+IF(P456=0,P456,P456/N456)</f>
        <v>1</v>
      </c>
    </row>
    <row r="457" spans="1:17" x14ac:dyDescent="0.25">
      <c r="A457" s="7">
        <v>46253.958333333336</v>
      </c>
      <c r="B457" s="6">
        <v>0</v>
      </c>
      <c r="C457" s="13">
        <v>0</v>
      </c>
      <c r="D457" s="18">
        <f>+B457+C457</f>
        <v>0</v>
      </c>
      <c r="E457" s="14">
        <v>1190.721</v>
      </c>
      <c r="F457" s="18">
        <f t="shared" si="49"/>
        <v>0</v>
      </c>
      <c r="G457" s="18">
        <f t="shared" si="50"/>
        <v>1190.721</v>
      </c>
      <c r="H457" s="14">
        <v>95.68</v>
      </c>
      <c r="I457" s="18">
        <f t="shared" si="51"/>
        <v>0</v>
      </c>
      <c r="J457" s="18">
        <f t="shared" si="52"/>
        <v>95.68</v>
      </c>
      <c r="K457" s="14">
        <v>2.92</v>
      </c>
      <c r="L457" s="18">
        <f t="shared" si="53"/>
        <v>0</v>
      </c>
      <c r="M457" s="18">
        <f t="shared" si="54"/>
        <v>2.92</v>
      </c>
      <c r="N457" s="15">
        <f t="shared" si="55"/>
        <v>1289.3210000000001</v>
      </c>
      <c r="O457" s="15">
        <f>+N457-P457</f>
        <v>0</v>
      </c>
      <c r="P457" s="15">
        <f>+IF(N457&gt;D457,N457-D457,0)</f>
        <v>1289.3210000000001</v>
      </c>
      <c r="Q457" s="5">
        <f>+IF(P457=0,P457,P457/N457)</f>
        <v>1</v>
      </c>
    </row>
    <row r="458" spans="1:17" x14ac:dyDescent="0.25">
      <c r="A458" s="7">
        <v>46254</v>
      </c>
      <c r="B458" s="6">
        <v>0</v>
      </c>
      <c r="C458" s="13">
        <v>0</v>
      </c>
      <c r="D458" s="18">
        <f>+B458+C458</f>
        <v>0</v>
      </c>
      <c r="E458" s="14">
        <v>1052.1180000000002</v>
      </c>
      <c r="F458" s="18">
        <f t="shared" si="49"/>
        <v>0</v>
      </c>
      <c r="G458" s="18">
        <f t="shared" si="50"/>
        <v>1052.1180000000002</v>
      </c>
      <c r="H458" s="14">
        <v>90.28</v>
      </c>
      <c r="I458" s="18">
        <f t="shared" si="51"/>
        <v>0</v>
      </c>
      <c r="J458" s="18">
        <f t="shared" si="52"/>
        <v>90.28</v>
      </c>
      <c r="K458" s="14">
        <v>2.92</v>
      </c>
      <c r="L458" s="18">
        <f t="shared" si="53"/>
        <v>0</v>
      </c>
      <c r="M458" s="18">
        <f t="shared" si="54"/>
        <v>2.92</v>
      </c>
      <c r="N458" s="15">
        <f t="shared" si="55"/>
        <v>1145.3180000000002</v>
      </c>
      <c r="O458" s="15">
        <f>+N458-P458</f>
        <v>0</v>
      </c>
      <c r="P458" s="15">
        <f>+IF(N458&gt;D458,N458-D458,0)</f>
        <v>1145.3180000000002</v>
      </c>
      <c r="Q458" s="5">
        <f>+IF(P458=0,P458,P458/N458)</f>
        <v>1</v>
      </c>
    </row>
    <row r="459" spans="1:17" x14ac:dyDescent="0.25">
      <c r="A459" s="7">
        <v>46254.041666666664</v>
      </c>
      <c r="B459" s="6">
        <v>0</v>
      </c>
      <c r="C459" s="13">
        <v>0</v>
      </c>
      <c r="D459" s="18">
        <f>+B459+C459</f>
        <v>0</v>
      </c>
      <c r="E459" s="14">
        <v>40.951000000000001</v>
      </c>
      <c r="F459" s="18">
        <f t="shared" si="49"/>
        <v>0</v>
      </c>
      <c r="G459" s="18">
        <f t="shared" si="50"/>
        <v>40.951000000000001</v>
      </c>
      <c r="H459" s="14">
        <v>96.16</v>
      </c>
      <c r="I459" s="18">
        <f t="shared" si="51"/>
        <v>0</v>
      </c>
      <c r="J459" s="18">
        <f t="shared" si="52"/>
        <v>96.16</v>
      </c>
      <c r="K459" s="14">
        <v>2.8</v>
      </c>
      <c r="L459" s="18">
        <f t="shared" si="53"/>
        <v>0</v>
      </c>
      <c r="M459" s="18">
        <f t="shared" si="54"/>
        <v>2.8</v>
      </c>
      <c r="N459" s="15">
        <f t="shared" si="55"/>
        <v>139.911</v>
      </c>
      <c r="O459" s="15">
        <f>+N459-P459</f>
        <v>0</v>
      </c>
      <c r="P459" s="15">
        <f>+IF(N459&gt;D459,N459-D459,0)</f>
        <v>139.911</v>
      </c>
      <c r="Q459" s="5">
        <f>+IF(P459=0,P459,P459/N459)</f>
        <v>1</v>
      </c>
    </row>
    <row r="460" spans="1:17" x14ac:dyDescent="0.25">
      <c r="A460" s="7">
        <v>46254.083333333336</v>
      </c>
      <c r="B460" s="6">
        <v>0</v>
      </c>
      <c r="C460" s="13">
        <v>0</v>
      </c>
      <c r="D460" s="18">
        <f>+B460+C460</f>
        <v>0</v>
      </c>
      <c r="E460" s="14">
        <v>1099.3690000000001</v>
      </c>
      <c r="F460" s="18">
        <f t="shared" si="49"/>
        <v>0</v>
      </c>
      <c r="G460" s="18">
        <f t="shared" si="50"/>
        <v>1099.3690000000001</v>
      </c>
      <c r="H460" s="14">
        <v>94.47999999999999</v>
      </c>
      <c r="I460" s="18">
        <f t="shared" si="51"/>
        <v>0</v>
      </c>
      <c r="J460" s="18">
        <f t="shared" si="52"/>
        <v>94.47999999999999</v>
      </c>
      <c r="K460" s="14">
        <v>2.68</v>
      </c>
      <c r="L460" s="18">
        <f t="shared" si="53"/>
        <v>0</v>
      </c>
      <c r="M460" s="18">
        <f t="shared" si="54"/>
        <v>2.68</v>
      </c>
      <c r="N460" s="15">
        <f t="shared" si="55"/>
        <v>1196.5290000000002</v>
      </c>
      <c r="O460" s="15">
        <f>+N460-P460</f>
        <v>0</v>
      </c>
      <c r="P460" s="15">
        <f>+IF(N460&gt;D460,N460-D460,0)</f>
        <v>1196.5290000000002</v>
      </c>
      <c r="Q460" s="5">
        <f>+IF(P460=0,P460,P460/N460)</f>
        <v>1</v>
      </c>
    </row>
    <row r="461" spans="1:17" x14ac:dyDescent="0.25">
      <c r="A461" s="7">
        <v>46254.125</v>
      </c>
      <c r="B461" s="6">
        <v>0</v>
      </c>
      <c r="C461" s="13">
        <v>0</v>
      </c>
      <c r="D461" s="18">
        <f>+B461+C461</f>
        <v>0</v>
      </c>
      <c r="E461" s="14">
        <v>1165.52</v>
      </c>
      <c r="F461" s="18">
        <f t="shared" si="49"/>
        <v>0</v>
      </c>
      <c r="G461" s="18">
        <f t="shared" si="50"/>
        <v>1165.52</v>
      </c>
      <c r="H461" s="14">
        <v>69.28</v>
      </c>
      <c r="I461" s="18">
        <f t="shared" si="51"/>
        <v>0</v>
      </c>
      <c r="J461" s="18">
        <f t="shared" si="52"/>
        <v>69.28</v>
      </c>
      <c r="K461" s="14">
        <v>2.92</v>
      </c>
      <c r="L461" s="18">
        <f t="shared" si="53"/>
        <v>0</v>
      </c>
      <c r="M461" s="18">
        <f t="shared" si="54"/>
        <v>2.92</v>
      </c>
      <c r="N461" s="15">
        <f t="shared" si="55"/>
        <v>1237.72</v>
      </c>
      <c r="O461" s="15">
        <f>+N461-P461</f>
        <v>0</v>
      </c>
      <c r="P461" s="15">
        <f>+IF(N461&gt;D461,N461-D461,0)</f>
        <v>1237.72</v>
      </c>
      <c r="Q461" s="5">
        <f>+IF(P461=0,P461,P461/N461)</f>
        <v>1</v>
      </c>
    </row>
    <row r="462" spans="1:17" x14ac:dyDescent="0.25">
      <c r="A462" s="7">
        <v>46254.166666666664</v>
      </c>
      <c r="B462" s="6">
        <v>0</v>
      </c>
      <c r="C462" s="13">
        <v>0</v>
      </c>
      <c r="D462" s="18">
        <f>+B462+C462</f>
        <v>0</v>
      </c>
      <c r="E462" s="14">
        <v>885.16499999999996</v>
      </c>
      <c r="F462" s="18">
        <f t="shared" si="49"/>
        <v>0</v>
      </c>
      <c r="G462" s="18">
        <f t="shared" si="50"/>
        <v>885.16499999999996</v>
      </c>
      <c r="H462" s="14">
        <v>54.64</v>
      </c>
      <c r="I462" s="18">
        <f t="shared" si="51"/>
        <v>0</v>
      </c>
      <c r="J462" s="18">
        <f t="shared" si="52"/>
        <v>54.64</v>
      </c>
      <c r="K462" s="14">
        <v>2.68</v>
      </c>
      <c r="L462" s="18">
        <f t="shared" si="53"/>
        <v>0</v>
      </c>
      <c r="M462" s="18">
        <f t="shared" si="54"/>
        <v>2.68</v>
      </c>
      <c r="N462" s="15">
        <f t="shared" si="55"/>
        <v>942.4849999999999</v>
      </c>
      <c r="O462" s="15">
        <f>+N462-P462</f>
        <v>0</v>
      </c>
      <c r="P462" s="15">
        <f>+IF(N462&gt;D462,N462-D462,0)</f>
        <v>942.4849999999999</v>
      </c>
      <c r="Q462" s="5">
        <f>+IF(P462=0,P462,P462/N462)</f>
        <v>1</v>
      </c>
    </row>
    <row r="463" spans="1:17" x14ac:dyDescent="0.25">
      <c r="A463" s="7">
        <v>46254.208333333336</v>
      </c>
      <c r="B463" s="6">
        <v>0</v>
      </c>
      <c r="C463" s="13">
        <v>0</v>
      </c>
      <c r="D463" s="18">
        <f>+B463+C463</f>
        <v>0</v>
      </c>
      <c r="E463" s="14">
        <v>1115.1189999999999</v>
      </c>
      <c r="F463" s="18">
        <f t="shared" si="49"/>
        <v>0</v>
      </c>
      <c r="G463" s="18">
        <f t="shared" si="50"/>
        <v>1115.1189999999999</v>
      </c>
      <c r="H463" s="14">
        <v>44.92</v>
      </c>
      <c r="I463" s="18">
        <f t="shared" si="51"/>
        <v>0</v>
      </c>
      <c r="J463" s="18">
        <f t="shared" si="52"/>
        <v>44.92</v>
      </c>
      <c r="K463" s="14">
        <v>2.68</v>
      </c>
      <c r="L463" s="18">
        <f t="shared" si="53"/>
        <v>0</v>
      </c>
      <c r="M463" s="18">
        <f t="shared" si="54"/>
        <v>2.68</v>
      </c>
      <c r="N463" s="15">
        <f t="shared" si="55"/>
        <v>1162.7190000000001</v>
      </c>
      <c r="O463" s="15">
        <f>+N463-P463</f>
        <v>0</v>
      </c>
      <c r="P463" s="15">
        <f>+IF(N463&gt;D463,N463-D463,0)</f>
        <v>1162.7190000000001</v>
      </c>
      <c r="Q463" s="5">
        <f>+IF(P463=0,P463,P463/N463)</f>
        <v>1</v>
      </c>
    </row>
    <row r="464" spans="1:17" x14ac:dyDescent="0.25">
      <c r="A464" s="7">
        <v>46254.25</v>
      </c>
      <c r="B464" s="6">
        <v>53.55</v>
      </c>
      <c r="C464" s="13">
        <v>0</v>
      </c>
      <c r="D464" s="18">
        <f>+B464+C464</f>
        <v>53.55</v>
      </c>
      <c r="E464" s="14">
        <v>3.15</v>
      </c>
      <c r="F464" s="18">
        <f t="shared" si="49"/>
        <v>3.15</v>
      </c>
      <c r="G464" s="18">
        <f t="shared" si="50"/>
        <v>0</v>
      </c>
      <c r="H464" s="14">
        <v>28.479999999999997</v>
      </c>
      <c r="I464" s="18">
        <f t="shared" si="51"/>
        <v>28.479999999999997</v>
      </c>
      <c r="J464" s="18">
        <f t="shared" si="52"/>
        <v>0</v>
      </c>
      <c r="K464" s="14">
        <v>3.76</v>
      </c>
      <c r="L464" s="18">
        <f t="shared" si="53"/>
        <v>3.76</v>
      </c>
      <c r="M464" s="18">
        <f t="shared" si="54"/>
        <v>0</v>
      </c>
      <c r="N464" s="15">
        <f t="shared" si="55"/>
        <v>35.389999999999993</v>
      </c>
      <c r="O464" s="15">
        <f>+N464-P464</f>
        <v>35.389999999999993</v>
      </c>
      <c r="P464" s="15">
        <f>+IF(N464&gt;D464,N464-D464,0)</f>
        <v>0</v>
      </c>
      <c r="Q464" s="5">
        <f>+IF(P464=0,P464,P464/N464)</f>
        <v>0</v>
      </c>
    </row>
    <row r="465" spans="1:17" x14ac:dyDescent="0.25">
      <c r="A465" s="7">
        <v>46254.291666666664</v>
      </c>
      <c r="B465" s="6">
        <v>497.7</v>
      </c>
      <c r="C465" s="13">
        <v>0.24</v>
      </c>
      <c r="D465" s="18">
        <f>+B465+C465</f>
        <v>497.94</v>
      </c>
      <c r="E465" s="14">
        <v>0</v>
      </c>
      <c r="F465" s="18">
        <f t="shared" si="49"/>
        <v>0</v>
      </c>
      <c r="G465" s="18">
        <f t="shared" si="50"/>
        <v>0</v>
      </c>
      <c r="H465" s="14">
        <v>40.36</v>
      </c>
      <c r="I465" s="18">
        <f t="shared" si="51"/>
        <v>40.36</v>
      </c>
      <c r="J465" s="18">
        <f t="shared" si="52"/>
        <v>0</v>
      </c>
      <c r="K465" s="14">
        <v>2.2000000000000002</v>
      </c>
      <c r="L465" s="18">
        <f t="shared" si="53"/>
        <v>2.2000000000000002</v>
      </c>
      <c r="M465" s="18">
        <f t="shared" si="54"/>
        <v>0</v>
      </c>
      <c r="N465" s="15">
        <f t="shared" si="55"/>
        <v>42.56</v>
      </c>
      <c r="O465" s="15">
        <f>+N465-P465</f>
        <v>42.56</v>
      </c>
      <c r="P465" s="15">
        <f>+IF(N465&gt;D465,N465-D465,0)</f>
        <v>0</v>
      </c>
      <c r="Q465" s="5">
        <f>+IF(P465=0,P465,P465/N465)</f>
        <v>0</v>
      </c>
    </row>
    <row r="466" spans="1:17" x14ac:dyDescent="0.25">
      <c r="A466" s="7">
        <v>46254.333333333336</v>
      </c>
      <c r="B466" s="6">
        <v>494.55</v>
      </c>
      <c r="C466" s="13">
        <v>0</v>
      </c>
      <c r="D466" s="18">
        <f>+B466+C466</f>
        <v>494.55</v>
      </c>
      <c r="E466" s="14">
        <v>0</v>
      </c>
      <c r="F466" s="18">
        <f t="shared" si="49"/>
        <v>0</v>
      </c>
      <c r="G466" s="18">
        <f t="shared" si="50"/>
        <v>0</v>
      </c>
      <c r="H466" s="14">
        <v>104.08000000000001</v>
      </c>
      <c r="I466" s="18">
        <f t="shared" si="51"/>
        <v>104.08000000000001</v>
      </c>
      <c r="J466" s="18">
        <f t="shared" si="52"/>
        <v>0</v>
      </c>
      <c r="K466" s="14">
        <v>2.68</v>
      </c>
      <c r="L466" s="18">
        <f t="shared" si="53"/>
        <v>2.68</v>
      </c>
      <c r="M466" s="18">
        <f t="shared" si="54"/>
        <v>0</v>
      </c>
      <c r="N466" s="15">
        <f t="shared" si="55"/>
        <v>106.76000000000002</v>
      </c>
      <c r="O466" s="15">
        <f>+N466-P466</f>
        <v>106.76000000000002</v>
      </c>
      <c r="P466" s="15">
        <f>+IF(N466&gt;D466,N466-D466,0)</f>
        <v>0</v>
      </c>
      <c r="Q466" s="5">
        <f>+IF(P466=0,P466,P466/N466)</f>
        <v>0</v>
      </c>
    </row>
    <row r="467" spans="1:17" x14ac:dyDescent="0.25">
      <c r="A467" s="7">
        <v>46254.375</v>
      </c>
      <c r="B467" s="6">
        <v>967.05</v>
      </c>
      <c r="C467" s="13">
        <v>1.68</v>
      </c>
      <c r="D467" s="18">
        <f>+B467+C467</f>
        <v>968.7299999999999</v>
      </c>
      <c r="E467" s="14">
        <v>0</v>
      </c>
      <c r="F467" s="18">
        <f t="shared" si="49"/>
        <v>0</v>
      </c>
      <c r="G467" s="18">
        <f t="shared" si="50"/>
        <v>0</v>
      </c>
      <c r="H467" s="14">
        <v>55.239999999999995</v>
      </c>
      <c r="I467" s="18">
        <f t="shared" si="51"/>
        <v>55.239999999999995</v>
      </c>
      <c r="J467" s="18">
        <f t="shared" si="52"/>
        <v>0</v>
      </c>
      <c r="K467" s="14">
        <v>2.3199999999999998</v>
      </c>
      <c r="L467" s="18">
        <f t="shared" si="53"/>
        <v>2.3199999999999998</v>
      </c>
      <c r="M467" s="18">
        <f t="shared" si="54"/>
        <v>0</v>
      </c>
      <c r="N467" s="15">
        <f t="shared" si="55"/>
        <v>57.559999999999995</v>
      </c>
      <c r="O467" s="15">
        <f>+N467-P467</f>
        <v>57.559999999999995</v>
      </c>
      <c r="P467" s="15">
        <f>+IF(N467&gt;D467,N467-D467,0)</f>
        <v>0</v>
      </c>
      <c r="Q467" s="5">
        <f>+IF(P467=0,P467,P467/N467)</f>
        <v>0</v>
      </c>
    </row>
    <row r="468" spans="1:17" x14ac:dyDescent="0.25">
      <c r="A468" s="7">
        <v>46254.416666666664</v>
      </c>
      <c r="B468" s="6">
        <v>1619.1</v>
      </c>
      <c r="C468" s="13">
        <v>7.68</v>
      </c>
      <c r="D468" s="18">
        <f>+B468+C468</f>
        <v>1626.78</v>
      </c>
      <c r="E468" s="14">
        <v>0</v>
      </c>
      <c r="F468" s="18">
        <f t="shared" si="49"/>
        <v>0</v>
      </c>
      <c r="G468" s="18">
        <f t="shared" si="50"/>
        <v>0</v>
      </c>
      <c r="H468" s="14">
        <v>20.92</v>
      </c>
      <c r="I468" s="18">
        <f t="shared" si="51"/>
        <v>20.92</v>
      </c>
      <c r="J468" s="18">
        <f t="shared" si="52"/>
        <v>0</v>
      </c>
      <c r="K468" s="14">
        <v>2.3199999999999998</v>
      </c>
      <c r="L468" s="18">
        <f t="shared" si="53"/>
        <v>2.3199999999999998</v>
      </c>
      <c r="M468" s="18">
        <f t="shared" si="54"/>
        <v>0</v>
      </c>
      <c r="N468" s="15">
        <f t="shared" si="55"/>
        <v>23.240000000000002</v>
      </c>
      <c r="O468" s="15">
        <f>+N468-P468</f>
        <v>23.240000000000002</v>
      </c>
      <c r="P468" s="15">
        <f>+IF(N468&gt;D468,N468-D468,0)</f>
        <v>0</v>
      </c>
      <c r="Q468" s="5">
        <f>+IF(P468=0,P468,P468/N468)</f>
        <v>0</v>
      </c>
    </row>
    <row r="469" spans="1:17" x14ac:dyDescent="0.25">
      <c r="A469" s="7">
        <v>46254.458333333336</v>
      </c>
      <c r="B469" s="6">
        <v>1625.4</v>
      </c>
      <c r="C469" s="13">
        <v>12.24</v>
      </c>
      <c r="D469" s="18">
        <f>+B469+C469</f>
        <v>1637.64</v>
      </c>
      <c r="E469" s="14">
        <v>0</v>
      </c>
      <c r="F469" s="18">
        <f t="shared" si="49"/>
        <v>0</v>
      </c>
      <c r="G469" s="18">
        <f t="shared" si="50"/>
        <v>0</v>
      </c>
      <c r="H469" s="14">
        <v>17.919999999999998</v>
      </c>
      <c r="I469" s="18">
        <f t="shared" si="51"/>
        <v>17.919999999999998</v>
      </c>
      <c r="J469" s="18">
        <f t="shared" si="52"/>
        <v>0</v>
      </c>
      <c r="K469" s="14">
        <v>5.2</v>
      </c>
      <c r="L469" s="18">
        <f t="shared" si="53"/>
        <v>5.2</v>
      </c>
      <c r="M469" s="18">
        <f t="shared" si="54"/>
        <v>0</v>
      </c>
      <c r="N469" s="15">
        <f t="shared" si="55"/>
        <v>23.119999999999997</v>
      </c>
      <c r="O469" s="15">
        <f>+N469-P469</f>
        <v>23.119999999999997</v>
      </c>
      <c r="P469" s="15">
        <f>+IF(N469&gt;D469,N469-D469,0)</f>
        <v>0</v>
      </c>
      <c r="Q469" s="5">
        <f>+IF(P469=0,P469,P469/N469)</f>
        <v>0</v>
      </c>
    </row>
    <row r="470" spans="1:17" x14ac:dyDescent="0.25">
      <c r="A470" s="7">
        <v>46254.5</v>
      </c>
      <c r="B470" s="6">
        <v>2245.9499999999998</v>
      </c>
      <c r="C470" s="13">
        <v>35.04</v>
      </c>
      <c r="D470" s="18">
        <f>+B470+C470</f>
        <v>2280.9899999999998</v>
      </c>
      <c r="E470" s="14">
        <v>0</v>
      </c>
      <c r="F470" s="18">
        <f t="shared" si="49"/>
        <v>0</v>
      </c>
      <c r="G470" s="18">
        <f t="shared" si="50"/>
        <v>0</v>
      </c>
      <c r="H470" s="14">
        <v>7.6</v>
      </c>
      <c r="I470" s="18">
        <f t="shared" si="51"/>
        <v>7.6</v>
      </c>
      <c r="J470" s="18">
        <f t="shared" si="52"/>
        <v>0</v>
      </c>
      <c r="K470" s="14">
        <v>15.520000000000001</v>
      </c>
      <c r="L470" s="18">
        <f t="shared" si="53"/>
        <v>15.520000000000001</v>
      </c>
      <c r="M470" s="18">
        <f t="shared" si="54"/>
        <v>0</v>
      </c>
      <c r="N470" s="15">
        <f t="shared" si="55"/>
        <v>23.12</v>
      </c>
      <c r="O470" s="15">
        <f>+N470-P470</f>
        <v>23.12</v>
      </c>
      <c r="P470" s="15">
        <f>+IF(N470&gt;D470,N470-D470,0)</f>
        <v>0</v>
      </c>
      <c r="Q470" s="5">
        <f>+IF(P470=0,P470,P470/N470)</f>
        <v>0</v>
      </c>
    </row>
    <row r="471" spans="1:17" x14ac:dyDescent="0.25">
      <c r="A471" s="7">
        <v>46254.541666666664</v>
      </c>
      <c r="B471" s="6">
        <v>2450.6999999999998</v>
      </c>
      <c r="C471" s="13">
        <v>17.760000000000002</v>
      </c>
      <c r="D471" s="18">
        <f>+B471+C471</f>
        <v>2468.46</v>
      </c>
      <c r="E471" s="14">
        <v>0</v>
      </c>
      <c r="F471" s="18">
        <f t="shared" si="49"/>
        <v>0</v>
      </c>
      <c r="G471" s="18">
        <f t="shared" si="50"/>
        <v>0</v>
      </c>
      <c r="H471" s="14">
        <v>13.12</v>
      </c>
      <c r="I471" s="18">
        <f t="shared" si="51"/>
        <v>13.12</v>
      </c>
      <c r="J471" s="18">
        <f t="shared" si="52"/>
        <v>0</v>
      </c>
      <c r="K471" s="14">
        <v>3.04</v>
      </c>
      <c r="L471" s="18">
        <f t="shared" si="53"/>
        <v>3.04</v>
      </c>
      <c r="M471" s="18">
        <f t="shared" si="54"/>
        <v>0</v>
      </c>
      <c r="N471" s="15">
        <f t="shared" si="55"/>
        <v>16.16</v>
      </c>
      <c r="O471" s="15">
        <f>+N471-P471</f>
        <v>16.16</v>
      </c>
      <c r="P471" s="15">
        <f>+IF(N471&gt;D471,N471-D471,0)</f>
        <v>0</v>
      </c>
      <c r="Q471" s="5">
        <f>+IF(P471=0,P471,P471/N471)</f>
        <v>0</v>
      </c>
    </row>
    <row r="472" spans="1:17" x14ac:dyDescent="0.25">
      <c r="A472" s="7">
        <v>46254.583333333336</v>
      </c>
      <c r="B472" s="6">
        <v>1360.8</v>
      </c>
      <c r="C472" s="13">
        <v>9.48</v>
      </c>
      <c r="D472" s="18">
        <f>+B472+C472</f>
        <v>1370.28</v>
      </c>
      <c r="E472" s="14">
        <v>3.15</v>
      </c>
      <c r="F472" s="18">
        <f t="shared" si="49"/>
        <v>3.15</v>
      </c>
      <c r="G472" s="18">
        <f t="shared" si="50"/>
        <v>0</v>
      </c>
      <c r="H472" s="14">
        <v>51.76</v>
      </c>
      <c r="I472" s="18">
        <f t="shared" si="51"/>
        <v>51.76</v>
      </c>
      <c r="J472" s="18">
        <f t="shared" si="52"/>
        <v>0</v>
      </c>
      <c r="K472" s="14">
        <v>2.3199999999999998</v>
      </c>
      <c r="L472" s="18">
        <f t="shared" si="53"/>
        <v>2.3199999999999998</v>
      </c>
      <c r="M472" s="18">
        <f t="shared" si="54"/>
        <v>0</v>
      </c>
      <c r="N472" s="15">
        <f t="shared" si="55"/>
        <v>57.23</v>
      </c>
      <c r="O472" s="15">
        <f>+N472-P472</f>
        <v>57.23</v>
      </c>
      <c r="P472" s="15">
        <f>+IF(N472&gt;D472,N472-D472,0)</f>
        <v>0</v>
      </c>
      <c r="Q472" s="5">
        <f>+IF(P472=0,P472,P472/N472)</f>
        <v>0</v>
      </c>
    </row>
    <row r="473" spans="1:17" x14ac:dyDescent="0.25">
      <c r="A473" s="7">
        <v>46254.625</v>
      </c>
      <c r="B473" s="6">
        <v>1181.25</v>
      </c>
      <c r="C473" s="13">
        <v>6.72</v>
      </c>
      <c r="D473" s="18">
        <f>+B473+C473</f>
        <v>1187.97</v>
      </c>
      <c r="E473" s="14">
        <v>3.15</v>
      </c>
      <c r="F473" s="18">
        <f t="shared" si="49"/>
        <v>3.15</v>
      </c>
      <c r="G473" s="18">
        <f t="shared" si="50"/>
        <v>0</v>
      </c>
      <c r="H473" s="14">
        <v>35.92</v>
      </c>
      <c r="I473" s="18">
        <f t="shared" si="51"/>
        <v>35.92</v>
      </c>
      <c r="J473" s="18">
        <f t="shared" si="52"/>
        <v>0</v>
      </c>
      <c r="K473" s="14">
        <v>2.44</v>
      </c>
      <c r="L473" s="18">
        <f t="shared" si="53"/>
        <v>2.44</v>
      </c>
      <c r="M473" s="18">
        <f t="shared" si="54"/>
        <v>0</v>
      </c>
      <c r="N473" s="15">
        <f t="shared" si="55"/>
        <v>41.51</v>
      </c>
      <c r="O473" s="15">
        <f>+N473-P473</f>
        <v>41.51</v>
      </c>
      <c r="P473" s="15">
        <f>+IF(N473&gt;D473,N473-D473,0)</f>
        <v>0</v>
      </c>
      <c r="Q473" s="5">
        <f>+IF(P473=0,P473,P473/N473)</f>
        <v>0</v>
      </c>
    </row>
    <row r="474" spans="1:17" x14ac:dyDescent="0.25">
      <c r="A474" s="7">
        <v>46254.666666666664</v>
      </c>
      <c r="B474" s="6">
        <v>812.7</v>
      </c>
      <c r="C474" s="13">
        <v>2.04</v>
      </c>
      <c r="D474" s="18">
        <f>+B474+C474</f>
        <v>814.74</v>
      </c>
      <c r="E474" s="14">
        <v>0</v>
      </c>
      <c r="F474" s="18">
        <f t="shared" si="49"/>
        <v>0</v>
      </c>
      <c r="G474" s="18">
        <f t="shared" si="50"/>
        <v>0</v>
      </c>
      <c r="H474" s="14">
        <v>62.68</v>
      </c>
      <c r="I474" s="18">
        <f t="shared" si="51"/>
        <v>62.68</v>
      </c>
      <c r="J474" s="18">
        <f t="shared" si="52"/>
        <v>0</v>
      </c>
      <c r="K474" s="14">
        <v>2.3199999999999998</v>
      </c>
      <c r="L474" s="18">
        <f t="shared" si="53"/>
        <v>2.3199999999999998</v>
      </c>
      <c r="M474" s="18">
        <f t="shared" si="54"/>
        <v>0</v>
      </c>
      <c r="N474" s="15">
        <f t="shared" si="55"/>
        <v>65</v>
      </c>
      <c r="O474" s="15">
        <f>+N474-P474</f>
        <v>65</v>
      </c>
      <c r="P474" s="15">
        <f>+IF(N474&gt;D474,N474-D474,0)</f>
        <v>0</v>
      </c>
      <c r="Q474" s="5">
        <f>+IF(P474=0,P474,P474/N474)</f>
        <v>0</v>
      </c>
    </row>
    <row r="475" spans="1:17" x14ac:dyDescent="0.25">
      <c r="A475" s="7">
        <v>46254.708333333336</v>
      </c>
      <c r="B475" s="6">
        <v>236.25</v>
      </c>
      <c r="C475" s="13">
        <v>0</v>
      </c>
      <c r="D475" s="18">
        <f>+B475+C475</f>
        <v>236.25</v>
      </c>
      <c r="E475" s="14">
        <v>97.63900000000001</v>
      </c>
      <c r="F475" s="18">
        <f t="shared" si="49"/>
        <v>97.63900000000001</v>
      </c>
      <c r="G475" s="18">
        <f t="shared" si="50"/>
        <v>0</v>
      </c>
      <c r="H475" s="14">
        <v>46.480000000000004</v>
      </c>
      <c r="I475" s="18">
        <f t="shared" si="51"/>
        <v>46.480000000000004</v>
      </c>
      <c r="J475" s="18">
        <f t="shared" si="52"/>
        <v>0</v>
      </c>
      <c r="K475" s="14">
        <v>2.3199999999999998</v>
      </c>
      <c r="L475" s="18">
        <f t="shared" si="53"/>
        <v>2.3199999999999998</v>
      </c>
      <c r="M475" s="18">
        <f t="shared" si="54"/>
        <v>0</v>
      </c>
      <c r="N475" s="15">
        <f t="shared" si="55"/>
        <v>146.43900000000002</v>
      </c>
      <c r="O475" s="15">
        <f>+N475-P475</f>
        <v>146.43900000000002</v>
      </c>
      <c r="P475" s="15">
        <f>+IF(N475&gt;D475,N475-D475,0)</f>
        <v>0</v>
      </c>
      <c r="Q475" s="5">
        <f>+IF(P475=0,P475,P475/N475)</f>
        <v>0</v>
      </c>
    </row>
    <row r="476" spans="1:17" x14ac:dyDescent="0.25">
      <c r="A476" s="7">
        <v>46254.75</v>
      </c>
      <c r="B476" s="6">
        <v>47.25</v>
      </c>
      <c r="C476" s="13">
        <v>0</v>
      </c>
      <c r="D476" s="18">
        <f>+B476+C476</f>
        <v>47.25</v>
      </c>
      <c r="E476" s="14">
        <v>47.245000000000005</v>
      </c>
      <c r="F476" s="18">
        <f t="shared" si="49"/>
        <v>23.447573656845755</v>
      </c>
      <c r="G476" s="18">
        <f t="shared" si="50"/>
        <v>23.79742634315425</v>
      </c>
      <c r="H476" s="14">
        <v>45.28</v>
      </c>
      <c r="I476" s="18">
        <f t="shared" si="51"/>
        <v>22.47234914132661</v>
      </c>
      <c r="J476" s="18">
        <f t="shared" si="52"/>
        <v>22.807650858673391</v>
      </c>
      <c r="K476" s="14">
        <v>2.68</v>
      </c>
      <c r="L476" s="18">
        <f t="shared" si="53"/>
        <v>1.3300772018276352</v>
      </c>
      <c r="M476" s="18">
        <f t="shared" si="54"/>
        <v>1.3499227981723649</v>
      </c>
      <c r="N476" s="15">
        <f t="shared" si="55"/>
        <v>95.205000000000013</v>
      </c>
      <c r="O476" s="15">
        <f>+N476-P476</f>
        <v>47.25</v>
      </c>
      <c r="P476" s="15">
        <f>+IF(N476&gt;D476,N476-D476,0)</f>
        <v>47.955000000000013</v>
      </c>
      <c r="Q476" s="5">
        <f>+IF(P476=0,P476,P476/N476)</f>
        <v>0.50370253663147946</v>
      </c>
    </row>
    <row r="477" spans="1:17" x14ac:dyDescent="0.25">
      <c r="A477" s="7">
        <v>46254.791666666664</v>
      </c>
      <c r="B477" s="6">
        <v>3.15</v>
      </c>
      <c r="C477" s="13">
        <v>0</v>
      </c>
      <c r="D477" s="18">
        <f>+B477+C477</f>
        <v>3.15</v>
      </c>
      <c r="E477" s="14">
        <v>47.245000000000005</v>
      </c>
      <c r="F477" s="18">
        <f t="shared" si="49"/>
        <v>0.93080495356036863</v>
      </c>
      <c r="G477" s="18">
        <f t="shared" si="50"/>
        <v>46.314195046439636</v>
      </c>
      <c r="H477" s="14">
        <v>107.2</v>
      </c>
      <c r="I477" s="18">
        <f t="shared" si="51"/>
        <v>2.1120180129468054</v>
      </c>
      <c r="J477" s="18">
        <f t="shared" si="52"/>
        <v>105.0879819870532</v>
      </c>
      <c r="K477" s="14">
        <v>5.44</v>
      </c>
      <c r="L477" s="18">
        <f t="shared" si="53"/>
        <v>0.10717703349282282</v>
      </c>
      <c r="M477" s="18">
        <f t="shared" si="54"/>
        <v>5.3328229665071776</v>
      </c>
      <c r="N477" s="15">
        <f t="shared" si="55"/>
        <v>159.88499999999999</v>
      </c>
      <c r="O477" s="15">
        <f>+N477-P477</f>
        <v>3.1500000000000057</v>
      </c>
      <c r="P477" s="15">
        <f>+IF(N477&gt;D477,N477-D477,0)</f>
        <v>156.73499999999999</v>
      </c>
      <c r="Q477" s="5">
        <f>+IF(P477=0,P477,P477/N477)</f>
        <v>0.98029833943146638</v>
      </c>
    </row>
    <row r="478" spans="1:17" x14ac:dyDescent="0.25">
      <c r="A478" s="7">
        <v>46254.833333333336</v>
      </c>
      <c r="B478" s="6">
        <v>0</v>
      </c>
      <c r="C478" s="13">
        <v>0</v>
      </c>
      <c r="D478" s="18">
        <f>+B478+C478</f>
        <v>0</v>
      </c>
      <c r="E478" s="14">
        <v>1140.1769999999999</v>
      </c>
      <c r="F478" s="18">
        <f t="shared" si="49"/>
        <v>0</v>
      </c>
      <c r="G478" s="18">
        <f t="shared" si="50"/>
        <v>1140.1769999999999</v>
      </c>
      <c r="H478" s="14">
        <v>128.56</v>
      </c>
      <c r="I478" s="18">
        <f t="shared" si="51"/>
        <v>0</v>
      </c>
      <c r="J478" s="18">
        <f t="shared" si="52"/>
        <v>128.56</v>
      </c>
      <c r="K478" s="14">
        <v>3.04</v>
      </c>
      <c r="L478" s="18">
        <f t="shared" si="53"/>
        <v>0</v>
      </c>
      <c r="M478" s="18">
        <f t="shared" si="54"/>
        <v>3.04</v>
      </c>
      <c r="N478" s="15">
        <f t="shared" si="55"/>
        <v>1271.7769999999998</v>
      </c>
      <c r="O478" s="15">
        <f>+N478-P478</f>
        <v>0</v>
      </c>
      <c r="P478" s="15">
        <f>+IF(N478&gt;D478,N478-D478,0)</f>
        <v>1271.7769999999998</v>
      </c>
      <c r="Q478" s="5">
        <f>+IF(P478=0,P478,P478/N478)</f>
        <v>1</v>
      </c>
    </row>
    <row r="479" spans="1:17" x14ac:dyDescent="0.25">
      <c r="A479" s="7">
        <v>46254.875</v>
      </c>
      <c r="B479" s="6">
        <v>0</v>
      </c>
      <c r="C479" s="13">
        <v>0</v>
      </c>
      <c r="D479" s="18">
        <f>+B479+C479</f>
        <v>0</v>
      </c>
      <c r="E479" s="14">
        <v>888.20399999999995</v>
      </c>
      <c r="F479" s="18">
        <f t="shared" si="49"/>
        <v>0</v>
      </c>
      <c r="G479" s="18">
        <f t="shared" si="50"/>
        <v>888.20399999999995</v>
      </c>
      <c r="H479" s="14">
        <v>87.64</v>
      </c>
      <c r="I479" s="18">
        <f t="shared" si="51"/>
        <v>0</v>
      </c>
      <c r="J479" s="18">
        <f t="shared" si="52"/>
        <v>87.64</v>
      </c>
      <c r="K479" s="14">
        <v>3.76</v>
      </c>
      <c r="L479" s="18">
        <f t="shared" si="53"/>
        <v>0</v>
      </c>
      <c r="M479" s="18">
        <f t="shared" si="54"/>
        <v>3.76</v>
      </c>
      <c r="N479" s="15">
        <f t="shared" si="55"/>
        <v>979.60399999999993</v>
      </c>
      <c r="O479" s="15">
        <f>+N479-P479</f>
        <v>0</v>
      </c>
      <c r="P479" s="15">
        <f>+IF(N479&gt;D479,N479-D479,0)</f>
        <v>979.60399999999993</v>
      </c>
      <c r="Q479" s="5">
        <f>+IF(P479=0,P479,P479/N479)</f>
        <v>1</v>
      </c>
    </row>
    <row r="480" spans="1:17" x14ac:dyDescent="0.25">
      <c r="A480" s="7">
        <v>46254.916666666664</v>
      </c>
      <c r="B480" s="6">
        <v>0</v>
      </c>
      <c r="C480" s="13">
        <v>0</v>
      </c>
      <c r="D480" s="18">
        <f>+B480+C480</f>
        <v>0</v>
      </c>
      <c r="E480" s="14">
        <v>970.21699999999998</v>
      </c>
      <c r="F480" s="18">
        <f t="shared" si="49"/>
        <v>0</v>
      </c>
      <c r="G480" s="18">
        <f t="shared" si="50"/>
        <v>970.21699999999998</v>
      </c>
      <c r="H480" s="14">
        <v>88.12</v>
      </c>
      <c r="I480" s="18">
        <f t="shared" si="51"/>
        <v>0</v>
      </c>
      <c r="J480" s="18">
        <f t="shared" si="52"/>
        <v>88.12</v>
      </c>
      <c r="K480" s="14">
        <v>2.68</v>
      </c>
      <c r="L480" s="18">
        <f t="shared" si="53"/>
        <v>0</v>
      </c>
      <c r="M480" s="18">
        <f t="shared" si="54"/>
        <v>2.68</v>
      </c>
      <c r="N480" s="15">
        <f t="shared" si="55"/>
        <v>1061.0170000000001</v>
      </c>
      <c r="O480" s="15">
        <f>+N480-P480</f>
        <v>0</v>
      </c>
      <c r="P480" s="15">
        <f>+IF(N480&gt;D480,N480-D480,0)</f>
        <v>1061.0170000000001</v>
      </c>
      <c r="Q480" s="5">
        <f>+IF(P480=0,P480,P480/N480)</f>
        <v>1</v>
      </c>
    </row>
    <row r="481" spans="1:17" x14ac:dyDescent="0.25">
      <c r="A481" s="7">
        <v>46254.958333333336</v>
      </c>
      <c r="B481" s="6">
        <v>0</v>
      </c>
      <c r="C481" s="13">
        <v>0</v>
      </c>
      <c r="D481" s="18">
        <f>+B481+C481</f>
        <v>0</v>
      </c>
      <c r="E481" s="14">
        <v>989.11700000000008</v>
      </c>
      <c r="F481" s="18">
        <f t="shared" si="49"/>
        <v>0</v>
      </c>
      <c r="G481" s="18">
        <f t="shared" si="50"/>
        <v>989.11700000000008</v>
      </c>
      <c r="H481" s="14">
        <v>99.16</v>
      </c>
      <c r="I481" s="18">
        <f t="shared" si="51"/>
        <v>0</v>
      </c>
      <c r="J481" s="18">
        <f t="shared" si="52"/>
        <v>99.16</v>
      </c>
      <c r="K481" s="14">
        <v>2.8</v>
      </c>
      <c r="L481" s="18">
        <f t="shared" si="53"/>
        <v>0</v>
      </c>
      <c r="M481" s="18">
        <f t="shared" si="54"/>
        <v>2.8</v>
      </c>
      <c r="N481" s="15">
        <f t="shared" si="55"/>
        <v>1091.077</v>
      </c>
      <c r="O481" s="15">
        <f>+N481-P481</f>
        <v>0</v>
      </c>
      <c r="P481" s="15">
        <f>+IF(N481&gt;D481,N481-D481,0)</f>
        <v>1091.077</v>
      </c>
      <c r="Q481" s="5">
        <f>+IF(P481=0,P481,P481/N481)</f>
        <v>1</v>
      </c>
    </row>
    <row r="482" spans="1:17" x14ac:dyDescent="0.25">
      <c r="A482" s="7">
        <v>46255</v>
      </c>
      <c r="B482" s="6">
        <v>0</v>
      </c>
      <c r="C482" s="13">
        <v>0</v>
      </c>
      <c r="D482" s="18">
        <f>+B482+C482</f>
        <v>0</v>
      </c>
      <c r="E482" s="14">
        <v>938.71600000000001</v>
      </c>
      <c r="F482" s="18">
        <f t="shared" si="49"/>
        <v>0</v>
      </c>
      <c r="G482" s="18">
        <f t="shared" si="50"/>
        <v>938.71600000000001</v>
      </c>
      <c r="H482" s="14">
        <v>93.88000000000001</v>
      </c>
      <c r="I482" s="18">
        <f t="shared" si="51"/>
        <v>0</v>
      </c>
      <c r="J482" s="18">
        <f t="shared" si="52"/>
        <v>93.88000000000001</v>
      </c>
      <c r="K482" s="14">
        <v>2.8</v>
      </c>
      <c r="L482" s="18">
        <f t="shared" si="53"/>
        <v>0</v>
      </c>
      <c r="M482" s="18">
        <f t="shared" si="54"/>
        <v>2.8</v>
      </c>
      <c r="N482" s="15">
        <f t="shared" si="55"/>
        <v>1035.396</v>
      </c>
      <c r="O482" s="15">
        <f>+N482-P482</f>
        <v>0</v>
      </c>
      <c r="P482" s="15">
        <f>+IF(N482&gt;D482,N482-D482,0)</f>
        <v>1035.396</v>
      </c>
      <c r="Q482" s="5">
        <f>+IF(P482=0,P482,P482/N482)</f>
        <v>1</v>
      </c>
    </row>
    <row r="483" spans="1:17" x14ac:dyDescent="0.25">
      <c r="A483" s="7">
        <v>46255.041666666664</v>
      </c>
      <c r="B483" s="6">
        <v>0</v>
      </c>
      <c r="C483" s="13">
        <v>0</v>
      </c>
      <c r="D483" s="18">
        <f>+B483+C483</f>
        <v>0</v>
      </c>
      <c r="E483" s="14">
        <v>110.25200000000001</v>
      </c>
      <c r="F483" s="18">
        <f t="shared" si="49"/>
        <v>0</v>
      </c>
      <c r="G483" s="18">
        <f t="shared" si="50"/>
        <v>110.25200000000001</v>
      </c>
      <c r="H483" s="14">
        <v>75.759999999999991</v>
      </c>
      <c r="I483" s="18">
        <f t="shared" si="51"/>
        <v>0</v>
      </c>
      <c r="J483" s="18">
        <f t="shared" si="52"/>
        <v>75.759999999999991</v>
      </c>
      <c r="K483" s="14">
        <v>2.8</v>
      </c>
      <c r="L483" s="18">
        <f t="shared" si="53"/>
        <v>0</v>
      </c>
      <c r="M483" s="18">
        <f t="shared" si="54"/>
        <v>2.8</v>
      </c>
      <c r="N483" s="15">
        <f t="shared" si="55"/>
        <v>188.81200000000001</v>
      </c>
      <c r="O483" s="15">
        <f>+N483-P483</f>
        <v>0</v>
      </c>
      <c r="P483" s="15">
        <f>+IF(N483&gt;D483,N483-D483,0)</f>
        <v>188.81200000000001</v>
      </c>
      <c r="Q483" s="5">
        <f>+IF(P483=0,P483,P483/N483)</f>
        <v>1</v>
      </c>
    </row>
    <row r="484" spans="1:17" x14ac:dyDescent="0.25">
      <c r="A484" s="7">
        <v>46255.083333333336</v>
      </c>
      <c r="B484" s="6">
        <v>0</v>
      </c>
      <c r="C484" s="13">
        <v>0</v>
      </c>
      <c r="D484" s="18">
        <f>+B484+C484</f>
        <v>0</v>
      </c>
      <c r="E484" s="14">
        <v>1149.77</v>
      </c>
      <c r="F484" s="18">
        <f t="shared" si="49"/>
        <v>0</v>
      </c>
      <c r="G484" s="18">
        <f t="shared" si="50"/>
        <v>1149.77</v>
      </c>
      <c r="H484" s="14">
        <v>85.6</v>
      </c>
      <c r="I484" s="18">
        <f t="shared" si="51"/>
        <v>0</v>
      </c>
      <c r="J484" s="18">
        <f t="shared" si="52"/>
        <v>85.6</v>
      </c>
      <c r="K484" s="14">
        <v>2.8</v>
      </c>
      <c r="L484" s="18">
        <f t="shared" si="53"/>
        <v>0</v>
      </c>
      <c r="M484" s="18">
        <f t="shared" si="54"/>
        <v>2.8</v>
      </c>
      <c r="N484" s="15">
        <f t="shared" si="55"/>
        <v>1238.1699999999998</v>
      </c>
      <c r="O484" s="15">
        <f>+N484-P484</f>
        <v>0</v>
      </c>
      <c r="P484" s="15">
        <f>+IF(N484&gt;D484,N484-D484,0)</f>
        <v>1238.1699999999998</v>
      </c>
      <c r="Q484" s="5">
        <f>+IF(P484=0,P484,P484/N484)</f>
        <v>1</v>
      </c>
    </row>
    <row r="485" spans="1:17" x14ac:dyDescent="0.25">
      <c r="A485" s="7">
        <v>46255.125</v>
      </c>
      <c r="B485" s="6">
        <v>0</v>
      </c>
      <c r="C485" s="13">
        <v>0</v>
      </c>
      <c r="D485" s="18">
        <f>+B485+C485</f>
        <v>0</v>
      </c>
      <c r="E485" s="14">
        <v>1244.2719999999999</v>
      </c>
      <c r="F485" s="18">
        <f t="shared" si="49"/>
        <v>0</v>
      </c>
      <c r="G485" s="18">
        <f t="shared" si="50"/>
        <v>1244.2719999999999</v>
      </c>
      <c r="H485" s="14">
        <v>55.239999999999995</v>
      </c>
      <c r="I485" s="18">
        <f t="shared" si="51"/>
        <v>0</v>
      </c>
      <c r="J485" s="18">
        <f t="shared" si="52"/>
        <v>55.239999999999995</v>
      </c>
      <c r="K485" s="14">
        <v>2.8</v>
      </c>
      <c r="L485" s="18">
        <f t="shared" si="53"/>
        <v>0</v>
      </c>
      <c r="M485" s="18">
        <f t="shared" si="54"/>
        <v>2.8</v>
      </c>
      <c r="N485" s="15">
        <f t="shared" si="55"/>
        <v>1302.3119999999999</v>
      </c>
      <c r="O485" s="15">
        <f>+N485-P485</f>
        <v>0</v>
      </c>
      <c r="P485" s="15">
        <f>+IF(N485&gt;D485,N485-D485,0)</f>
        <v>1302.3119999999999</v>
      </c>
      <c r="Q485" s="5">
        <f>+IF(P485=0,P485,P485/N485)</f>
        <v>1</v>
      </c>
    </row>
    <row r="486" spans="1:17" x14ac:dyDescent="0.25">
      <c r="A486" s="7">
        <v>46255.166666666664</v>
      </c>
      <c r="B486" s="6">
        <v>0</v>
      </c>
      <c r="C486" s="13">
        <v>0</v>
      </c>
      <c r="D486" s="18">
        <f>+B486+C486</f>
        <v>0</v>
      </c>
      <c r="E486" s="14">
        <v>1168.67</v>
      </c>
      <c r="F486" s="18">
        <f t="shared" si="49"/>
        <v>0</v>
      </c>
      <c r="G486" s="18">
        <f t="shared" si="50"/>
        <v>1168.67</v>
      </c>
      <c r="H486" s="14">
        <v>45.16</v>
      </c>
      <c r="I486" s="18">
        <f t="shared" si="51"/>
        <v>0</v>
      </c>
      <c r="J486" s="18">
        <f t="shared" si="52"/>
        <v>45.16</v>
      </c>
      <c r="K486" s="14">
        <v>2.68</v>
      </c>
      <c r="L486" s="18">
        <f t="shared" si="53"/>
        <v>0</v>
      </c>
      <c r="M486" s="18">
        <f t="shared" si="54"/>
        <v>2.68</v>
      </c>
      <c r="N486" s="15">
        <f t="shared" si="55"/>
        <v>1216.5100000000002</v>
      </c>
      <c r="O486" s="15">
        <f>+N486-P486</f>
        <v>0</v>
      </c>
      <c r="P486" s="15">
        <f>+IF(N486&gt;D486,N486-D486,0)</f>
        <v>1216.5100000000002</v>
      </c>
      <c r="Q486" s="5">
        <f>+IF(P486=0,P486,P486/N486)</f>
        <v>1</v>
      </c>
    </row>
    <row r="487" spans="1:17" x14ac:dyDescent="0.25">
      <c r="A487" s="7">
        <v>46255.208333333336</v>
      </c>
      <c r="B487" s="6">
        <v>0</v>
      </c>
      <c r="C487" s="13">
        <v>0</v>
      </c>
      <c r="D487" s="18">
        <f>+B487+C487</f>
        <v>0</v>
      </c>
      <c r="E487" s="14">
        <v>1149.77</v>
      </c>
      <c r="F487" s="18">
        <f t="shared" si="49"/>
        <v>0</v>
      </c>
      <c r="G487" s="18">
        <f t="shared" si="50"/>
        <v>1149.77</v>
      </c>
      <c r="H487" s="14">
        <v>43.36</v>
      </c>
      <c r="I487" s="18">
        <f t="shared" si="51"/>
        <v>0</v>
      </c>
      <c r="J487" s="18">
        <f t="shared" si="52"/>
        <v>43.36</v>
      </c>
      <c r="K487" s="14">
        <v>2.92</v>
      </c>
      <c r="L487" s="18">
        <f t="shared" si="53"/>
        <v>0</v>
      </c>
      <c r="M487" s="18">
        <f t="shared" si="54"/>
        <v>2.92</v>
      </c>
      <c r="N487" s="15">
        <f t="shared" si="55"/>
        <v>1196.05</v>
      </c>
      <c r="O487" s="15">
        <f>+N487-P487</f>
        <v>0</v>
      </c>
      <c r="P487" s="15">
        <f>+IF(N487&gt;D487,N487-D487,0)</f>
        <v>1196.05</v>
      </c>
      <c r="Q487" s="5">
        <f>+IF(P487=0,P487,P487/N487)</f>
        <v>1</v>
      </c>
    </row>
    <row r="488" spans="1:17" x14ac:dyDescent="0.25">
      <c r="A488" s="7">
        <v>46255.25</v>
      </c>
      <c r="B488" s="6">
        <v>37.799999999999997</v>
      </c>
      <c r="C488" s="13">
        <v>0</v>
      </c>
      <c r="D488" s="18">
        <f>+B488+C488</f>
        <v>37.799999999999997</v>
      </c>
      <c r="E488" s="14">
        <v>6.3</v>
      </c>
      <c r="F488" s="18">
        <f t="shared" si="49"/>
        <v>4.2570611369324274</v>
      </c>
      <c r="G488" s="18">
        <f t="shared" si="50"/>
        <v>2.0429388630675724</v>
      </c>
      <c r="H488" s="14">
        <v>46</v>
      </c>
      <c r="I488" s="18">
        <f t="shared" si="51"/>
        <v>31.083303539506613</v>
      </c>
      <c r="J488" s="18">
        <f t="shared" si="52"/>
        <v>14.916696460493387</v>
      </c>
      <c r="K488" s="14">
        <v>3.64</v>
      </c>
      <c r="L488" s="18">
        <f t="shared" si="53"/>
        <v>2.459635323560958</v>
      </c>
      <c r="M488" s="18">
        <f t="shared" si="54"/>
        <v>1.1803646764390421</v>
      </c>
      <c r="N488" s="15">
        <f t="shared" si="55"/>
        <v>55.94</v>
      </c>
      <c r="O488" s="15">
        <f>+N488-P488</f>
        <v>37.799999999999997</v>
      </c>
      <c r="P488" s="15">
        <f>+IF(N488&gt;D488,N488-D488,0)</f>
        <v>18.14</v>
      </c>
      <c r="Q488" s="5">
        <f>+IF(P488=0,P488,P488/N488)</f>
        <v>0.32427601001072581</v>
      </c>
    </row>
    <row r="489" spans="1:17" x14ac:dyDescent="0.25">
      <c r="A489" s="7">
        <v>46255.291666666664</v>
      </c>
      <c r="B489" s="6">
        <v>551.25</v>
      </c>
      <c r="C489" s="13">
        <v>2.04</v>
      </c>
      <c r="D489" s="18">
        <f>+B489+C489</f>
        <v>553.29</v>
      </c>
      <c r="E489" s="14">
        <v>0</v>
      </c>
      <c r="F489" s="18">
        <f t="shared" si="49"/>
        <v>0</v>
      </c>
      <c r="G489" s="18">
        <f t="shared" si="50"/>
        <v>0</v>
      </c>
      <c r="H489" s="14">
        <v>37.839999999999996</v>
      </c>
      <c r="I489" s="18">
        <f t="shared" si="51"/>
        <v>37.839999999999996</v>
      </c>
      <c r="J489" s="18">
        <f t="shared" si="52"/>
        <v>0</v>
      </c>
      <c r="K489" s="14">
        <v>2.3199999999999998</v>
      </c>
      <c r="L489" s="18">
        <f t="shared" si="53"/>
        <v>2.3199999999999998</v>
      </c>
      <c r="M489" s="18">
        <f t="shared" si="54"/>
        <v>0</v>
      </c>
      <c r="N489" s="15">
        <f t="shared" si="55"/>
        <v>40.159999999999997</v>
      </c>
      <c r="O489" s="15">
        <f>+N489-P489</f>
        <v>40.159999999999997</v>
      </c>
      <c r="P489" s="15">
        <f>+IF(N489&gt;D489,N489-D489,0)</f>
        <v>0</v>
      </c>
      <c r="Q489" s="5">
        <f>+IF(P489=0,P489,P489/N489)</f>
        <v>0</v>
      </c>
    </row>
    <row r="490" spans="1:17" x14ac:dyDescent="0.25">
      <c r="A490" s="7">
        <v>46255.333333333336</v>
      </c>
      <c r="B490" s="6">
        <v>841.05</v>
      </c>
      <c r="C490" s="13">
        <v>0</v>
      </c>
      <c r="D490" s="18">
        <f>+B490+C490</f>
        <v>841.05</v>
      </c>
      <c r="E490" s="14">
        <v>0</v>
      </c>
      <c r="F490" s="18">
        <f t="shared" si="49"/>
        <v>0</v>
      </c>
      <c r="G490" s="18">
        <f t="shared" si="50"/>
        <v>0</v>
      </c>
      <c r="H490" s="14">
        <v>125.67999999999999</v>
      </c>
      <c r="I490" s="18">
        <f t="shared" si="51"/>
        <v>125.67999999999999</v>
      </c>
      <c r="J490" s="18">
        <f t="shared" si="52"/>
        <v>0</v>
      </c>
      <c r="K490" s="14">
        <v>9.2799999999999994</v>
      </c>
      <c r="L490" s="18">
        <f t="shared" si="53"/>
        <v>9.2799999999999994</v>
      </c>
      <c r="M490" s="18">
        <f t="shared" si="54"/>
        <v>0</v>
      </c>
      <c r="N490" s="15">
        <f t="shared" si="55"/>
        <v>134.95999999999998</v>
      </c>
      <c r="O490" s="15">
        <f>+N490-P490</f>
        <v>134.95999999999998</v>
      </c>
      <c r="P490" s="15">
        <f>+IF(N490&gt;D490,N490-D490,0)</f>
        <v>0</v>
      </c>
      <c r="Q490" s="5">
        <f>+IF(P490=0,P490,P490/N490)</f>
        <v>0</v>
      </c>
    </row>
    <row r="491" spans="1:17" x14ac:dyDescent="0.25">
      <c r="A491" s="7">
        <v>46255.375</v>
      </c>
      <c r="B491" s="6">
        <v>1231.6500000000001</v>
      </c>
      <c r="C491" s="13">
        <v>1.44</v>
      </c>
      <c r="D491" s="18">
        <f>+B491+C491</f>
        <v>1233.0900000000001</v>
      </c>
      <c r="E491" s="14">
        <v>0</v>
      </c>
      <c r="F491" s="18">
        <f t="shared" si="49"/>
        <v>0</v>
      </c>
      <c r="G491" s="18">
        <f t="shared" si="50"/>
        <v>0</v>
      </c>
      <c r="H491" s="14">
        <v>55.120000000000005</v>
      </c>
      <c r="I491" s="18">
        <f t="shared" si="51"/>
        <v>55.120000000000005</v>
      </c>
      <c r="J491" s="18">
        <f t="shared" si="52"/>
        <v>0</v>
      </c>
      <c r="K491" s="14">
        <v>46.480000000000004</v>
      </c>
      <c r="L491" s="18">
        <f t="shared" si="53"/>
        <v>46.480000000000004</v>
      </c>
      <c r="M491" s="18">
        <f t="shared" si="54"/>
        <v>0</v>
      </c>
      <c r="N491" s="15">
        <f t="shared" si="55"/>
        <v>101.60000000000001</v>
      </c>
      <c r="O491" s="15">
        <f>+N491-P491</f>
        <v>101.60000000000001</v>
      </c>
      <c r="P491" s="15">
        <f>+IF(N491&gt;D491,N491-D491,0)</f>
        <v>0</v>
      </c>
      <c r="Q491" s="5">
        <f>+IF(P491=0,P491,P491/N491)</f>
        <v>0</v>
      </c>
    </row>
    <row r="492" spans="1:17" x14ac:dyDescent="0.25">
      <c r="A492" s="7">
        <v>46255.416666666664</v>
      </c>
      <c r="B492" s="6">
        <v>1568.7</v>
      </c>
      <c r="C492" s="13">
        <v>3.36</v>
      </c>
      <c r="D492" s="18">
        <f>+B492+C492</f>
        <v>1572.06</v>
      </c>
      <c r="E492" s="14">
        <v>0</v>
      </c>
      <c r="F492" s="18">
        <f t="shared" si="49"/>
        <v>0</v>
      </c>
      <c r="G492" s="18">
        <f t="shared" si="50"/>
        <v>0</v>
      </c>
      <c r="H492" s="14">
        <v>44.8</v>
      </c>
      <c r="I492" s="18">
        <f t="shared" si="51"/>
        <v>44.8</v>
      </c>
      <c r="J492" s="18">
        <f t="shared" si="52"/>
        <v>0</v>
      </c>
      <c r="K492" s="14">
        <v>53.080000000000005</v>
      </c>
      <c r="L492" s="18">
        <f t="shared" si="53"/>
        <v>53.080000000000005</v>
      </c>
      <c r="M492" s="18">
        <f t="shared" si="54"/>
        <v>0</v>
      </c>
      <c r="N492" s="15">
        <f t="shared" si="55"/>
        <v>97.88</v>
      </c>
      <c r="O492" s="15">
        <f>+N492-P492</f>
        <v>97.88</v>
      </c>
      <c r="P492" s="15">
        <f>+IF(N492&gt;D492,N492-D492,0)</f>
        <v>0</v>
      </c>
      <c r="Q492" s="5">
        <f>+IF(P492=0,P492,P492/N492)</f>
        <v>0</v>
      </c>
    </row>
    <row r="493" spans="1:17" x14ac:dyDescent="0.25">
      <c r="A493" s="7">
        <v>46255.458333333336</v>
      </c>
      <c r="B493" s="6">
        <v>1858.5</v>
      </c>
      <c r="C493" s="13">
        <v>20.64</v>
      </c>
      <c r="D493" s="18">
        <f>+B493+C493</f>
        <v>1879.14</v>
      </c>
      <c r="E493" s="14">
        <v>0</v>
      </c>
      <c r="F493" s="18">
        <f t="shared" si="49"/>
        <v>0</v>
      </c>
      <c r="G493" s="18">
        <f t="shared" si="50"/>
        <v>0</v>
      </c>
      <c r="H493" s="14">
        <v>19.12</v>
      </c>
      <c r="I493" s="18">
        <f t="shared" si="51"/>
        <v>19.12</v>
      </c>
      <c r="J493" s="18">
        <f t="shared" si="52"/>
        <v>0</v>
      </c>
      <c r="K493" s="14">
        <v>31.84</v>
      </c>
      <c r="L493" s="18">
        <f t="shared" si="53"/>
        <v>31.84</v>
      </c>
      <c r="M493" s="18">
        <f t="shared" si="54"/>
        <v>0</v>
      </c>
      <c r="N493" s="15">
        <f t="shared" si="55"/>
        <v>50.96</v>
      </c>
      <c r="O493" s="15">
        <f>+N493-P493</f>
        <v>50.96</v>
      </c>
      <c r="P493" s="15">
        <f>+IF(N493&gt;D493,N493-D493,0)</f>
        <v>0</v>
      </c>
      <c r="Q493" s="5">
        <f>+IF(P493=0,P493,P493/N493)</f>
        <v>0</v>
      </c>
    </row>
    <row r="494" spans="1:17" x14ac:dyDescent="0.25">
      <c r="A494" s="7">
        <v>46255.5</v>
      </c>
      <c r="B494" s="6">
        <v>2724.75</v>
      </c>
      <c r="C494" s="13">
        <v>36.119999999999997</v>
      </c>
      <c r="D494" s="18">
        <f>+B494+C494</f>
        <v>2760.87</v>
      </c>
      <c r="E494" s="14">
        <v>0</v>
      </c>
      <c r="F494" s="18">
        <f t="shared" si="49"/>
        <v>0</v>
      </c>
      <c r="G494" s="18">
        <f t="shared" si="50"/>
        <v>0</v>
      </c>
      <c r="H494" s="14">
        <v>3.4</v>
      </c>
      <c r="I494" s="18">
        <f t="shared" si="51"/>
        <v>3.4</v>
      </c>
      <c r="J494" s="18">
        <f t="shared" si="52"/>
        <v>0</v>
      </c>
      <c r="K494" s="14">
        <v>36.159999999999997</v>
      </c>
      <c r="L494" s="18">
        <f t="shared" si="53"/>
        <v>36.159999999999997</v>
      </c>
      <c r="M494" s="18">
        <f t="shared" si="54"/>
        <v>0</v>
      </c>
      <c r="N494" s="15">
        <f t="shared" si="55"/>
        <v>39.559999999999995</v>
      </c>
      <c r="O494" s="15">
        <f>+N494-P494</f>
        <v>39.559999999999995</v>
      </c>
      <c r="P494" s="15">
        <f>+IF(N494&gt;D494,N494-D494,0)</f>
        <v>0</v>
      </c>
      <c r="Q494" s="5">
        <f>+IF(P494=0,P494,P494/N494)</f>
        <v>0</v>
      </c>
    </row>
    <row r="495" spans="1:17" x14ac:dyDescent="0.25">
      <c r="A495" s="7">
        <v>46255.541666666664</v>
      </c>
      <c r="B495" s="6">
        <v>2847.6</v>
      </c>
      <c r="C495" s="13">
        <v>32.64</v>
      </c>
      <c r="D495" s="18">
        <f>+B495+C495</f>
        <v>2880.24</v>
      </c>
      <c r="E495" s="14">
        <v>0</v>
      </c>
      <c r="F495" s="18">
        <f t="shared" si="49"/>
        <v>0</v>
      </c>
      <c r="G495" s="18">
        <f t="shared" si="50"/>
        <v>0</v>
      </c>
      <c r="H495" s="14">
        <v>13</v>
      </c>
      <c r="I495" s="18">
        <f t="shared" si="51"/>
        <v>13</v>
      </c>
      <c r="J495" s="18">
        <f t="shared" si="52"/>
        <v>0</v>
      </c>
      <c r="K495" s="14">
        <v>43.12</v>
      </c>
      <c r="L495" s="18">
        <f t="shared" si="53"/>
        <v>43.12</v>
      </c>
      <c r="M495" s="18">
        <f t="shared" si="54"/>
        <v>0</v>
      </c>
      <c r="N495" s="15">
        <f t="shared" si="55"/>
        <v>56.12</v>
      </c>
      <c r="O495" s="15">
        <f>+N495-P495</f>
        <v>56.12</v>
      </c>
      <c r="P495" s="15">
        <f>+IF(N495&gt;D495,N495-D495,0)</f>
        <v>0</v>
      </c>
      <c r="Q495" s="5">
        <f>+IF(P495=0,P495,P495/N495)</f>
        <v>0</v>
      </c>
    </row>
    <row r="496" spans="1:17" x14ac:dyDescent="0.25">
      <c r="A496" s="7">
        <v>46255.583333333336</v>
      </c>
      <c r="B496" s="6">
        <v>2003.4</v>
      </c>
      <c r="C496" s="13">
        <v>15.84</v>
      </c>
      <c r="D496" s="18">
        <f>+B496+C496</f>
        <v>2019.24</v>
      </c>
      <c r="E496" s="14">
        <v>0</v>
      </c>
      <c r="F496" s="18">
        <f t="shared" si="49"/>
        <v>0</v>
      </c>
      <c r="G496" s="18">
        <f t="shared" si="50"/>
        <v>0</v>
      </c>
      <c r="H496" s="14">
        <v>22.360000000000003</v>
      </c>
      <c r="I496" s="18">
        <f t="shared" si="51"/>
        <v>22.360000000000003</v>
      </c>
      <c r="J496" s="18">
        <f t="shared" si="52"/>
        <v>0</v>
      </c>
      <c r="K496" s="14">
        <v>35.680000000000007</v>
      </c>
      <c r="L496" s="18">
        <f t="shared" si="53"/>
        <v>35.680000000000007</v>
      </c>
      <c r="M496" s="18">
        <f t="shared" si="54"/>
        <v>0</v>
      </c>
      <c r="N496" s="15">
        <f t="shared" si="55"/>
        <v>58.040000000000006</v>
      </c>
      <c r="O496" s="15">
        <f>+N496-P496</f>
        <v>58.040000000000006</v>
      </c>
      <c r="P496" s="15">
        <f>+IF(N496&gt;D496,N496-D496,0)</f>
        <v>0</v>
      </c>
      <c r="Q496" s="5">
        <f>+IF(P496=0,P496,P496/N496)</f>
        <v>0</v>
      </c>
    </row>
    <row r="497" spans="1:17" x14ac:dyDescent="0.25">
      <c r="A497" s="7">
        <v>46255.625</v>
      </c>
      <c r="B497" s="6">
        <v>1587.6</v>
      </c>
      <c r="C497" s="13">
        <v>3.36</v>
      </c>
      <c r="D497" s="18">
        <f>+B497+C497</f>
        <v>1590.9599999999998</v>
      </c>
      <c r="E497" s="14">
        <v>0</v>
      </c>
      <c r="F497" s="18">
        <f t="shared" si="49"/>
        <v>0</v>
      </c>
      <c r="G497" s="18">
        <f t="shared" si="50"/>
        <v>0</v>
      </c>
      <c r="H497" s="14">
        <v>34.96</v>
      </c>
      <c r="I497" s="18">
        <f t="shared" si="51"/>
        <v>34.96</v>
      </c>
      <c r="J497" s="18">
        <f t="shared" si="52"/>
        <v>0</v>
      </c>
      <c r="K497" s="14">
        <v>60.519999999999996</v>
      </c>
      <c r="L497" s="18">
        <f t="shared" si="53"/>
        <v>60.519999999999996</v>
      </c>
      <c r="M497" s="18">
        <f t="shared" si="54"/>
        <v>0</v>
      </c>
      <c r="N497" s="15">
        <f t="shared" si="55"/>
        <v>95.47999999999999</v>
      </c>
      <c r="O497" s="15">
        <f>+N497-P497</f>
        <v>95.47999999999999</v>
      </c>
      <c r="P497" s="15">
        <f>+IF(N497&gt;D497,N497-D497,0)</f>
        <v>0</v>
      </c>
      <c r="Q497" s="5">
        <f>+IF(P497=0,P497,P497/N497)</f>
        <v>0</v>
      </c>
    </row>
    <row r="498" spans="1:17" x14ac:dyDescent="0.25">
      <c r="A498" s="7">
        <v>46255.666666666664</v>
      </c>
      <c r="B498" s="6">
        <v>941.85</v>
      </c>
      <c r="C498" s="13">
        <v>0.12</v>
      </c>
      <c r="D498" s="18">
        <f>+B498+C498</f>
        <v>941.97</v>
      </c>
      <c r="E498" s="14">
        <v>0</v>
      </c>
      <c r="F498" s="18">
        <f t="shared" si="49"/>
        <v>0</v>
      </c>
      <c r="G498" s="18">
        <f t="shared" si="50"/>
        <v>0</v>
      </c>
      <c r="H498" s="14">
        <v>69.52</v>
      </c>
      <c r="I498" s="18">
        <f t="shared" si="51"/>
        <v>69.52</v>
      </c>
      <c r="J498" s="18">
        <f t="shared" si="52"/>
        <v>0</v>
      </c>
      <c r="K498" s="14">
        <v>65.320000000000007</v>
      </c>
      <c r="L498" s="18">
        <f t="shared" si="53"/>
        <v>65.320000000000007</v>
      </c>
      <c r="M498" s="18">
        <f t="shared" si="54"/>
        <v>0</v>
      </c>
      <c r="N498" s="15">
        <f t="shared" si="55"/>
        <v>134.84</v>
      </c>
      <c r="O498" s="15">
        <f>+N498-P498</f>
        <v>134.84</v>
      </c>
      <c r="P498" s="15">
        <f>+IF(N498&gt;D498,N498-D498,0)</f>
        <v>0</v>
      </c>
      <c r="Q498" s="5">
        <f>+IF(P498=0,P498,P498/N498)</f>
        <v>0</v>
      </c>
    </row>
    <row r="499" spans="1:17" x14ac:dyDescent="0.25">
      <c r="A499" s="7">
        <v>46255.708333333336</v>
      </c>
      <c r="B499" s="6">
        <v>384.3</v>
      </c>
      <c r="C499" s="13">
        <v>0</v>
      </c>
      <c r="D499" s="18">
        <f>+B499+C499</f>
        <v>384.3</v>
      </c>
      <c r="E499" s="14">
        <v>59.844000000000001</v>
      </c>
      <c r="F499" s="18">
        <f t="shared" si="49"/>
        <v>59.844000000000001</v>
      </c>
      <c r="G499" s="18">
        <f t="shared" si="50"/>
        <v>0</v>
      </c>
      <c r="H499" s="14">
        <v>46.24</v>
      </c>
      <c r="I499" s="18">
        <f t="shared" si="51"/>
        <v>46.24</v>
      </c>
      <c r="J499" s="18">
        <f t="shared" si="52"/>
        <v>0</v>
      </c>
      <c r="K499" s="14">
        <v>54.519999999999996</v>
      </c>
      <c r="L499" s="18">
        <f t="shared" si="53"/>
        <v>54.519999999999996</v>
      </c>
      <c r="M499" s="18">
        <f t="shared" si="54"/>
        <v>0</v>
      </c>
      <c r="N499" s="15">
        <f t="shared" si="55"/>
        <v>160.60399999999998</v>
      </c>
      <c r="O499" s="15">
        <f>+N499-P499</f>
        <v>160.60399999999998</v>
      </c>
      <c r="P499" s="15">
        <f>+IF(N499&gt;D499,N499-D499,0)</f>
        <v>0</v>
      </c>
      <c r="Q499" s="5">
        <f>+IF(P499=0,P499,P499/N499)</f>
        <v>0</v>
      </c>
    </row>
    <row r="500" spans="1:17" x14ac:dyDescent="0.25">
      <c r="A500" s="7">
        <v>46255.75</v>
      </c>
      <c r="B500" s="6">
        <v>50.4</v>
      </c>
      <c r="C500" s="13">
        <v>0</v>
      </c>
      <c r="D500" s="18">
        <f>+B500+C500</f>
        <v>50.4</v>
      </c>
      <c r="E500" s="14">
        <v>15.748000000000001</v>
      </c>
      <c r="F500" s="18">
        <f t="shared" si="49"/>
        <v>8.2998619651148218</v>
      </c>
      <c r="G500" s="18">
        <f t="shared" si="50"/>
        <v>7.4481380348851793</v>
      </c>
      <c r="H500" s="14">
        <v>36.76</v>
      </c>
      <c r="I500" s="18">
        <f t="shared" si="51"/>
        <v>19.374074538837998</v>
      </c>
      <c r="J500" s="18">
        <f t="shared" si="52"/>
        <v>17.385925461162</v>
      </c>
      <c r="K500" s="14">
        <v>43.12</v>
      </c>
      <c r="L500" s="18">
        <f t="shared" si="53"/>
        <v>22.726063496047185</v>
      </c>
      <c r="M500" s="18">
        <f t="shared" si="54"/>
        <v>20.393936503952812</v>
      </c>
      <c r="N500" s="15">
        <f t="shared" si="55"/>
        <v>95.627999999999986</v>
      </c>
      <c r="O500" s="15">
        <f>+N500-P500</f>
        <v>50.4</v>
      </c>
      <c r="P500" s="15">
        <f>+IF(N500&gt;D500,N500-D500,0)</f>
        <v>45.227999999999987</v>
      </c>
      <c r="Q500" s="5">
        <f>+IF(P500=0,P500,P500/N500)</f>
        <v>0.47295771113063112</v>
      </c>
    </row>
    <row r="501" spans="1:17" x14ac:dyDescent="0.25">
      <c r="A501" s="7">
        <v>46255.791666666664</v>
      </c>
      <c r="B501" s="6">
        <v>0</v>
      </c>
      <c r="C501" s="13">
        <v>0</v>
      </c>
      <c r="D501" s="18">
        <f>+B501+C501</f>
        <v>0</v>
      </c>
      <c r="E501" s="14">
        <v>50.395000000000003</v>
      </c>
      <c r="F501" s="18">
        <f t="shared" si="49"/>
        <v>0</v>
      </c>
      <c r="G501" s="18">
        <f t="shared" si="50"/>
        <v>50.395000000000003</v>
      </c>
      <c r="H501" s="14">
        <v>87.04</v>
      </c>
      <c r="I501" s="18">
        <f t="shared" si="51"/>
        <v>0</v>
      </c>
      <c r="J501" s="18">
        <f t="shared" si="52"/>
        <v>87.04</v>
      </c>
      <c r="K501" s="14">
        <v>27.88</v>
      </c>
      <c r="L501" s="18">
        <f t="shared" si="53"/>
        <v>0</v>
      </c>
      <c r="M501" s="18">
        <f t="shared" si="54"/>
        <v>27.88</v>
      </c>
      <c r="N501" s="15">
        <f t="shared" si="55"/>
        <v>165.315</v>
      </c>
      <c r="O501" s="15">
        <f>+N501-P501</f>
        <v>0</v>
      </c>
      <c r="P501" s="15">
        <f>+IF(N501&gt;D501,N501-D501,0)</f>
        <v>165.315</v>
      </c>
      <c r="Q501" s="5">
        <f>+IF(P501=0,P501,P501/N501)</f>
        <v>1</v>
      </c>
    </row>
    <row r="502" spans="1:17" x14ac:dyDescent="0.25">
      <c r="A502" s="7">
        <v>46255.833333333336</v>
      </c>
      <c r="B502" s="6">
        <v>0</v>
      </c>
      <c r="C502" s="13">
        <v>0</v>
      </c>
      <c r="D502" s="18">
        <f>+B502+C502</f>
        <v>0</v>
      </c>
      <c r="E502" s="14">
        <v>538.59199999999998</v>
      </c>
      <c r="F502" s="18">
        <f t="shared" si="49"/>
        <v>0</v>
      </c>
      <c r="G502" s="18">
        <f t="shared" si="50"/>
        <v>538.59199999999998</v>
      </c>
      <c r="H502" s="14">
        <v>110.08</v>
      </c>
      <c r="I502" s="18">
        <f t="shared" si="51"/>
        <v>0</v>
      </c>
      <c r="J502" s="18">
        <f t="shared" si="52"/>
        <v>110.08</v>
      </c>
      <c r="K502" s="14">
        <v>19.84</v>
      </c>
      <c r="L502" s="18">
        <f t="shared" si="53"/>
        <v>0</v>
      </c>
      <c r="M502" s="18">
        <f t="shared" si="54"/>
        <v>19.84</v>
      </c>
      <c r="N502" s="15">
        <f t="shared" si="55"/>
        <v>668.51200000000006</v>
      </c>
      <c r="O502" s="15">
        <f>+N502-P502</f>
        <v>0</v>
      </c>
      <c r="P502" s="15">
        <f>+IF(N502&gt;D502,N502-D502,0)</f>
        <v>668.51200000000006</v>
      </c>
      <c r="Q502" s="5">
        <f>+IF(P502=0,P502,P502/N502)</f>
        <v>1</v>
      </c>
    </row>
    <row r="503" spans="1:17" x14ac:dyDescent="0.25">
      <c r="A503" s="7">
        <v>46255.875</v>
      </c>
      <c r="B503" s="6">
        <v>0</v>
      </c>
      <c r="C503" s="13">
        <v>0</v>
      </c>
      <c r="D503" s="18">
        <f>+B503+C503</f>
        <v>0</v>
      </c>
      <c r="E503" s="14">
        <v>686.62599999999998</v>
      </c>
      <c r="F503" s="18">
        <f t="shared" si="49"/>
        <v>0</v>
      </c>
      <c r="G503" s="18">
        <f t="shared" si="50"/>
        <v>686.62599999999998</v>
      </c>
      <c r="H503" s="14">
        <v>103.12</v>
      </c>
      <c r="I503" s="18">
        <f t="shared" si="51"/>
        <v>0</v>
      </c>
      <c r="J503" s="18">
        <f t="shared" si="52"/>
        <v>103.12</v>
      </c>
      <c r="K503" s="14">
        <v>5.08</v>
      </c>
      <c r="L503" s="18">
        <f t="shared" si="53"/>
        <v>0</v>
      </c>
      <c r="M503" s="18">
        <f t="shared" si="54"/>
        <v>5.08</v>
      </c>
      <c r="N503" s="15">
        <f t="shared" si="55"/>
        <v>794.82600000000002</v>
      </c>
      <c r="O503" s="15">
        <f>+N503-P503</f>
        <v>0</v>
      </c>
      <c r="P503" s="15">
        <f>+IF(N503&gt;D503,N503-D503,0)</f>
        <v>794.82600000000002</v>
      </c>
      <c r="Q503" s="5">
        <f>+IF(P503=0,P503,P503/N503)</f>
        <v>1</v>
      </c>
    </row>
    <row r="504" spans="1:17" x14ac:dyDescent="0.25">
      <c r="A504" s="7">
        <v>46255.916666666664</v>
      </c>
      <c r="B504" s="6">
        <v>0</v>
      </c>
      <c r="C504" s="13">
        <v>0</v>
      </c>
      <c r="D504" s="18">
        <f>+B504+C504</f>
        <v>0</v>
      </c>
      <c r="E504" s="14">
        <v>670.96199999999999</v>
      </c>
      <c r="F504" s="18">
        <f t="shared" si="49"/>
        <v>0</v>
      </c>
      <c r="G504" s="18">
        <f t="shared" si="50"/>
        <v>670.96199999999999</v>
      </c>
      <c r="H504" s="14">
        <v>115.48</v>
      </c>
      <c r="I504" s="18">
        <f t="shared" si="51"/>
        <v>0</v>
      </c>
      <c r="J504" s="18">
        <f t="shared" si="52"/>
        <v>115.48</v>
      </c>
      <c r="K504" s="14">
        <v>3.04</v>
      </c>
      <c r="L504" s="18">
        <f t="shared" si="53"/>
        <v>0</v>
      </c>
      <c r="M504" s="18">
        <f t="shared" si="54"/>
        <v>3.04</v>
      </c>
      <c r="N504" s="15">
        <f t="shared" si="55"/>
        <v>789.48199999999997</v>
      </c>
      <c r="O504" s="15">
        <f>+N504-P504</f>
        <v>0</v>
      </c>
      <c r="P504" s="15">
        <f>+IF(N504&gt;D504,N504-D504,0)</f>
        <v>789.48199999999997</v>
      </c>
      <c r="Q504" s="5">
        <f>+IF(P504=0,P504,P504/N504)</f>
        <v>1</v>
      </c>
    </row>
    <row r="505" spans="1:17" x14ac:dyDescent="0.25">
      <c r="A505" s="7">
        <v>46255.958333333336</v>
      </c>
      <c r="B505" s="6">
        <v>0</v>
      </c>
      <c r="C505" s="13">
        <v>0</v>
      </c>
      <c r="D505" s="18">
        <f>+B505+C505</f>
        <v>0</v>
      </c>
      <c r="E505" s="14">
        <v>296.10500000000002</v>
      </c>
      <c r="F505" s="18">
        <f t="shared" si="49"/>
        <v>0</v>
      </c>
      <c r="G505" s="18">
        <f t="shared" si="50"/>
        <v>296.10500000000002</v>
      </c>
      <c r="H505" s="14">
        <v>111.16</v>
      </c>
      <c r="I505" s="18">
        <f t="shared" si="51"/>
        <v>0</v>
      </c>
      <c r="J505" s="18">
        <f t="shared" si="52"/>
        <v>111.16</v>
      </c>
      <c r="K505" s="14">
        <v>2.68</v>
      </c>
      <c r="L505" s="18">
        <f t="shared" si="53"/>
        <v>0</v>
      </c>
      <c r="M505" s="18">
        <f t="shared" si="54"/>
        <v>2.68</v>
      </c>
      <c r="N505" s="15">
        <f t="shared" si="55"/>
        <v>409.94499999999999</v>
      </c>
      <c r="O505" s="15">
        <f>+N505-P505</f>
        <v>0</v>
      </c>
      <c r="P505" s="15">
        <f>+IF(N505&gt;D505,N505-D505,0)</f>
        <v>409.94499999999999</v>
      </c>
      <c r="Q505" s="5">
        <f>+IF(P505=0,P505,P505/N505)</f>
        <v>1</v>
      </c>
    </row>
    <row r="506" spans="1:17" x14ac:dyDescent="0.25">
      <c r="A506" s="7">
        <v>46256</v>
      </c>
      <c r="B506" s="6">
        <v>0</v>
      </c>
      <c r="C506" s="13">
        <v>0</v>
      </c>
      <c r="D506" s="18">
        <f>+B506+C506</f>
        <v>0</v>
      </c>
      <c r="E506" s="14">
        <v>258.30399999999997</v>
      </c>
      <c r="F506" s="18">
        <f t="shared" si="49"/>
        <v>0</v>
      </c>
      <c r="G506" s="18">
        <f t="shared" si="50"/>
        <v>258.30399999999997</v>
      </c>
      <c r="H506" s="14">
        <v>98.44</v>
      </c>
      <c r="I506" s="18">
        <f t="shared" si="51"/>
        <v>0</v>
      </c>
      <c r="J506" s="18">
        <f t="shared" si="52"/>
        <v>98.44</v>
      </c>
      <c r="K506" s="14">
        <v>2.92</v>
      </c>
      <c r="L506" s="18">
        <f t="shared" si="53"/>
        <v>0</v>
      </c>
      <c r="M506" s="18">
        <f t="shared" si="54"/>
        <v>2.92</v>
      </c>
      <c r="N506" s="15">
        <f t="shared" si="55"/>
        <v>359.66399999999999</v>
      </c>
      <c r="O506" s="15">
        <f>+N506-P506</f>
        <v>0</v>
      </c>
      <c r="P506" s="15">
        <f>+IF(N506&gt;D506,N506-D506,0)</f>
        <v>359.66399999999999</v>
      </c>
      <c r="Q506" s="5">
        <f>+IF(P506=0,P506,P506/N506)</f>
        <v>1</v>
      </c>
    </row>
    <row r="507" spans="1:17" x14ac:dyDescent="0.25">
      <c r="A507" s="7">
        <v>46256.041666666664</v>
      </c>
      <c r="B507" s="6">
        <v>0</v>
      </c>
      <c r="C507" s="13">
        <v>0</v>
      </c>
      <c r="D507" s="18">
        <f>+B507+C507</f>
        <v>0</v>
      </c>
      <c r="E507" s="14">
        <v>119.702</v>
      </c>
      <c r="F507" s="18">
        <f t="shared" si="49"/>
        <v>0</v>
      </c>
      <c r="G507" s="18">
        <f t="shared" si="50"/>
        <v>119.702</v>
      </c>
      <c r="H507" s="14">
        <v>114.64</v>
      </c>
      <c r="I507" s="18">
        <f t="shared" si="51"/>
        <v>0</v>
      </c>
      <c r="J507" s="18">
        <f t="shared" si="52"/>
        <v>114.64</v>
      </c>
      <c r="K507" s="14">
        <v>2.92</v>
      </c>
      <c r="L507" s="18">
        <f t="shared" si="53"/>
        <v>0</v>
      </c>
      <c r="M507" s="18">
        <f t="shared" si="54"/>
        <v>2.92</v>
      </c>
      <c r="N507" s="15">
        <f t="shared" si="55"/>
        <v>237.26199999999997</v>
      </c>
      <c r="O507" s="15">
        <f>+N507-P507</f>
        <v>0</v>
      </c>
      <c r="P507" s="15">
        <f>+IF(N507&gt;D507,N507-D507,0)</f>
        <v>237.26199999999997</v>
      </c>
      <c r="Q507" s="5">
        <f>+IF(P507=0,P507,P507/N507)</f>
        <v>1</v>
      </c>
    </row>
    <row r="508" spans="1:17" x14ac:dyDescent="0.25">
      <c r="A508" s="7">
        <v>46256.083333333336</v>
      </c>
      <c r="B508" s="6">
        <v>0</v>
      </c>
      <c r="C508" s="13">
        <v>0</v>
      </c>
      <c r="D508" s="18">
        <f>+B508+C508</f>
        <v>0</v>
      </c>
      <c r="E508" s="14">
        <v>1253.722</v>
      </c>
      <c r="F508" s="18">
        <f t="shared" si="49"/>
        <v>0</v>
      </c>
      <c r="G508" s="18">
        <f t="shared" si="50"/>
        <v>1253.722</v>
      </c>
      <c r="H508" s="14">
        <v>101.32</v>
      </c>
      <c r="I508" s="18">
        <f t="shared" si="51"/>
        <v>0</v>
      </c>
      <c r="J508" s="18">
        <f t="shared" si="52"/>
        <v>101.32</v>
      </c>
      <c r="K508" s="14">
        <v>2.8</v>
      </c>
      <c r="L508" s="18">
        <f t="shared" si="53"/>
        <v>0</v>
      </c>
      <c r="M508" s="18">
        <f t="shared" si="54"/>
        <v>2.8</v>
      </c>
      <c r="N508" s="15">
        <f t="shared" si="55"/>
        <v>1357.8419999999999</v>
      </c>
      <c r="O508" s="15">
        <f>+N508-P508</f>
        <v>0</v>
      </c>
      <c r="P508" s="15">
        <f>+IF(N508&gt;D508,N508-D508,0)</f>
        <v>1357.8419999999999</v>
      </c>
      <c r="Q508" s="5">
        <f>+IF(P508=0,P508,P508/N508)</f>
        <v>1</v>
      </c>
    </row>
    <row r="509" spans="1:17" x14ac:dyDescent="0.25">
      <c r="A509" s="7">
        <v>46256.125</v>
      </c>
      <c r="B509" s="6">
        <v>0</v>
      </c>
      <c r="C509" s="13">
        <v>0</v>
      </c>
      <c r="D509" s="18">
        <f>+B509+C509</f>
        <v>0</v>
      </c>
      <c r="E509" s="14">
        <v>1152.9199999999998</v>
      </c>
      <c r="F509" s="18">
        <f t="shared" si="49"/>
        <v>0</v>
      </c>
      <c r="G509" s="18">
        <f t="shared" si="50"/>
        <v>1152.9199999999998</v>
      </c>
      <c r="H509" s="14">
        <v>61.6</v>
      </c>
      <c r="I509" s="18">
        <f t="shared" si="51"/>
        <v>0</v>
      </c>
      <c r="J509" s="18">
        <f t="shared" si="52"/>
        <v>61.6</v>
      </c>
      <c r="K509" s="14">
        <v>2.8</v>
      </c>
      <c r="L509" s="18">
        <f t="shared" si="53"/>
        <v>0</v>
      </c>
      <c r="M509" s="18">
        <f t="shared" si="54"/>
        <v>2.8</v>
      </c>
      <c r="N509" s="15">
        <f t="shared" si="55"/>
        <v>1217.3199999999997</v>
      </c>
      <c r="O509" s="15">
        <f>+N509-P509</f>
        <v>0</v>
      </c>
      <c r="P509" s="15">
        <f>+IF(N509&gt;D509,N509-D509,0)</f>
        <v>1217.3199999999997</v>
      </c>
      <c r="Q509" s="5">
        <f>+IF(P509=0,P509,P509/N509)</f>
        <v>1</v>
      </c>
    </row>
    <row r="510" spans="1:17" x14ac:dyDescent="0.25">
      <c r="A510" s="7">
        <v>46256.166666666664</v>
      </c>
      <c r="B510" s="6">
        <v>0</v>
      </c>
      <c r="C510" s="13">
        <v>0</v>
      </c>
      <c r="D510" s="18">
        <f>+B510+C510</f>
        <v>0</v>
      </c>
      <c r="E510" s="14">
        <v>1033.2180000000001</v>
      </c>
      <c r="F510" s="18">
        <f t="shared" si="49"/>
        <v>0</v>
      </c>
      <c r="G510" s="18">
        <f t="shared" si="50"/>
        <v>1033.2180000000001</v>
      </c>
      <c r="H510" s="14">
        <v>58.36</v>
      </c>
      <c r="I510" s="18">
        <f t="shared" si="51"/>
        <v>0</v>
      </c>
      <c r="J510" s="18">
        <f t="shared" si="52"/>
        <v>58.36</v>
      </c>
      <c r="K510" s="14">
        <v>2.8</v>
      </c>
      <c r="L510" s="18">
        <f t="shared" si="53"/>
        <v>0</v>
      </c>
      <c r="M510" s="18">
        <f t="shared" si="54"/>
        <v>2.8</v>
      </c>
      <c r="N510" s="15">
        <f t="shared" si="55"/>
        <v>1094.3779999999999</v>
      </c>
      <c r="O510" s="15">
        <f>+N510-P510</f>
        <v>0</v>
      </c>
      <c r="P510" s="15">
        <f>+IF(N510&gt;D510,N510-D510,0)</f>
        <v>1094.3779999999999</v>
      </c>
      <c r="Q510" s="5">
        <f>+IF(P510=0,P510,P510/N510)</f>
        <v>1</v>
      </c>
    </row>
    <row r="511" spans="1:17" x14ac:dyDescent="0.25">
      <c r="A511" s="7">
        <v>46256.208333333336</v>
      </c>
      <c r="B511" s="6">
        <v>0</v>
      </c>
      <c r="C511" s="13">
        <v>0</v>
      </c>
      <c r="D511" s="18">
        <f>+B511+C511</f>
        <v>0</v>
      </c>
      <c r="E511" s="14">
        <v>834.76499999999999</v>
      </c>
      <c r="F511" s="18">
        <f t="shared" si="49"/>
        <v>0</v>
      </c>
      <c r="G511" s="18">
        <f t="shared" si="50"/>
        <v>834.76499999999999</v>
      </c>
      <c r="H511" s="14">
        <v>59.8</v>
      </c>
      <c r="I511" s="18">
        <f t="shared" si="51"/>
        <v>0</v>
      </c>
      <c r="J511" s="18">
        <f t="shared" si="52"/>
        <v>59.8</v>
      </c>
      <c r="K511" s="14">
        <v>2.68</v>
      </c>
      <c r="L511" s="18">
        <f t="shared" si="53"/>
        <v>0</v>
      </c>
      <c r="M511" s="18">
        <f t="shared" si="54"/>
        <v>2.68</v>
      </c>
      <c r="N511" s="15">
        <f t="shared" si="55"/>
        <v>897.24499999999989</v>
      </c>
      <c r="O511" s="15">
        <f>+N511-P511</f>
        <v>0</v>
      </c>
      <c r="P511" s="15">
        <f>+IF(N511&gt;D511,N511-D511,0)</f>
        <v>897.24499999999989</v>
      </c>
      <c r="Q511" s="5">
        <f>+IF(P511=0,P511,P511/N511)</f>
        <v>1</v>
      </c>
    </row>
    <row r="512" spans="1:17" x14ac:dyDescent="0.25">
      <c r="A512" s="7">
        <v>46256.25</v>
      </c>
      <c r="B512" s="6">
        <v>40.950000000000003</v>
      </c>
      <c r="C512" s="13">
        <v>0</v>
      </c>
      <c r="D512" s="18">
        <f>+B512+C512</f>
        <v>40.950000000000003</v>
      </c>
      <c r="E512" s="14">
        <v>6.3</v>
      </c>
      <c r="F512" s="18">
        <f t="shared" si="49"/>
        <v>6.0531440638198033</v>
      </c>
      <c r="G512" s="18">
        <f t="shared" si="50"/>
        <v>0.24685593618019633</v>
      </c>
      <c r="H512" s="14">
        <v>33.880000000000003</v>
      </c>
      <c r="I512" s="18">
        <f t="shared" si="51"/>
        <v>32.552463632097613</v>
      </c>
      <c r="J512" s="18">
        <f t="shared" si="52"/>
        <v>1.3275363679023893</v>
      </c>
      <c r="K512" s="14">
        <v>2.44</v>
      </c>
      <c r="L512" s="18">
        <f t="shared" si="53"/>
        <v>2.3443923040825907</v>
      </c>
      <c r="M512" s="18">
        <f t="shared" si="54"/>
        <v>9.5607695917409363E-2</v>
      </c>
      <c r="N512" s="15">
        <f t="shared" si="55"/>
        <v>42.62</v>
      </c>
      <c r="O512" s="15">
        <f>+N512-P512</f>
        <v>40.950000000000003</v>
      </c>
      <c r="P512" s="15">
        <f>+IF(N512&gt;D512,N512-D512,0)</f>
        <v>1.6699999999999946</v>
      </c>
      <c r="Q512" s="5">
        <f>+IF(P512=0,P512,P512/N512)</f>
        <v>3.9183481933364496E-2</v>
      </c>
    </row>
    <row r="513" spans="1:17" x14ac:dyDescent="0.25">
      <c r="A513" s="7">
        <v>46256.291666666664</v>
      </c>
      <c r="B513" s="6">
        <v>522.9</v>
      </c>
      <c r="C513" s="13">
        <v>0</v>
      </c>
      <c r="D513" s="18">
        <f>+B513+C513</f>
        <v>522.9</v>
      </c>
      <c r="E513" s="14">
        <v>0</v>
      </c>
      <c r="F513" s="18">
        <f t="shared" si="49"/>
        <v>0</v>
      </c>
      <c r="G513" s="18">
        <f t="shared" si="50"/>
        <v>0</v>
      </c>
      <c r="H513" s="14">
        <v>43.72</v>
      </c>
      <c r="I513" s="18">
        <f t="shared" si="51"/>
        <v>43.72</v>
      </c>
      <c r="J513" s="18">
        <f t="shared" si="52"/>
        <v>0</v>
      </c>
      <c r="K513" s="14">
        <v>2.3199999999999998</v>
      </c>
      <c r="L513" s="18">
        <f t="shared" si="53"/>
        <v>2.3199999999999998</v>
      </c>
      <c r="M513" s="18">
        <f t="shared" si="54"/>
        <v>0</v>
      </c>
      <c r="N513" s="15">
        <f t="shared" si="55"/>
        <v>46.04</v>
      </c>
      <c r="O513" s="15">
        <f>+N513-P513</f>
        <v>46.04</v>
      </c>
      <c r="P513" s="15">
        <f>+IF(N513&gt;D513,N513-D513,0)</f>
        <v>0</v>
      </c>
      <c r="Q513" s="5">
        <f>+IF(P513=0,P513,P513/N513)</f>
        <v>0</v>
      </c>
    </row>
    <row r="514" spans="1:17" x14ac:dyDescent="0.25">
      <c r="A514" s="7">
        <v>46256.333333333336</v>
      </c>
      <c r="B514" s="6">
        <v>891.45</v>
      </c>
      <c r="C514" s="13">
        <v>0</v>
      </c>
      <c r="D514" s="18">
        <f>+B514+C514</f>
        <v>891.45</v>
      </c>
      <c r="E514" s="14">
        <v>0</v>
      </c>
      <c r="F514" s="18">
        <f t="shared" si="49"/>
        <v>0</v>
      </c>
      <c r="G514" s="18">
        <f t="shared" si="50"/>
        <v>0</v>
      </c>
      <c r="H514" s="14">
        <v>142.24</v>
      </c>
      <c r="I514" s="18">
        <f t="shared" si="51"/>
        <v>142.24</v>
      </c>
      <c r="J514" s="18">
        <f t="shared" si="52"/>
        <v>0</v>
      </c>
      <c r="K514" s="14">
        <v>9.4</v>
      </c>
      <c r="L514" s="18">
        <f t="shared" si="53"/>
        <v>9.4</v>
      </c>
      <c r="M514" s="18">
        <f t="shared" si="54"/>
        <v>0</v>
      </c>
      <c r="N514" s="15">
        <f t="shared" si="55"/>
        <v>151.64000000000001</v>
      </c>
      <c r="O514" s="15">
        <f>+N514-P514</f>
        <v>151.64000000000001</v>
      </c>
      <c r="P514" s="15">
        <f>+IF(N514&gt;D514,N514-D514,0)</f>
        <v>0</v>
      </c>
      <c r="Q514" s="5">
        <f>+IF(P514=0,P514,P514/N514)</f>
        <v>0</v>
      </c>
    </row>
    <row r="515" spans="1:17" x14ac:dyDescent="0.25">
      <c r="A515" s="7">
        <v>46256.375</v>
      </c>
      <c r="B515" s="6">
        <v>1206.45</v>
      </c>
      <c r="C515" s="13">
        <v>3.24</v>
      </c>
      <c r="D515" s="18">
        <f>+B515+C515</f>
        <v>1209.69</v>
      </c>
      <c r="E515" s="14">
        <v>0</v>
      </c>
      <c r="F515" s="18">
        <f t="shared" ref="F515:F578" si="56">+E515-G515</f>
        <v>0</v>
      </c>
      <c r="G515" s="18">
        <f t="shared" ref="G515:G578" si="57">+E515*Q515</f>
        <v>0</v>
      </c>
      <c r="H515" s="14">
        <v>48.76</v>
      </c>
      <c r="I515" s="18">
        <f t="shared" ref="I515:I578" si="58">+H515-J515</f>
        <v>48.76</v>
      </c>
      <c r="J515" s="18">
        <f t="shared" ref="J515:J578" si="59">+H515*Q515</f>
        <v>0</v>
      </c>
      <c r="K515" s="14">
        <v>68.08</v>
      </c>
      <c r="L515" s="18">
        <f t="shared" ref="L515:L578" si="60">+K515-M515</f>
        <v>68.08</v>
      </c>
      <c r="M515" s="18">
        <f t="shared" ref="M515:M578" si="61">+K515*Q515</f>
        <v>0</v>
      </c>
      <c r="N515" s="15">
        <f t="shared" ref="N515:N578" si="62">+E515+H515+K515</f>
        <v>116.84</v>
      </c>
      <c r="O515" s="15">
        <f>+N515-P515</f>
        <v>116.84</v>
      </c>
      <c r="P515" s="15">
        <f>+IF(N515&gt;D515,N515-D515,0)</f>
        <v>0</v>
      </c>
      <c r="Q515" s="5">
        <f>+IF(P515=0,P515,P515/N515)</f>
        <v>0</v>
      </c>
    </row>
    <row r="516" spans="1:17" x14ac:dyDescent="0.25">
      <c r="A516" s="7">
        <v>46256.416666666664</v>
      </c>
      <c r="B516" s="6">
        <v>1540.35</v>
      </c>
      <c r="C516" s="13">
        <v>7.56</v>
      </c>
      <c r="D516" s="18">
        <f>+B516+C516</f>
        <v>1547.9099999999999</v>
      </c>
      <c r="E516" s="14">
        <v>0</v>
      </c>
      <c r="F516" s="18">
        <f t="shared" si="56"/>
        <v>0</v>
      </c>
      <c r="G516" s="18">
        <f t="shared" si="57"/>
        <v>0</v>
      </c>
      <c r="H516" s="14">
        <v>28.119999999999997</v>
      </c>
      <c r="I516" s="18">
        <f t="shared" si="58"/>
        <v>28.119999999999997</v>
      </c>
      <c r="J516" s="18">
        <f t="shared" si="59"/>
        <v>0</v>
      </c>
      <c r="K516" s="14">
        <v>45.64</v>
      </c>
      <c r="L516" s="18">
        <f t="shared" si="60"/>
        <v>45.64</v>
      </c>
      <c r="M516" s="18">
        <f t="shared" si="61"/>
        <v>0</v>
      </c>
      <c r="N516" s="15">
        <f t="shared" si="62"/>
        <v>73.759999999999991</v>
      </c>
      <c r="O516" s="15">
        <f>+N516-P516</f>
        <v>73.759999999999991</v>
      </c>
      <c r="P516" s="15">
        <f>+IF(N516&gt;D516,N516-D516,0)</f>
        <v>0</v>
      </c>
      <c r="Q516" s="5">
        <f>+IF(P516=0,P516,P516/N516)</f>
        <v>0</v>
      </c>
    </row>
    <row r="517" spans="1:17" x14ac:dyDescent="0.25">
      <c r="A517" s="7">
        <v>46256.458333333336</v>
      </c>
      <c r="B517" s="6">
        <v>2097.9</v>
      </c>
      <c r="C517" s="13">
        <v>10.199999999999999</v>
      </c>
      <c r="D517" s="18">
        <f>+B517+C517</f>
        <v>2108.1</v>
      </c>
      <c r="E517" s="14">
        <v>0</v>
      </c>
      <c r="F517" s="18">
        <f t="shared" si="56"/>
        <v>0</v>
      </c>
      <c r="G517" s="18">
        <f t="shared" si="57"/>
        <v>0</v>
      </c>
      <c r="H517" s="14">
        <v>26.8</v>
      </c>
      <c r="I517" s="18">
        <f t="shared" si="58"/>
        <v>26.8</v>
      </c>
      <c r="J517" s="18">
        <f t="shared" si="59"/>
        <v>0</v>
      </c>
      <c r="K517" s="14">
        <v>62.8</v>
      </c>
      <c r="L517" s="18">
        <f t="shared" si="60"/>
        <v>62.8</v>
      </c>
      <c r="M517" s="18">
        <f t="shared" si="61"/>
        <v>0</v>
      </c>
      <c r="N517" s="15">
        <f t="shared" si="62"/>
        <v>89.6</v>
      </c>
      <c r="O517" s="15">
        <f>+N517-P517</f>
        <v>89.6</v>
      </c>
      <c r="P517" s="15">
        <f>+IF(N517&gt;D517,N517-D517,0)</f>
        <v>0</v>
      </c>
      <c r="Q517" s="5">
        <f>+IF(P517=0,P517,P517/N517)</f>
        <v>0</v>
      </c>
    </row>
    <row r="518" spans="1:17" x14ac:dyDescent="0.25">
      <c r="A518" s="7">
        <v>46256.5</v>
      </c>
      <c r="B518" s="6">
        <v>2595.6</v>
      </c>
      <c r="C518" s="13">
        <v>22.32</v>
      </c>
      <c r="D518" s="18">
        <f>+B518+C518</f>
        <v>2617.92</v>
      </c>
      <c r="E518" s="14">
        <v>0</v>
      </c>
      <c r="F518" s="18">
        <f t="shared" si="56"/>
        <v>0</v>
      </c>
      <c r="G518" s="18">
        <f t="shared" si="57"/>
        <v>0</v>
      </c>
      <c r="H518" s="14">
        <v>21.76</v>
      </c>
      <c r="I518" s="18">
        <f t="shared" si="58"/>
        <v>21.76</v>
      </c>
      <c r="J518" s="18">
        <f t="shared" si="59"/>
        <v>0</v>
      </c>
      <c r="K518" s="14">
        <v>15.64</v>
      </c>
      <c r="L518" s="18">
        <f t="shared" si="60"/>
        <v>15.64</v>
      </c>
      <c r="M518" s="18">
        <f t="shared" si="61"/>
        <v>0</v>
      </c>
      <c r="N518" s="15">
        <f t="shared" si="62"/>
        <v>37.400000000000006</v>
      </c>
      <c r="O518" s="15">
        <f>+N518-P518</f>
        <v>37.400000000000006</v>
      </c>
      <c r="P518" s="15">
        <f>+IF(N518&gt;D518,N518-D518,0)</f>
        <v>0</v>
      </c>
      <c r="Q518" s="5">
        <f>+IF(P518=0,P518,P518/N518)</f>
        <v>0</v>
      </c>
    </row>
    <row r="519" spans="1:17" x14ac:dyDescent="0.25">
      <c r="A519" s="7">
        <v>46256.541666666664</v>
      </c>
      <c r="B519" s="6">
        <v>2542.0500000000002</v>
      </c>
      <c r="C519" s="13">
        <v>40.44</v>
      </c>
      <c r="D519" s="18">
        <f>+B519+C519</f>
        <v>2582.4900000000002</v>
      </c>
      <c r="E519" s="14">
        <v>0</v>
      </c>
      <c r="F519" s="18">
        <f t="shared" si="56"/>
        <v>0</v>
      </c>
      <c r="G519" s="18">
        <f t="shared" si="57"/>
        <v>0</v>
      </c>
      <c r="H519" s="14">
        <v>4.7200000000000006</v>
      </c>
      <c r="I519" s="18">
        <f t="shared" si="58"/>
        <v>4.7200000000000006</v>
      </c>
      <c r="J519" s="18">
        <f t="shared" si="59"/>
        <v>0</v>
      </c>
      <c r="K519" s="14">
        <v>38.199999999999996</v>
      </c>
      <c r="L519" s="18">
        <f t="shared" si="60"/>
        <v>38.199999999999996</v>
      </c>
      <c r="M519" s="18">
        <f t="shared" si="61"/>
        <v>0</v>
      </c>
      <c r="N519" s="15">
        <f t="shared" si="62"/>
        <v>42.919999999999995</v>
      </c>
      <c r="O519" s="15">
        <f>+N519-P519</f>
        <v>42.919999999999995</v>
      </c>
      <c r="P519" s="15">
        <f>+IF(N519&gt;D519,N519-D519,0)</f>
        <v>0</v>
      </c>
      <c r="Q519" s="5">
        <f>+IF(P519=0,P519,P519/N519)</f>
        <v>0</v>
      </c>
    </row>
    <row r="520" spans="1:17" x14ac:dyDescent="0.25">
      <c r="A520" s="7">
        <v>46256.583333333336</v>
      </c>
      <c r="B520" s="6">
        <v>1953</v>
      </c>
      <c r="C520" s="13">
        <v>45.24</v>
      </c>
      <c r="D520" s="18">
        <f>+B520+C520</f>
        <v>1998.24</v>
      </c>
      <c r="E520" s="14">
        <v>0</v>
      </c>
      <c r="F520" s="18">
        <f t="shared" si="56"/>
        <v>0</v>
      </c>
      <c r="G520" s="18">
        <f t="shared" si="57"/>
        <v>0</v>
      </c>
      <c r="H520" s="14">
        <v>6.7600000000000007</v>
      </c>
      <c r="I520" s="18">
        <f t="shared" si="58"/>
        <v>6.7600000000000007</v>
      </c>
      <c r="J520" s="18">
        <f t="shared" si="59"/>
        <v>0</v>
      </c>
      <c r="K520" s="14">
        <v>28</v>
      </c>
      <c r="L520" s="18">
        <f t="shared" si="60"/>
        <v>28</v>
      </c>
      <c r="M520" s="18">
        <f t="shared" si="61"/>
        <v>0</v>
      </c>
      <c r="N520" s="15">
        <f t="shared" si="62"/>
        <v>34.76</v>
      </c>
      <c r="O520" s="15">
        <f>+N520-P520</f>
        <v>34.76</v>
      </c>
      <c r="P520" s="15">
        <f>+IF(N520&gt;D520,N520-D520,0)</f>
        <v>0</v>
      </c>
      <c r="Q520" s="5">
        <f>+IF(P520=0,P520,P520/N520)</f>
        <v>0</v>
      </c>
    </row>
    <row r="521" spans="1:17" x14ac:dyDescent="0.25">
      <c r="A521" s="7">
        <v>46256.625</v>
      </c>
      <c r="B521" s="6">
        <v>1534.05</v>
      </c>
      <c r="C521" s="13">
        <v>53.4</v>
      </c>
      <c r="D521" s="18">
        <f>+B521+C521</f>
        <v>1587.45</v>
      </c>
      <c r="E521" s="14">
        <v>0</v>
      </c>
      <c r="F521" s="18">
        <f t="shared" si="56"/>
        <v>0</v>
      </c>
      <c r="G521" s="18">
        <f t="shared" si="57"/>
        <v>0</v>
      </c>
      <c r="H521" s="14">
        <v>4</v>
      </c>
      <c r="I521" s="18">
        <f t="shared" si="58"/>
        <v>4</v>
      </c>
      <c r="J521" s="18">
        <f t="shared" si="59"/>
        <v>0</v>
      </c>
      <c r="K521" s="14">
        <v>45.879999999999995</v>
      </c>
      <c r="L521" s="18">
        <f t="shared" si="60"/>
        <v>45.879999999999995</v>
      </c>
      <c r="M521" s="18">
        <f t="shared" si="61"/>
        <v>0</v>
      </c>
      <c r="N521" s="15">
        <f t="shared" si="62"/>
        <v>49.879999999999995</v>
      </c>
      <c r="O521" s="15">
        <f>+N521-P521</f>
        <v>49.879999999999995</v>
      </c>
      <c r="P521" s="15">
        <f>+IF(N521&gt;D521,N521-D521,0)</f>
        <v>0</v>
      </c>
      <c r="Q521" s="5">
        <f>+IF(P521=0,P521,P521/N521)</f>
        <v>0</v>
      </c>
    </row>
    <row r="522" spans="1:17" x14ac:dyDescent="0.25">
      <c r="A522" s="7">
        <v>46256.666666666664</v>
      </c>
      <c r="B522" s="6">
        <v>727.65</v>
      </c>
      <c r="C522" s="13">
        <v>19.68</v>
      </c>
      <c r="D522" s="18">
        <f>+B522+C522</f>
        <v>747.32999999999993</v>
      </c>
      <c r="E522" s="14">
        <v>0</v>
      </c>
      <c r="F522" s="18">
        <f t="shared" si="56"/>
        <v>0</v>
      </c>
      <c r="G522" s="18">
        <f t="shared" si="57"/>
        <v>0</v>
      </c>
      <c r="H522" s="14">
        <v>8.08</v>
      </c>
      <c r="I522" s="18">
        <f t="shared" si="58"/>
        <v>8.08</v>
      </c>
      <c r="J522" s="18">
        <f t="shared" si="59"/>
        <v>0</v>
      </c>
      <c r="K522" s="14">
        <v>22.96</v>
      </c>
      <c r="L522" s="18">
        <f t="shared" si="60"/>
        <v>22.96</v>
      </c>
      <c r="M522" s="18">
        <f t="shared" si="61"/>
        <v>0</v>
      </c>
      <c r="N522" s="15">
        <f t="shared" si="62"/>
        <v>31.04</v>
      </c>
      <c r="O522" s="15">
        <f>+N522-P522</f>
        <v>31.04</v>
      </c>
      <c r="P522" s="15">
        <f>+IF(N522&gt;D522,N522-D522,0)</f>
        <v>0</v>
      </c>
      <c r="Q522" s="5">
        <f>+IF(P522=0,P522,P522/N522)</f>
        <v>0</v>
      </c>
    </row>
    <row r="523" spans="1:17" x14ac:dyDescent="0.25">
      <c r="A523" s="7">
        <v>46256.708333333336</v>
      </c>
      <c r="B523" s="6">
        <v>113.4</v>
      </c>
      <c r="C523" s="13">
        <v>0.72</v>
      </c>
      <c r="D523" s="18">
        <f>+B523+C523</f>
        <v>114.12</v>
      </c>
      <c r="E523" s="14">
        <v>129.136</v>
      </c>
      <c r="F523" s="18">
        <f t="shared" si="56"/>
        <v>74.30320425943853</v>
      </c>
      <c r="G523" s="18">
        <f t="shared" si="57"/>
        <v>54.832795740561458</v>
      </c>
      <c r="H523" s="14">
        <v>35.44</v>
      </c>
      <c r="I523" s="18">
        <f t="shared" si="58"/>
        <v>20.391723136495646</v>
      </c>
      <c r="J523" s="18">
        <f t="shared" si="59"/>
        <v>15.048276863504352</v>
      </c>
      <c r="K523" s="14">
        <v>33.76</v>
      </c>
      <c r="L523" s="18">
        <f t="shared" si="60"/>
        <v>19.425072604065832</v>
      </c>
      <c r="M523" s="18">
        <f t="shared" si="61"/>
        <v>14.334927395934168</v>
      </c>
      <c r="N523" s="15">
        <f t="shared" si="62"/>
        <v>198.33599999999998</v>
      </c>
      <c r="O523" s="15">
        <f>+N523-P523</f>
        <v>114.12</v>
      </c>
      <c r="P523" s="15">
        <f>+IF(N523&gt;D523,N523-D523,0)</f>
        <v>84.21599999999998</v>
      </c>
      <c r="Q523" s="5">
        <f>+IF(P523=0,P523,P523/N523)</f>
        <v>0.42461277831558558</v>
      </c>
    </row>
    <row r="524" spans="1:17" x14ac:dyDescent="0.25">
      <c r="A524" s="7">
        <v>46256.75</v>
      </c>
      <c r="B524" s="6">
        <v>182.7</v>
      </c>
      <c r="C524" s="13">
        <v>0</v>
      </c>
      <c r="D524" s="18">
        <f>+B524+C524</f>
        <v>182.7</v>
      </c>
      <c r="E524" s="14">
        <v>0</v>
      </c>
      <c r="F524" s="18">
        <f t="shared" si="56"/>
        <v>0</v>
      </c>
      <c r="G524" s="18">
        <f t="shared" si="57"/>
        <v>0</v>
      </c>
      <c r="H524" s="14">
        <v>63.76</v>
      </c>
      <c r="I524" s="18">
        <f t="shared" si="58"/>
        <v>63.76</v>
      </c>
      <c r="J524" s="18">
        <f t="shared" si="59"/>
        <v>0</v>
      </c>
      <c r="K524" s="14">
        <v>8.9200000000000017</v>
      </c>
      <c r="L524" s="18">
        <f t="shared" si="60"/>
        <v>8.9200000000000017</v>
      </c>
      <c r="M524" s="18">
        <f t="shared" si="61"/>
        <v>0</v>
      </c>
      <c r="N524" s="15">
        <f t="shared" si="62"/>
        <v>72.680000000000007</v>
      </c>
      <c r="O524" s="15">
        <f>+N524-P524</f>
        <v>72.680000000000007</v>
      </c>
      <c r="P524" s="15">
        <f>+IF(N524&gt;D524,N524-D524,0)</f>
        <v>0</v>
      </c>
      <c r="Q524" s="5">
        <f>+IF(P524=0,P524,P524/N524)</f>
        <v>0</v>
      </c>
    </row>
    <row r="525" spans="1:17" x14ac:dyDescent="0.25">
      <c r="A525" s="7">
        <v>46256.791666666664</v>
      </c>
      <c r="B525" s="6">
        <v>0</v>
      </c>
      <c r="C525" s="13">
        <v>0</v>
      </c>
      <c r="D525" s="18">
        <f>+B525+C525</f>
        <v>0</v>
      </c>
      <c r="E525" s="14">
        <v>34.646000000000001</v>
      </c>
      <c r="F525" s="18">
        <f t="shared" si="56"/>
        <v>0</v>
      </c>
      <c r="G525" s="18">
        <f t="shared" si="57"/>
        <v>34.646000000000001</v>
      </c>
      <c r="H525" s="14">
        <v>82.600000000000009</v>
      </c>
      <c r="I525" s="18">
        <f t="shared" si="58"/>
        <v>0</v>
      </c>
      <c r="J525" s="18">
        <f t="shared" si="59"/>
        <v>82.600000000000009</v>
      </c>
      <c r="K525" s="14">
        <v>1.1199999999999999</v>
      </c>
      <c r="L525" s="18">
        <f t="shared" si="60"/>
        <v>0</v>
      </c>
      <c r="M525" s="18">
        <f t="shared" si="61"/>
        <v>1.1199999999999999</v>
      </c>
      <c r="N525" s="15">
        <f t="shared" si="62"/>
        <v>118.36600000000001</v>
      </c>
      <c r="O525" s="15">
        <f>+N525-P525</f>
        <v>0</v>
      </c>
      <c r="P525" s="15">
        <f>+IF(N525&gt;D525,N525-D525,0)</f>
        <v>118.36600000000001</v>
      </c>
      <c r="Q525" s="5">
        <f>+IF(P525=0,P525,P525/N525)</f>
        <v>1</v>
      </c>
    </row>
    <row r="526" spans="1:17" x14ac:dyDescent="0.25">
      <c r="A526" s="7">
        <v>46256.833333333336</v>
      </c>
      <c r="B526" s="6">
        <v>0</v>
      </c>
      <c r="C526" s="13">
        <v>0</v>
      </c>
      <c r="D526" s="18">
        <f>+B526+C526</f>
        <v>0</v>
      </c>
      <c r="E526" s="14">
        <v>283.46900000000005</v>
      </c>
      <c r="F526" s="18">
        <f t="shared" si="56"/>
        <v>0</v>
      </c>
      <c r="G526" s="18">
        <f t="shared" si="57"/>
        <v>283.46900000000005</v>
      </c>
      <c r="H526" s="14">
        <v>107.32</v>
      </c>
      <c r="I526" s="18">
        <f t="shared" si="58"/>
        <v>0</v>
      </c>
      <c r="J526" s="18">
        <f t="shared" si="59"/>
        <v>107.32</v>
      </c>
      <c r="K526" s="14">
        <v>1.1199999999999999</v>
      </c>
      <c r="L526" s="18">
        <f t="shared" si="60"/>
        <v>0</v>
      </c>
      <c r="M526" s="18">
        <f t="shared" si="61"/>
        <v>1.1199999999999999</v>
      </c>
      <c r="N526" s="15">
        <f t="shared" si="62"/>
        <v>391.90900000000005</v>
      </c>
      <c r="O526" s="15">
        <f>+N526-P526</f>
        <v>0</v>
      </c>
      <c r="P526" s="15">
        <f>+IF(N526&gt;D526,N526-D526,0)</f>
        <v>391.90900000000005</v>
      </c>
      <c r="Q526" s="5">
        <f>+IF(P526=0,P526,P526/N526)</f>
        <v>1</v>
      </c>
    </row>
    <row r="527" spans="1:17" x14ac:dyDescent="0.25">
      <c r="A527" s="7">
        <v>46256.875</v>
      </c>
      <c r="B527" s="6">
        <v>0</v>
      </c>
      <c r="C527" s="13">
        <v>0</v>
      </c>
      <c r="D527" s="18">
        <f>+B527+C527</f>
        <v>0</v>
      </c>
      <c r="E527" s="14">
        <v>318.11599999999999</v>
      </c>
      <c r="F527" s="18">
        <f t="shared" si="56"/>
        <v>0</v>
      </c>
      <c r="G527" s="18">
        <f t="shared" si="57"/>
        <v>318.11599999999999</v>
      </c>
      <c r="H527" s="14">
        <v>118.36000000000001</v>
      </c>
      <c r="I527" s="18">
        <f t="shared" si="58"/>
        <v>0</v>
      </c>
      <c r="J527" s="18">
        <f t="shared" si="59"/>
        <v>118.36000000000001</v>
      </c>
      <c r="K527" s="14">
        <v>1.1199999999999999</v>
      </c>
      <c r="L527" s="18">
        <f t="shared" si="60"/>
        <v>0</v>
      </c>
      <c r="M527" s="18">
        <f t="shared" si="61"/>
        <v>1.1199999999999999</v>
      </c>
      <c r="N527" s="15">
        <f t="shared" si="62"/>
        <v>437.596</v>
      </c>
      <c r="O527" s="15">
        <f>+N527-P527</f>
        <v>0</v>
      </c>
      <c r="P527" s="15">
        <f>+IF(N527&gt;D527,N527-D527,0)</f>
        <v>437.596</v>
      </c>
      <c r="Q527" s="5">
        <f>+IF(P527=0,P527,P527/N527)</f>
        <v>1</v>
      </c>
    </row>
    <row r="528" spans="1:17" x14ac:dyDescent="0.25">
      <c r="A528" s="7">
        <v>46256.916666666664</v>
      </c>
      <c r="B528" s="6">
        <v>0</v>
      </c>
      <c r="C528" s="13">
        <v>0</v>
      </c>
      <c r="D528" s="18">
        <f>+B528+C528</f>
        <v>0</v>
      </c>
      <c r="E528" s="14">
        <v>286.65499999999997</v>
      </c>
      <c r="F528" s="18">
        <f t="shared" si="56"/>
        <v>0</v>
      </c>
      <c r="G528" s="18">
        <f t="shared" si="57"/>
        <v>286.65499999999997</v>
      </c>
      <c r="H528" s="14">
        <v>103.36</v>
      </c>
      <c r="I528" s="18">
        <f t="shared" si="58"/>
        <v>0</v>
      </c>
      <c r="J528" s="18">
        <f t="shared" si="59"/>
        <v>103.36</v>
      </c>
      <c r="K528" s="14">
        <v>1.1199999999999999</v>
      </c>
      <c r="L528" s="18">
        <f t="shared" si="60"/>
        <v>0</v>
      </c>
      <c r="M528" s="18">
        <f t="shared" si="61"/>
        <v>1.1199999999999999</v>
      </c>
      <c r="N528" s="15">
        <f t="shared" si="62"/>
        <v>391.13499999999999</v>
      </c>
      <c r="O528" s="15">
        <f>+N528-P528</f>
        <v>0</v>
      </c>
      <c r="P528" s="15">
        <f>+IF(N528&gt;D528,N528-D528,0)</f>
        <v>391.13499999999999</v>
      </c>
      <c r="Q528" s="5">
        <f>+IF(P528=0,P528,P528/N528)</f>
        <v>1</v>
      </c>
    </row>
    <row r="529" spans="1:17" x14ac:dyDescent="0.25">
      <c r="A529" s="7">
        <v>46256.958333333336</v>
      </c>
      <c r="B529" s="6">
        <v>0</v>
      </c>
      <c r="C529" s="13">
        <v>0</v>
      </c>
      <c r="D529" s="18">
        <f>+B529+C529</f>
        <v>0</v>
      </c>
      <c r="E529" s="14">
        <v>274.05500000000001</v>
      </c>
      <c r="F529" s="18">
        <f t="shared" si="56"/>
        <v>0</v>
      </c>
      <c r="G529" s="18">
        <f t="shared" si="57"/>
        <v>274.05500000000001</v>
      </c>
      <c r="H529" s="14">
        <v>112</v>
      </c>
      <c r="I529" s="18">
        <f t="shared" si="58"/>
        <v>0</v>
      </c>
      <c r="J529" s="18">
        <f t="shared" si="59"/>
        <v>112</v>
      </c>
      <c r="K529" s="14">
        <v>7.5709999999999997</v>
      </c>
      <c r="L529" s="18">
        <f t="shared" si="60"/>
        <v>0</v>
      </c>
      <c r="M529" s="18">
        <f t="shared" si="61"/>
        <v>7.5709999999999997</v>
      </c>
      <c r="N529" s="15">
        <f t="shared" si="62"/>
        <v>393.62600000000003</v>
      </c>
      <c r="O529" s="15">
        <f>+N529-P529</f>
        <v>0</v>
      </c>
      <c r="P529" s="15">
        <f>+IF(N529&gt;D529,N529-D529,0)</f>
        <v>393.62600000000003</v>
      </c>
      <c r="Q529" s="5">
        <f>+IF(P529=0,P529,P529/N529)</f>
        <v>1</v>
      </c>
    </row>
    <row r="530" spans="1:17" x14ac:dyDescent="0.25">
      <c r="A530" s="7">
        <v>46257</v>
      </c>
      <c r="B530" s="6">
        <v>0</v>
      </c>
      <c r="C530" s="13">
        <v>0</v>
      </c>
      <c r="D530" s="18">
        <f>+B530+C530</f>
        <v>0</v>
      </c>
      <c r="E530" s="14">
        <v>340.20600000000002</v>
      </c>
      <c r="F530" s="18">
        <f t="shared" si="56"/>
        <v>0</v>
      </c>
      <c r="G530" s="18">
        <f t="shared" si="57"/>
        <v>340.20600000000002</v>
      </c>
      <c r="H530" s="14">
        <v>113.8</v>
      </c>
      <c r="I530" s="18">
        <f t="shared" si="58"/>
        <v>0</v>
      </c>
      <c r="J530" s="18">
        <f t="shared" si="59"/>
        <v>113.8</v>
      </c>
      <c r="K530" s="14">
        <v>2.8</v>
      </c>
      <c r="L530" s="18">
        <f t="shared" si="60"/>
        <v>0</v>
      </c>
      <c r="M530" s="18">
        <f t="shared" si="61"/>
        <v>2.8</v>
      </c>
      <c r="N530" s="15">
        <f t="shared" si="62"/>
        <v>456.80600000000004</v>
      </c>
      <c r="O530" s="15">
        <f>+N530-P530</f>
        <v>0</v>
      </c>
      <c r="P530" s="15">
        <f>+IF(N530&gt;D530,N530-D530,0)</f>
        <v>456.80600000000004</v>
      </c>
      <c r="Q530" s="5">
        <f>+IF(P530=0,P530,P530/N530)</f>
        <v>1</v>
      </c>
    </row>
    <row r="531" spans="1:17" x14ac:dyDescent="0.25">
      <c r="A531" s="7">
        <v>46257.041666666664</v>
      </c>
      <c r="B531" s="6">
        <v>0</v>
      </c>
      <c r="C531" s="13">
        <v>0</v>
      </c>
      <c r="D531" s="18">
        <f>+B531+C531</f>
        <v>0</v>
      </c>
      <c r="E531" s="14">
        <v>132.30199999999999</v>
      </c>
      <c r="F531" s="18">
        <f t="shared" si="56"/>
        <v>0</v>
      </c>
      <c r="G531" s="18">
        <f t="shared" si="57"/>
        <v>132.30199999999999</v>
      </c>
      <c r="H531" s="14">
        <v>103.72000000000001</v>
      </c>
      <c r="I531" s="18">
        <f t="shared" si="58"/>
        <v>0</v>
      </c>
      <c r="J531" s="18">
        <f t="shared" si="59"/>
        <v>103.72000000000001</v>
      </c>
      <c r="K531" s="14">
        <v>2.92</v>
      </c>
      <c r="L531" s="18">
        <f t="shared" si="60"/>
        <v>0</v>
      </c>
      <c r="M531" s="18">
        <f t="shared" si="61"/>
        <v>2.92</v>
      </c>
      <c r="N531" s="15">
        <f t="shared" si="62"/>
        <v>238.94199999999998</v>
      </c>
      <c r="O531" s="15">
        <f>+N531-P531</f>
        <v>0</v>
      </c>
      <c r="P531" s="15">
        <f>+IF(N531&gt;D531,N531-D531,0)</f>
        <v>238.94199999999998</v>
      </c>
      <c r="Q531" s="5">
        <f>+IF(P531=0,P531,P531/N531)</f>
        <v>1</v>
      </c>
    </row>
    <row r="532" spans="1:17" x14ac:dyDescent="0.25">
      <c r="A532" s="7">
        <v>46257.083333333336</v>
      </c>
      <c r="B532" s="6">
        <v>0</v>
      </c>
      <c r="C532" s="13">
        <v>0</v>
      </c>
      <c r="D532" s="18">
        <f>+B532+C532</f>
        <v>0</v>
      </c>
      <c r="E532" s="14">
        <v>1077.319</v>
      </c>
      <c r="F532" s="18">
        <f t="shared" si="56"/>
        <v>0</v>
      </c>
      <c r="G532" s="18">
        <f t="shared" si="57"/>
        <v>1077.319</v>
      </c>
      <c r="H532" s="14">
        <v>104.2</v>
      </c>
      <c r="I532" s="18">
        <f t="shared" si="58"/>
        <v>0</v>
      </c>
      <c r="J532" s="18">
        <f t="shared" si="59"/>
        <v>104.2</v>
      </c>
      <c r="K532" s="14">
        <v>2.8</v>
      </c>
      <c r="L532" s="18">
        <f t="shared" si="60"/>
        <v>0</v>
      </c>
      <c r="M532" s="18">
        <f t="shared" si="61"/>
        <v>2.8</v>
      </c>
      <c r="N532" s="15">
        <f t="shared" si="62"/>
        <v>1184.319</v>
      </c>
      <c r="O532" s="15">
        <f>+N532-P532</f>
        <v>0</v>
      </c>
      <c r="P532" s="15">
        <f>+IF(N532&gt;D532,N532-D532,0)</f>
        <v>1184.319</v>
      </c>
      <c r="Q532" s="5">
        <f>+IF(P532=0,P532,P532/N532)</f>
        <v>1</v>
      </c>
    </row>
    <row r="533" spans="1:17" x14ac:dyDescent="0.25">
      <c r="A533" s="7">
        <v>46257.125</v>
      </c>
      <c r="B533" s="6">
        <v>0</v>
      </c>
      <c r="C533" s="13">
        <v>0</v>
      </c>
      <c r="D533" s="18">
        <f>+B533+C533</f>
        <v>0</v>
      </c>
      <c r="E533" s="14">
        <v>1071.019</v>
      </c>
      <c r="F533" s="18">
        <f t="shared" si="56"/>
        <v>0</v>
      </c>
      <c r="G533" s="18">
        <f t="shared" si="57"/>
        <v>1071.019</v>
      </c>
      <c r="H533" s="14">
        <v>56.44</v>
      </c>
      <c r="I533" s="18">
        <f t="shared" si="58"/>
        <v>0</v>
      </c>
      <c r="J533" s="18">
        <f t="shared" si="59"/>
        <v>56.44</v>
      </c>
      <c r="K533" s="14">
        <v>2.3199999999999998</v>
      </c>
      <c r="L533" s="18">
        <f t="shared" si="60"/>
        <v>0</v>
      </c>
      <c r="M533" s="18">
        <f t="shared" si="61"/>
        <v>2.3199999999999998</v>
      </c>
      <c r="N533" s="15">
        <f t="shared" si="62"/>
        <v>1129.779</v>
      </c>
      <c r="O533" s="15">
        <f>+N533-P533</f>
        <v>0</v>
      </c>
      <c r="P533" s="15">
        <f>+IF(N533&gt;D533,N533-D533,0)</f>
        <v>1129.779</v>
      </c>
      <c r="Q533" s="5">
        <f>+IF(P533=0,P533,P533/N533)</f>
        <v>1</v>
      </c>
    </row>
    <row r="534" spans="1:17" x14ac:dyDescent="0.25">
      <c r="A534" s="7">
        <v>46257.166666666664</v>
      </c>
      <c r="B534" s="6">
        <v>0</v>
      </c>
      <c r="C534" s="13">
        <v>0</v>
      </c>
      <c r="D534" s="18">
        <f>+B534+C534</f>
        <v>0</v>
      </c>
      <c r="E534" s="14">
        <v>1017.4680000000001</v>
      </c>
      <c r="F534" s="18">
        <f t="shared" si="56"/>
        <v>0</v>
      </c>
      <c r="G534" s="18">
        <f t="shared" si="57"/>
        <v>1017.4680000000001</v>
      </c>
      <c r="H534" s="14">
        <v>57.28</v>
      </c>
      <c r="I534" s="18">
        <f t="shared" si="58"/>
        <v>0</v>
      </c>
      <c r="J534" s="18">
        <f t="shared" si="59"/>
        <v>57.28</v>
      </c>
      <c r="K534" s="14">
        <v>2.3199999999999998</v>
      </c>
      <c r="L534" s="18">
        <f t="shared" si="60"/>
        <v>0</v>
      </c>
      <c r="M534" s="18">
        <f t="shared" si="61"/>
        <v>2.3199999999999998</v>
      </c>
      <c r="N534" s="15">
        <f t="shared" si="62"/>
        <v>1077.068</v>
      </c>
      <c r="O534" s="15">
        <f>+N534-P534</f>
        <v>0</v>
      </c>
      <c r="P534" s="15">
        <f>+IF(N534&gt;D534,N534-D534,0)</f>
        <v>1077.068</v>
      </c>
      <c r="Q534" s="5">
        <f>+IF(P534=0,P534,P534/N534)</f>
        <v>1</v>
      </c>
    </row>
    <row r="535" spans="1:17" x14ac:dyDescent="0.25">
      <c r="A535" s="7">
        <v>46257.208333333336</v>
      </c>
      <c r="B535" s="6">
        <v>0</v>
      </c>
      <c r="C535" s="13">
        <v>0</v>
      </c>
      <c r="D535" s="18">
        <f>+B535+C535</f>
        <v>0</v>
      </c>
      <c r="E535" s="14">
        <v>1124.5700000000002</v>
      </c>
      <c r="F535" s="18">
        <f t="shared" si="56"/>
        <v>0</v>
      </c>
      <c r="G535" s="18">
        <f t="shared" si="57"/>
        <v>1124.5700000000002</v>
      </c>
      <c r="H535" s="14">
        <v>55.72</v>
      </c>
      <c r="I535" s="18">
        <f t="shared" si="58"/>
        <v>0</v>
      </c>
      <c r="J535" s="18">
        <f t="shared" si="59"/>
        <v>55.72</v>
      </c>
      <c r="K535" s="14">
        <v>2.68</v>
      </c>
      <c r="L535" s="18">
        <f t="shared" si="60"/>
        <v>0</v>
      </c>
      <c r="M535" s="18">
        <f t="shared" si="61"/>
        <v>2.68</v>
      </c>
      <c r="N535" s="15">
        <f t="shared" si="62"/>
        <v>1182.9700000000003</v>
      </c>
      <c r="O535" s="15">
        <f>+N535-P535</f>
        <v>0</v>
      </c>
      <c r="P535" s="15">
        <f>+IF(N535&gt;D535,N535-D535,0)</f>
        <v>1182.9700000000003</v>
      </c>
      <c r="Q535" s="5">
        <f>+IF(P535=0,P535,P535/N535)</f>
        <v>1</v>
      </c>
    </row>
    <row r="536" spans="1:17" x14ac:dyDescent="0.25">
      <c r="A536" s="7">
        <v>46257.25</v>
      </c>
      <c r="B536" s="6">
        <v>40.950000000000003</v>
      </c>
      <c r="C536" s="13">
        <v>0</v>
      </c>
      <c r="D536" s="18">
        <f>+B536+C536</f>
        <v>40.950000000000003</v>
      </c>
      <c r="E536" s="14">
        <v>6.3</v>
      </c>
      <c r="F536" s="18">
        <f t="shared" si="56"/>
        <v>5.8873801916932909</v>
      </c>
      <c r="G536" s="18">
        <f t="shared" si="57"/>
        <v>0.41261980830670886</v>
      </c>
      <c r="H536" s="14">
        <v>35.200000000000003</v>
      </c>
      <c r="I536" s="18">
        <f t="shared" si="58"/>
        <v>32.894568690095852</v>
      </c>
      <c r="J536" s="18">
        <f t="shared" si="59"/>
        <v>2.3054313099041512</v>
      </c>
      <c r="K536" s="14">
        <v>2.3199999999999998</v>
      </c>
      <c r="L536" s="18">
        <f t="shared" si="60"/>
        <v>2.1680511182108626</v>
      </c>
      <c r="M536" s="18">
        <f t="shared" si="61"/>
        <v>0.15194888178913721</v>
      </c>
      <c r="N536" s="15">
        <f t="shared" si="62"/>
        <v>43.82</v>
      </c>
      <c r="O536" s="15">
        <f>+N536-P536</f>
        <v>40.950000000000003</v>
      </c>
      <c r="P536" s="15">
        <f>+IF(N536&gt;D536,N536-D536,0)</f>
        <v>2.8699999999999974</v>
      </c>
      <c r="Q536" s="5">
        <f>+IF(P536=0,P536,P536/N536)</f>
        <v>6.5495207667731564E-2</v>
      </c>
    </row>
    <row r="537" spans="1:17" x14ac:dyDescent="0.25">
      <c r="A537" s="7">
        <v>46257.291666666664</v>
      </c>
      <c r="B537" s="6">
        <v>500.85</v>
      </c>
      <c r="C537" s="13">
        <v>0.84</v>
      </c>
      <c r="D537" s="18">
        <f>+B537+C537</f>
        <v>501.69</v>
      </c>
      <c r="E537" s="14">
        <v>0</v>
      </c>
      <c r="F537" s="18">
        <f t="shared" si="56"/>
        <v>0</v>
      </c>
      <c r="G537" s="18">
        <f t="shared" si="57"/>
        <v>0</v>
      </c>
      <c r="H537" s="14">
        <v>26.68</v>
      </c>
      <c r="I537" s="18">
        <f t="shared" si="58"/>
        <v>26.68</v>
      </c>
      <c r="J537" s="18">
        <f t="shared" si="59"/>
        <v>0</v>
      </c>
      <c r="K537" s="14">
        <v>2.68</v>
      </c>
      <c r="L537" s="18">
        <f t="shared" si="60"/>
        <v>2.68</v>
      </c>
      <c r="M537" s="18">
        <f t="shared" si="61"/>
        <v>0</v>
      </c>
      <c r="N537" s="15">
        <f t="shared" si="62"/>
        <v>29.36</v>
      </c>
      <c r="O537" s="15">
        <f>+N537-P537</f>
        <v>29.36</v>
      </c>
      <c r="P537" s="15">
        <f>+IF(N537&gt;D537,N537-D537,0)</f>
        <v>0</v>
      </c>
      <c r="Q537" s="5">
        <f>+IF(P537=0,P537,P537/N537)</f>
        <v>0</v>
      </c>
    </row>
    <row r="538" spans="1:17" x14ac:dyDescent="0.25">
      <c r="A538" s="7">
        <v>46257.333333333336</v>
      </c>
      <c r="B538" s="6">
        <v>1291.5</v>
      </c>
      <c r="C538" s="13">
        <v>0</v>
      </c>
      <c r="D538" s="18">
        <f>+B538+C538</f>
        <v>1291.5</v>
      </c>
      <c r="E538" s="14">
        <v>0</v>
      </c>
      <c r="F538" s="18">
        <f t="shared" si="56"/>
        <v>0</v>
      </c>
      <c r="G538" s="18">
        <f t="shared" si="57"/>
        <v>0</v>
      </c>
      <c r="H538" s="14">
        <v>119.8</v>
      </c>
      <c r="I538" s="18">
        <f t="shared" si="58"/>
        <v>119.8</v>
      </c>
      <c r="J538" s="18">
        <f t="shared" si="59"/>
        <v>0</v>
      </c>
      <c r="K538" s="14">
        <v>1.84</v>
      </c>
      <c r="L538" s="18">
        <f t="shared" si="60"/>
        <v>1.84</v>
      </c>
      <c r="M538" s="18">
        <f t="shared" si="61"/>
        <v>0</v>
      </c>
      <c r="N538" s="15">
        <f t="shared" si="62"/>
        <v>121.64</v>
      </c>
      <c r="O538" s="15">
        <f>+N538-P538</f>
        <v>121.64</v>
      </c>
      <c r="P538" s="15">
        <f>+IF(N538&gt;D538,N538-D538,0)</f>
        <v>0</v>
      </c>
      <c r="Q538" s="5">
        <f>+IF(P538=0,P538,P538/N538)</f>
        <v>0</v>
      </c>
    </row>
    <row r="539" spans="1:17" x14ac:dyDescent="0.25">
      <c r="A539" s="7">
        <v>46257.375</v>
      </c>
      <c r="B539" s="6">
        <v>1949.85</v>
      </c>
      <c r="C539" s="13">
        <v>0.36</v>
      </c>
      <c r="D539" s="18">
        <f>+B539+C539</f>
        <v>1950.2099999999998</v>
      </c>
      <c r="E539" s="14">
        <v>0</v>
      </c>
      <c r="F539" s="18">
        <f t="shared" si="56"/>
        <v>0</v>
      </c>
      <c r="G539" s="18">
        <f t="shared" si="57"/>
        <v>0</v>
      </c>
      <c r="H539" s="14">
        <v>68.2</v>
      </c>
      <c r="I539" s="18">
        <f t="shared" si="58"/>
        <v>68.2</v>
      </c>
      <c r="J539" s="18">
        <f t="shared" si="59"/>
        <v>0</v>
      </c>
      <c r="K539" s="14">
        <v>1.84</v>
      </c>
      <c r="L539" s="18">
        <f t="shared" si="60"/>
        <v>1.84</v>
      </c>
      <c r="M539" s="18">
        <f t="shared" si="61"/>
        <v>0</v>
      </c>
      <c r="N539" s="15">
        <f t="shared" si="62"/>
        <v>70.040000000000006</v>
      </c>
      <c r="O539" s="15">
        <f>+N539-P539</f>
        <v>70.040000000000006</v>
      </c>
      <c r="P539" s="15">
        <f>+IF(N539&gt;D539,N539-D539,0)</f>
        <v>0</v>
      </c>
      <c r="Q539" s="5">
        <f>+IF(P539=0,P539,P539/N539)</f>
        <v>0</v>
      </c>
    </row>
    <row r="540" spans="1:17" x14ac:dyDescent="0.25">
      <c r="A540" s="7">
        <v>46257.416666666664</v>
      </c>
      <c r="B540" s="6">
        <v>2428.65</v>
      </c>
      <c r="C540" s="13">
        <v>11.04</v>
      </c>
      <c r="D540" s="18">
        <f>+B540+C540</f>
        <v>2439.69</v>
      </c>
      <c r="E540" s="14">
        <v>0</v>
      </c>
      <c r="F540" s="18">
        <f t="shared" si="56"/>
        <v>0</v>
      </c>
      <c r="G540" s="18">
        <f t="shared" si="57"/>
        <v>0</v>
      </c>
      <c r="H540" s="14">
        <v>21.88</v>
      </c>
      <c r="I540" s="18">
        <f t="shared" si="58"/>
        <v>21.88</v>
      </c>
      <c r="J540" s="18">
        <f t="shared" si="59"/>
        <v>0</v>
      </c>
      <c r="K540" s="14">
        <v>1.72</v>
      </c>
      <c r="L540" s="18">
        <f t="shared" si="60"/>
        <v>1.72</v>
      </c>
      <c r="M540" s="18">
        <f t="shared" si="61"/>
        <v>0</v>
      </c>
      <c r="N540" s="15">
        <f t="shared" si="62"/>
        <v>23.599999999999998</v>
      </c>
      <c r="O540" s="15">
        <f>+N540-P540</f>
        <v>23.599999999999998</v>
      </c>
      <c r="P540" s="15">
        <f>+IF(N540&gt;D540,N540-D540,0)</f>
        <v>0</v>
      </c>
      <c r="Q540" s="5">
        <f>+IF(P540=0,P540,P540/N540)</f>
        <v>0</v>
      </c>
    </row>
    <row r="541" spans="1:17" x14ac:dyDescent="0.25">
      <c r="A541" s="7">
        <v>46257.458333333336</v>
      </c>
      <c r="B541" s="6">
        <v>2693.25</v>
      </c>
      <c r="C541" s="13">
        <v>27.48</v>
      </c>
      <c r="D541" s="18">
        <f>+B541+C541</f>
        <v>2720.73</v>
      </c>
      <c r="E541" s="14">
        <v>0</v>
      </c>
      <c r="F541" s="18">
        <f t="shared" si="56"/>
        <v>0</v>
      </c>
      <c r="G541" s="18">
        <f t="shared" si="57"/>
        <v>0</v>
      </c>
      <c r="H541" s="14">
        <v>7.4799999999999995</v>
      </c>
      <c r="I541" s="18">
        <f t="shared" si="58"/>
        <v>7.4799999999999995</v>
      </c>
      <c r="J541" s="18">
        <f t="shared" si="59"/>
        <v>0</v>
      </c>
      <c r="K541" s="14">
        <v>1.84</v>
      </c>
      <c r="L541" s="18">
        <f t="shared" si="60"/>
        <v>1.84</v>
      </c>
      <c r="M541" s="18">
        <f t="shared" si="61"/>
        <v>0</v>
      </c>
      <c r="N541" s="15">
        <f t="shared" si="62"/>
        <v>9.32</v>
      </c>
      <c r="O541" s="15">
        <f>+N541-P541</f>
        <v>9.32</v>
      </c>
      <c r="P541" s="15">
        <f>+IF(N541&gt;D541,N541-D541,0)</f>
        <v>0</v>
      </c>
      <c r="Q541" s="5">
        <f>+IF(P541=0,P541,P541/N541)</f>
        <v>0</v>
      </c>
    </row>
    <row r="542" spans="1:17" x14ac:dyDescent="0.25">
      <c r="A542" s="7">
        <v>46257.5</v>
      </c>
      <c r="B542" s="6">
        <v>2696.4</v>
      </c>
      <c r="C542" s="13">
        <v>61.32</v>
      </c>
      <c r="D542" s="18">
        <f>+B542+C542</f>
        <v>2757.7200000000003</v>
      </c>
      <c r="E542" s="14">
        <v>0</v>
      </c>
      <c r="F542" s="18">
        <f t="shared" si="56"/>
        <v>0</v>
      </c>
      <c r="G542" s="18">
        <f t="shared" si="57"/>
        <v>0</v>
      </c>
      <c r="H542" s="14">
        <v>3.4</v>
      </c>
      <c r="I542" s="18">
        <f t="shared" si="58"/>
        <v>3.4</v>
      </c>
      <c r="J542" s="18">
        <f t="shared" si="59"/>
        <v>0</v>
      </c>
      <c r="K542" s="14">
        <v>2.0799999999999996</v>
      </c>
      <c r="L542" s="18">
        <f t="shared" si="60"/>
        <v>2.0799999999999996</v>
      </c>
      <c r="M542" s="18">
        <f t="shared" si="61"/>
        <v>0</v>
      </c>
      <c r="N542" s="15">
        <f t="shared" si="62"/>
        <v>5.4799999999999995</v>
      </c>
      <c r="O542" s="15">
        <f>+N542-P542</f>
        <v>5.4799999999999995</v>
      </c>
      <c r="P542" s="15">
        <f>+IF(N542&gt;D542,N542-D542,0)</f>
        <v>0</v>
      </c>
      <c r="Q542" s="5">
        <f>+IF(P542=0,P542,P542/N542)</f>
        <v>0</v>
      </c>
    </row>
    <row r="543" spans="1:17" x14ac:dyDescent="0.25">
      <c r="A543" s="7">
        <v>46257.541666666664</v>
      </c>
      <c r="B543" s="6">
        <v>2649.15</v>
      </c>
      <c r="C543" s="13">
        <v>56.4</v>
      </c>
      <c r="D543" s="18">
        <f>+B543+C543</f>
        <v>2705.55</v>
      </c>
      <c r="E543" s="14">
        <v>0</v>
      </c>
      <c r="F543" s="18">
        <f t="shared" si="56"/>
        <v>0</v>
      </c>
      <c r="G543" s="18">
        <f t="shared" si="57"/>
        <v>0</v>
      </c>
      <c r="H543" s="14">
        <v>3.4</v>
      </c>
      <c r="I543" s="18">
        <f t="shared" si="58"/>
        <v>3.4</v>
      </c>
      <c r="J543" s="18">
        <f t="shared" si="59"/>
        <v>0</v>
      </c>
      <c r="K543" s="14">
        <v>2.2000000000000002</v>
      </c>
      <c r="L543" s="18">
        <f t="shared" si="60"/>
        <v>2.2000000000000002</v>
      </c>
      <c r="M543" s="18">
        <f t="shared" si="61"/>
        <v>0</v>
      </c>
      <c r="N543" s="15">
        <f t="shared" si="62"/>
        <v>5.6</v>
      </c>
      <c r="O543" s="15">
        <f>+N543-P543</f>
        <v>5.6</v>
      </c>
      <c r="P543" s="15">
        <f>+IF(N543&gt;D543,N543-D543,0)</f>
        <v>0</v>
      </c>
      <c r="Q543" s="5">
        <f>+IF(P543=0,P543,P543/N543)</f>
        <v>0</v>
      </c>
    </row>
    <row r="544" spans="1:17" x14ac:dyDescent="0.25">
      <c r="A544" s="7">
        <v>46257.583333333336</v>
      </c>
      <c r="B544" s="6">
        <v>2510.5500000000002</v>
      </c>
      <c r="C544" s="13">
        <v>15</v>
      </c>
      <c r="D544" s="18">
        <f>+B544+C544</f>
        <v>2525.5500000000002</v>
      </c>
      <c r="E544" s="14">
        <v>0</v>
      </c>
      <c r="F544" s="18">
        <f t="shared" si="56"/>
        <v>0</v>
      </c>
      <c r="G544" s="18">
        <f t="shared" si="57"/>
        <v>0</v>
      </c>
      <c r="H544" s="14">
        <v>13.719999999999999</v>
      </c>
      <c r="I544" s="18">
        <f t="shared" si="58"/>
        <v>13.719999999999999</v>
      </c>
      <c r="J544" s="18">
        <f t="shared" si="59"/>
        <v>0</v>
      </c>
      <c r="K544" s="14">
        <v>2.3199999999999998</v>
      </c>
      <c r="L544" s="18">
        <f t="shared" si="60"/>
        <v>2.3199999999999998</v>
      </c>
      <c r="M544" s="18">
        <f t="shared" si="61"/>
        <v>0</v>
      </c>
      <c r="N544" s="15">
        <f t="shared" si="62"/>
        <v>16.04</v>
      </c>
      <c r="O544" s="15">
        <f>+N544-P544</f>
        <v>16.04</v>
      </c>
      <c r="P544" s="15">
        <f>+IF(N544&gt;D544,N544-D544,0)</f>
        <v>0</v>
      </c>
      <c r="Q544" s="5">
        <f>+IF(P544=0,P544,P544/N544)</f>
        <v>0</v>
      </c>
    </row>
    <row r="545" spans="1:17" x14ac:dyDescent="0.25">
      <c r="A545" s="7">
        <v>46257.625</v>
      </c>
      <c r="B545" s="6">
        <v>2151.4499999999998</v>
      </c>
      <c r="C545" s="13">
        <v>6.12</v>
      </c>
      <c r="D545" s="18">
        <f>+B545+C545</f>
        <v>2157.5699999999997</v>
      </c>
      <c r="E545" s="14">
        <v>0</v>
      </c>
      <c r="F545" s="18">
        <f t="shared" si="56"/>
        <v>0</v>
      </c>
      <c r="G545" s="18">
        <f t="shared" si="57"/>
        <v>0</v>
      </c>
      <c r="H545" s="14">
        <v>26.44</v>
      </c>
      <c r="I545" s="18">
        <f t="shared" si="58"/>
        <v>26.44</v>
      </c>
      <c r="J545" s="18">
        <f t="shared" si="59"/>
        <v>0</v>
      </c>
      <c r="K545" s="14">
        <v>4.3600000000000003</v>
      </c>
      <c r="L545" s="18">
        <f t="shared" si="60"/>
        <v>4.3600000000000003</v>
      </c>
      <c r="M545" s="18">
        <f t="shared" si="61"/>
        <v>0</v>
      </c>
      <c r="N545" s="15">
        <f t="shared" si="62"/>
        <v>30.8</v>
      </c>
      <c r="O545" s="15">
        <f>+N545-P545</f>
        <v>30.8</v>
      </c>
      <c r="P545" s="15">
        <f>+IF(N545&gt;D545,N545-D545,0)</f>
        <v>0</v>
      </c>
      <c r="Q545" s="5">
        <f>+IF(P545=0,P545,P545/N545)</f>
        <v>0</v>
      </c>
    </row>
    <row r="546" spans="1:17" x14ac:dyDescent="0.25">
      <c r="A546" s="7">
        <v>46257.666666666664</v>
      </c>
      <c r="B546" s="6">
        <v>1537.2</v>
      </c>
      <c r="C546" s="13">
        <v>0.12</v>
      </c>
      <c r="D546" s="18">
        <f>+B546+C546</f>
        <v>1537.32</v>
      </c>
      <c r="E546" s="14">
        <v>0</v>
      </c>
      <c r="F546" s="18">
        <f t="shared" si="56"/>
        <v>0</v>
      </c>
      <c r="G546" s="18">
        <f t="shared" si="57"/>
        <v>0</v>
      </c>
      <c r="H546" s="14">
        <v>54.04</v>
      </c>
      <c r="I546" s="18">
        <f t="shared" si="58"/>
        <v>54.04</v>
      </c>
      <c r="J546" s="18">
        <f t="shared" si="59"/>
        <v>0</v>
      </c>
      <c r="K546" s="14">
        <v>2.92</v>
      </c>
      <c r="L546" s="18">
        <f t="shared" si="60"/>
        <v>2.92</v>
      </c>
      <c r="M546" s="18">
        <f t="shared" si="61"/>
        <v>0</v>
      </c>
      <c r="N546" s="15">
        <f t="shared" si="62"/>
        <v>56.96</v>
      </c>
      <c r="O546" s="15">
        <f>+N546-P546</f>
        <v>56.96</v>
      </c>
      <c r="P546" s="15">
        <f>+IF(N546&gt;D546,N546-D546,0)</f>
        <v>0</v>
      </c>
      <c r="Q546" s="5">
        <f>+IF(P546=0,P546,P546/N546)</f>
        <v>0</v>
      </c>
    </row>
    <row r="547" spans="1:17" x14ac:dyDescent="0.25">
      <c r="A547" s="7">
        <v>46257.708333333336</v>
      </c>
      <c r="B547" s="6">
        <v>787.5</v>
      </c>
      <c r="C547" s="13">
        <v>0.6</v>
      </c>
      <c r="D547" s="18">
        <f>+B547+C547</f>
        <v>788.1</v>
      </c>
      <c r="E547" s="14">
        <v>0</v>
      </c>
      <c r="F547" s="18">
        <f t="shared" si="56"/>
        <v>0</v>
      </c>
      <c r="G547" s="18">
        <f t="shared" si="57"/>
        <v>0</v>
      </c>
      <c r="H547" s="14">
        <v>26.44</v>
      </c>
      <c r="I547" s="18">
        <f t="shared" si="58"/>
        <v>26.44</v>
      </c>
      <c r="J547" s="18">
        <f t="shared" si="59"/>
        <v>0</v>
      </c>
      <c r="K547" s="14">
        <v>3.28</v>
      </c>
      <c r="L547" s="18">
        <f t="shared" si="60"/>
        <v>3.28</v>
      </c>
      <c r="M547" s="18">
        <f t="shared" si="61"/>
        <v>0</v>
      </c>
      <c r="N547" s="15">
        <f t="shared" si="62"/>
        <v>29.720000000000002</v>
      </c>
      <c r="O547" s="15">
        <f>+N547-P547</f>
        <v>29.720000000000002</v>
      </c>
      <c r="P547" s="15">
        <f>+IF(N547&gt;D547,N547-D547,0)</f>
        <v>0</v>
      </c>
      <c r="Q547" s="5">
        <f>+IF(P547=0,P547,P547/N547)</f>
        <v>0</v>
      </c>
    </row>
    <row r="548" spans="1:17" x14ac:dyDescent="0.25">
      <c r="A548" s="7">
        <v>46257.75</v>
      </c>
      <c r="B548" s="6">
        <v>220.5</v>
      </c>
      <c r="C548" s="13">
        <v>0.12</v>
      </c>
      <c r="D548" s="18">
        <f>+B548+C548</f>
        <v>220.62</v>
      </c>
      <c r="E548" s="14">
        <v>0</v>
      </c>
      <c r="F548" s="18">
        <f t="shared" si="56"/>
        <v>0</v>
      </c>
      <c r="G548" s="18">
        <f t="shared" si="57"/>
        <v>0</v>
      </c>
      <c r="H548" s="14">
        <v>32.08</v>
      </c>
      <c r="I548" s="18">
        <f t="shared" si="58"/>
        <v>32.08</v>
      </c>
      <c r="J548" s="18">
        <f t="shared" si="59"/>
        <v>0</v>
      </c>
      <c r="K548" s="14">
        <v>2.0799999999999996</v>
      </c>
      <c r="L548" s="18">
        <f t="shared" si="60"/>
        <v>2.0799999999999996</v>
      </c>
      <c r="M548" s="18">
        <f t="shared" si="61"/>
        <v>0</v>
      </c>
      <c r="N548" s="15">
        <f t="shared" si="62"/>
        <v>34.159999999999997</v>
      </c>
      <c r="O548" s="15">
        <f>+N548-P548</f>
        <v>34.159999999999997</v>
      </c>
      <c r="P548" s="15">
        <f>+IF(N548&gt;D548,N548-D548,0)</f>
        <v>0</v>
      </c>
      <c r="Q548" s="5">
        <f>+IF(P548=0,P548,P548/N548)</f>
        <v>0</v>
      </c>
    </row>
    <row r="549" spans="1:17" x14ac:dyDescent="0.25">
      <c r="A549" s="7">
        <v>46257.791666666664</v>
      </c>
      <c r="B549" s="6">
        <v>3.15</v>
      </c>
      <c r="C549" s="13">
        <v>0</v>
      </c>
      <c r="D549" s="18">
        <f>+B549+C549</f>
        <v>3.15</v>
      </c>
      <c r="E549" s="14">
        <v>25.196999999999999</v>
      </c>
      <c r="F549" s="18">
        <f t="shared" si="56"/>
        <v>1.0504724909670884</v>
      </c>
      <c r="G549" s="18">
        <f t="shared" si="57"/>
        <v>24.146527509032911</v>
      </c>
      <c r="H549" s="14">
        <v>47.32</v>
      </c>
      <c r="I549" s="18">
        <f t="shared" si="58"/>
        <v>1.9727887555090931</v>
      </c>
      <c r="J549" s="18">
        <f t="shared" si="59"/>
        <v>45.347211244490907</v>
      </c>
      <c r="K549" s="14">
        <v>3.04</v>
      </c>
      <c r="L549" s="18">
        <f t="shared" si="60"/>
        <v>0.12673875352383002</v>
      </c>
      <c r="M549" s="18">
        <f t="shared" si="61"/>
        <v>2.91326124647617</v>
      </c>
      <c r="N549" s="15">
        <f t="shared" si="62"/>
        <v>75.557000000000002</v>
      </c>
      <c r="O549" s="15">
        <f>+N549-P549</f>
        <v>3.1500000000000057</v>
      </c>
      <c r="P549" s="15">
        <f>+IF(N549&gt;D549,N549-D549,0)</f>
        <v>72.406999999999996</v>
      </c>
      <c r="Q549" s="5">
        <f>+IF(P549=0,P549,P549/N549)</f>
        <v>0.9583096205513717</v>
      </c>
    </row>
    <row r="550" spans="1:17" x14ac:dyDescent="0.25">
      <c r="A550" s="7">
        <v>46257.833333333336</v>
      </c>
      <c r="B550" s="6">
        <v>0</v>
      </c>
      <c r="C550" s="13">
        <v>0</v>
      </c>
      <c r="D550" s="18">
        <f>+B550+C550</f>
        <v>0</v>
      </c>
      <c r="E550" s="14">
        <v>28.347000000000001</v>
      </c>
      <c r="F550" s="18">
        <f t="shared" si="56"/>
        <v>0</v>
      </c>
      <c r="G550" s="18">
        <f t="shared" si="57"/>
        <v>28.347000000000001</v>
      </c>
      <c r="H550" s="14">
        <v>39.4</v>
      </c>
      <c r="I550" s="18">
        <f t="shared" si="58"/>
        <v>0</v>
      </c>
      <c r="J550" s="18">
        <f t="shared" si="59"/>
        <v>39.4</v>
      </c>
      <c r="K550" s="14">
        <v>3.52</v>
      </c>
      <c r="L550" s="18">
        <f t="shared" si="60"/>
        <v>0</v>
      </c>
      <c r="M550" s="18">
        <f t="shared" si="61"/>
        <v>3.52</v>
      </c>
      <c r="N550" s="15">
        <f t="shared" si="62"/>
        <v>71.266999999999996</v>
      </c>
      <c r="O550" s="15">
        <f>+N550-P550</f>
        <v>0</v>
      </c>
      <c r="P550" s="15">
        <f>+IF(N550&gt;D550,N550-D550,0)</f>
        <v>71.266999999999996</v>
      </c>
      <c r="Q550" s="5">
        <f>+IF(P550=0,P550,P550/N550)</f>
        <v>1</v>
      </c>
    </row>
    <row r="551" spans="1:17" x14ac:dyDescent="0.25">
      <c r="A551" s="7">
        <v>46257.875</v>
      </c>
      <c r="B551" s="6">
        <v>0</v>
      </c>
      <c r="C551" s="13">
        <v>0</v>
      </c>
      <c r="D551" s="18">
        <f>+B551+C551</f>
        <v>0</v>
      </c>
      <c r="E551" s="14">
        <v>31.496999999999996</v>
      </c>
      <c r="F551" s="18">
        <f t="shared" si="56"/>
        <v>0</v>
      </c>
      <c r="G551" s="18">
        <f t="shared" si="57"/>
        <v>31.496999999999996</v>
      </c>
      <c r="H551" s="14">
        <v>39.519999999999996</v>
      </c>
      <c r="I551" s="18">
        <f t="shared" si="58"/>
        <v>0</v>
      </c>
      <c r="J551" s="18">
        <f t="shared" si="59"/>
        <v>39.519999999999996</v>
      </c>
      <c r="K551" s="14">
        <v>2.68</v>
      </c>
      <c r="L551" s="18">
        <f t="shared" si="60"/>
        <v>0</v>
      </c>
      <c r="M551" s="18">
        <f t="shared" si="61"/>
        <v>2.68</v>
      </c>
      <c r="N551" s="15">
        <f t="shared" si="62"/>
        <v>73.697000000000003</v>
      </c>
      <c r="O551" s="15">
        <f>+N551-P551</f>
        <v>0</v>
      </c>
      <c r="P551" s="15">
        <f>+IF(N551&gt;D551,N551-D551,0)</f>
        <v>73.697000000000003</v>
      </c>
      <c r="Q551" s="5">
        <f>+IF(P551=0,P551,P551/N551)</f>
        <v>1</v>
      </c>
    </row>
    <row r="552" spans="1:17" x14ac:dyDescent="0.25">
      <c r="A552" s="7">
        <v>46257.916666666664</v>
      </c>
      <c r="B552" s="6">
        <v>0</v>
      </c>
      <c r="C552" s="13">
        <v>0</v>
      </c>
      <c r="D552" s="18">
        <f>+B552+C552</f>
        <v>0</v>
      </c>
      <c r="E552" s="14">
        <v>28.35</v>
      </c>
      <c r="F552" s="18">
        <f t="shared" si="56"/>
        <v>0</v>
      </c>
      <c r="G552" s="18">
        <f t="shared" si="57"/>
        <v>28.35</v>
      </c>
      <c r="H552" s="14">
        <v>39.76</v>
      </c>
      <c r="I552" s="18">
        <f t="shared" si="58"/>
        <v>0</v>
      </c>
      <c r="J552" s="18">
        <f t="shared" si="59"/>
        <v>39.76</v>
      </c>
      <c r="K552" s="14">
        <v>2.68</v>
      </c>
      <c r="L552" s="18">
        <f t="shared" si="60"/>
        <v>0</v>
      </c>
      <c r="M552" s="18">
        <f t="shared" si="61"/>
        <v>2.68</v>
      </c>
      <c r="N552" s="15">
        <f t="shared" si="62"/>
        <v>70.790000000000006</v>
      </c>
      <c r="O552" s="15">
        <f>+N552-P552</f>
        <v>0</v>
      </c>
      <c r="P552" s="15">
        <f>+IF(N552&gt;D552,N552-D552,0)</f>
        <v>70.790000000000006</v>
      </c>
      <c r="Q552" s="5">
        <f>+IF(P552=0,P552,P552/N552)</f>
        <v>1</v>
      </c>
    </row>
    <row r="553" spans="1:17" x14ac:dyDescent="0.25">
      <c r="A553" s="7">
        <v>46257.958333333336</v>
      </c>
      <c r="B553" s="6">
        <v>0</v>
      </c>
      <c r="C553" s="13">
        <v>0</v>
      </c>
      <c r="D553" s="18">
        <f>+B553+C553</f>
        <v>0</v>
      </c>
      <c r="E553" s="14">
        <v>28.35</v>
      </c>
      <c r="F553" s="18">
        <f t="shared" si="56"/>
        <v>0</v>
      </c>
      <c r="G553" s="18">
        <f t="shared" si="57"/>
        <v>28.35</v>
      </c>
      <c r="H553" s="14">
        <v>40.599999999999994</v>
      </c>
      <c r="I553" s="18">
        <f t="shared" si="58"/>
        <v>0</v>
      </c>
      <c r="J553" s="18">
        <f t="shared" si="59"/>
        <v>40.599999999999994</v>
      </c>
      <c r="K553" s="14">
        <v>2.68</v>
      </c>
      <c r="L553" s="18">
        <f t="shared" si="60"/>
        <v>0</v>
      </c>
      <c r="M553" s="18">
        <f t="shared" si="61"/>
        <v>2.68</v>
      </c>
      <c r="N553" s="15">
        <f t="shared" si="62"/>
        <v>71.63</v>
      </c>
      <c r="O553" s="15">
        <f>+N553-P553</f>
        <v>0</v>
      </c>
      <c r="P553" s="15">
        <f>+IF(N553&gt;D553,N553-D553,0)</f>
        <v>71.63</v>
      </c>
      <c r="Q553" s="5">
        <f>+IF(P553=0,P553,P553/N553)</f>
        <v>1</v>
      </c>
    </row>
    <row r="554" spans="1:17" x14ac:dyDescent="0.25">
      <c r="A554" s="7">
        <v>46258</v>
      </c>
      <c r="B554" s="6">
        <v>0</v>
      </c>
      <c r="C554" s="13">
        <v>0</v>
      </c>
      <c r="D554" s="18">
        <f>+B554+C554</f>
        <v>0</v>
      </c>
      <c r="E554" s="14">
        <v>31.501000000000001</v>
      </c>
      <c r="F554" s="18">
        <f t="shared" si="56"/>
        <v>0</v>
      </c>
      <c r="G554" s="18">
        <f t="shared" si="57"/>
        <v>31.501000000000001</v>
      </c>
      <c r="H554" s="14">
        <v>40.120000000000005</v>
      </c>
      <c r="I554" s="18">
        <f t="shared" si="58"/>
        <v>0</v>
      </c>
      <c r="J554" s="18">
        <f t="shared" si="59"/>
        <v>40.120000000000005</v>
      </c>
      <c r="K554" s="14">
        <v>2.68</v>
      </c>
      <c r="L554" s="18">
        <f t="shared" si="60"/>
        <v>0</v>
      </c>
      <c r="M554" s="18">
        <f t="shared" si="61"/>
        <v>2.68</v>
      </c>
      <c r="N554" s="15">
        <f t="shared" si="62"/>
        <v>74.301000000000016</v>
      </c>
      <c r="O554" s="15">
        <f>+N554-P554</f>
        <v>0</v>
      </c>
      <c r="P554" s="15">
        <f>+IF(N554&gt;D554,N554-D554,0)</f>
        <v>74.301000000000016</v>
      </c>
      <c r="Q554" s="5">
        <f>+IF(P554=0,P554,P554/N554)</f>
        <v>1</v>
      </c>
    </row>
    <row r="555" spans="1:17" x14ac:dyDescent="0.25">
      <c r="A555" s="7">
        <v>46258.041666666664</v>
      </c>
      <c r="B555" s="6">
        <v>0</v>
      </c>
      <c r="C555" s="13">
        <v>0</v>
      </c>
      <c r="D555" s="18">
        <f>+B555+C555</f>
        <v>0</v>
      </c>
      <c r="E555" s="14">
        <v>25.2</v>
      </c>
      <c r="F555" s="18">
        <f t="shared" si="56"/>
        <v>0</v>
      </c>
      <c r="G555" s="18">
        <f t="shared" si="57"/>
        <v>25.2</v>
      </c>
      <c r="H555" s="14">
        <v>38.559999999999995</v>
      </c>
      <c r="I555" s="18">
        <f t="shared" si="58"/>
        <v>0</v>
      </c>
      <c r="J555" s="18">
        <f t="shared" si="59"/>
        <v>38.559999999999995</v>
      </c>
      <c r="K555" s="14">
        <v>2.92</v>
      </c>
      <c r="L555" s="18">
        <f t="shared" si="60"/>
        <v>0</v>
      </c>
      <c r="M555" s="18">
        <f t="shared" si="61"/>
        <v>2.92</v>
      </c>
      <c r="N555" s="15">
        <f t="shared" si="62"/>
        <v>66.679999999999993</v>
      </c>
      <c r="O555" s="15">
        <f>+N555-P555</f>
        <v>0</v>
      </c>
      <c r="P555" s="15">
        <f>+IF(N555&gt;D555,N555-D555,0)</f>
        <v>66.679999999999993</v>
      </c>
      <c r="Q555" s="5">
        <f>+IF(P555=0,P555,P555/N555)</f>
        <v>1</v>
      </c>
    </row>
    <row r="556" spans="1:17" x14ac:dyDescent="0.25">
      <c r="A556" s="7">
        <v>46258.083333333336</v>
      </c>
      <c r="B556" s="6">
        <v>0</v>
      </c>
      <c r="C556" s="13">
        <v>0</v>
      </c>
      <c r="D556" s="18">
        <f>+B556+C556</f>
        <v>0</v>
      </c>
      <c r="E556" s="14">
        <v>31.501000000000001</v>
      </c>
      <c r="F556" s="18">
        <f t="shared" si="56"/>
        <v>0</v>
      </c>
      <c r="G556" s="18">
        <f t="shared" si="57"/>
        <v>31.501000000000001</v>
      </c>
      <c r="H556" s="14">
        <v>40.36</v>
      </c>
      <c r="I556" s="18">
        <f t="shared" si="58"/>
        <v>0</v>
      </c>
      <c r="J556" s="18">
        <f t="shared" si="59"/>
        <v>40.36</v>
      </c>
      <c r="K556" s="14">
        <v>2.56</v>
      </c>
      <c r="L556" s="18">
        <f t="shared" si="60"/>
        <v>0</v>
      </c>
      <c r="M556" s="18">
        <f t="shared" si="61"/>
        <v>2.56</v>
      </c>
      <c r="N556" s="15">
        <f t="shared" si="62"/>
        <v>74.421000000000006</v>
      </c>
      <c r="O556" s="15">
        <f>+N556-P556</f>
        <v>0</v>
      </c>
      <c r="P556" s="15">
        <f>+IF(N556&gt;D556,N556-D556,0)</f>
        <v>74.421000000000006</v>
      </c>
      <c r="Q556" s="5">
        <f>+IF(P556=0,P556,P556/N556)</f>
        <v>1</v>
      </c>
    </row>
    <row r="557" spans="1:17" x14ac:dyDescent="0.25">
      <c r="A557" s="7">
        <v>46258.125</v>
      </c>
      <c r="B557" s="6">
        <v>0</v>
      </c>
      <c r="C557" s="13">
        <v>0</v>
      </c>
      <c r="D557" s="18">
        <f>+B557+C557</f>
        <v>0</v>
      </c>
      <c r="E557" s="14">
        <v>28.35</v>
      </c>
      <c r="F557" s="18">
        <f t="shared" si="56"/>
        <v>0</v>
      </c>
      <c r="G557" s="18">
        <f t="shared" si="57"/>
        <v>28.35</v>
      </c>
      <c r="H557" s="14">
        <v>48.76</v>
      </c>
      <c r="I557" s="18">
        <f t="shared" si="58"/>
        <v>0</v>
      </c>
      <c r="J557" s="18">
        <f t="shared" si="59"/>
        <v>48.76</v>
      </c>
      <c r="K557" s="14">
        <v>2.68</v>
      </c>
      <c r="L557" s="18">
        <f t="shared" si="60"/>
        <v>0</v>
      </c>
      <c r="M557" s="18">
        <f t="shared" si="61"/>
        <v>2.68</v>
      </c>
      <c r="N557" s="15">
        <f t="shared" si="62"/>
        <v>79.790000000000006</v>
      </c>
      <c r="O557" s="15">
        <f>+N557-P557</f>
        <v>0</v>
      </c>
      <c r="P557" s="15">
        <f>+IF(N557&gt;D557,N557-D557,0)</f>
        <v>79.790000000000006</v>
      </c>
      <c r="Q557" s="5">
        <f>+IF(P557=0,P557,P557/N557)</f>
        <v>1</v>
      </c>
    </row>
    <row r="558" spans="1:17" x14ac:dyDescent="0.25">
      <c r="A558" s="7">
        <v>46258.166666666664</v>
      </c>
      <c r="B558" s="6">
        <v>0</v>
      </c>
      <c r="C558" s="13">
        <v>0</v>
      </c>
      <c r="D558" s="18">
        <f>+B558+C558</f>
        <v>0</v>
      </c>
      <c r="E558" s="14">
        <v>28.35</v>
      </c>
      <c r="F558" s="18">
        <f t="shared" si="56"/>
        <v>0</v>
      </c>
      <c r="G558" s="18">
        <f t="shared" si="57"/>
        <v>28.35</v>
      </c>
      <c r="H558" s="14">
        <v>48.52</v>
      </c>
      <c r="I558" s="18">
        <f t="shared" si="58"/>
        <v>0</v>
      </c>
      <c r="J558" s="18">
        <f t="shared" si="59"/>
        <v>48.52</v>
      </c>
      <c r="K558" s="14">
        <v>2.68</v>
      </c>
      <c r="L558" s="18">
        <f t="shared" si="60"/>
        <v>0</v>
      </c>
      <c r="M558" s="18">
        <f t="shared" si="61"/>
        <v>2.68</v>
      </c>
      <c r="N558" s="15">
        <f t="shared" si="62"/>
        <v>79.550000000000011</v>
      </c>
      <c r="O558" s="15">
        <f>+N558-P558</f>
        <v>0</v>
      </c>
      <c r="P558" s="15">
        <f>+IF(N558&gt;D558,N558-D558,0)</f>
        <v>79.550000000000011</v>
      </c>
      <c r="Q558" s="5">
        <f>+IF(P558=0,P558,P558/N558)</f>
        <v>1</v>
      </c>
    </row>
    <row r="559" spans="1:17" x14ac:dyDescent="0.25">
      <c r="A559" s="7">
        <v>46258.208333333336</v>
      </c>
      <c r="B559" s="6">
        <v>0</v>
      </c>
      <c r="C559" s="13">
        <v>0</v>
      </c>
      <c r="D559" s="18">
        <f>+B559+C559</f>
        <v>0</v>
      </c>
      <c r="E559" s="14">
        <v>28.35</v>
      </c>
      <c r="F559" s="18">
        <f t="shared" si="56"/>
        <v>0</v>
      </c>
      <c r="G559" s="18">
        <f t="shared" si="57"/>
        <v>28.35</v>
      </c>
      <c r="H559" s="14">
        <v>56.68</v>
      </c>
      <c r="I559" s="18">
        <f t="shared" si="58"/>
        <v>0</v>
      </c>
      <c r="J559" s="18">
        <f t="shared" si="59"/>
        <v>56.68</v>
      </c>
      <c r="K559" s="14">
        <v>2.8</v>
      </c>
      <c r="L559" s="18">
        <f t="shared" si="60"/>
        <v>0</v>
      </c>
      <c r="M559" s="18">
        <f t="shared" si="61"/>
        <v>2.8</v>
      </c>
      <c r="N559" s="15">
        <f t="shared" si="62"/>
        <v>87.83</v>
      </c>
      <c r="O559" s="15">
        <f>+N559-P559</f>
        <v>0</v>
      </c>
      <c r="P559" s="15">
        <f>+IF(N559&gt;D559,N559-D559,0)</f>
        <v>87.83</v>
      </c>
      <c r="Q559" s="5">
        <f>+IF(P559=0,P559,P559/N559)</f>
        <v>1</v>
      </c>
    </row>
    <row r="560" spans="1:17" x14ac:dyDescent="0.25">
      <c r="A560" s="7">
        <v>46258.25</v>
      </c>
      <c r="B560" s="6">
        <v>47.25</v>
      </c>
      <c r="C560" s="13">
        <v>0</v>
      </c>
      <c r="D560" s="18">
        <f>+B560+C560</f>
        <v>47.25</v>
      </c>
      <c r="E560" s="14">
        <v>6.3</v>
      </c>
      <c r="F560" s="18">
        <f t="shared" si="56"/>
        <v>6.3</v>
      </c>
      <c r="G560" s="18">
        <f t="shared" si="57"/>
        <v>0</v>
      </c>
      <c r="H560" s="14">
        <v>33.279999999999994</v>
      </c>
      <c r="I560" s="18">
        <f t="shared" si="58"/>
        <v>33.279999999999994</v>
      </c>
      <c r="J560" s="18">
        <f t="shared" si="59"/>
        <v>0</v>
      </c>
      <c r="K560" s="14">
        <v>3.64</v>
      </c>
      <c r="L560" s="18">
        <f t="shared" si="60"/>
        <v>3.64</v>
      </c>
      <c r="M560" s="18">
        <f t="shared" si="61"/>
        <v>0</v>
      </c>
      <c r="N560" s="15">
        <f t="shared" si="62"/>
        <v>43.219999999999992</v>
      </c>
      <c r="O560" s="15">
        <f>+N560-P560</f>
        <v>43.219999999999992</v>
      </c>
      <c r="P560" s="15">
        <f>+IF(N560&gt;D560,N560-D560,0)</f>
        <v>0</v>
      </c>
      <c r="Q560" s="5">
        <f>+IF(P560=0,P560,P560/N560)</f>
        <v>0</v>
      </c>
    </row>
    <row r="561" spans="1:17" x14ac:dyDescent="0.25">
      <c r="A561" s="7">
        <v>46258.291666666664</v>
      </c>
      <c r="B561" s="6">
        <v>485.1</v>
      </c>
      <c r="C561" s="13">
        <v>0.24</v>
      </c>
      <c r="D561" s="18">
        <f>+B561+C561</f>
        <v>485.34000000000003</v>
      </c>
      <c r="E561" s="14">
        <v>0</v>
      </c>
      <c r="F561" s="18">
        <f t="shared" si="56"/>
        <v>0</v>
      </c>
      <c r="G561" s="18">
        <f t="shared" si="57"/>
        <v>0</v>
      </c>
      <c r="H561" s="14">
        <v>34.36</v>
      </c>
      <c r="I561" s="18">
        <f t="shared" si="58"/>
        <v>34.36</v>
      </c>
      <c r="J561" s="18">
        <f t="shared" si="59"/>
        <v>0</v>
      </c>
      <c r="K561" s="14">
        <v>2.3199999999999998</v>
      </c>
      <c r="L561" s="18">
        <f t="shared" si="60"/>
        <v>2.3199999999999998</v>
      </c>
      <c r="M561" s="18">
        <f t="shared" si="61"/>
        <v>0</v>
      </c>
      <c r="N561" s="15">
        <f t="shared" si="62"/>
        <v>36.68</v>
      </c>
      <c r="O561" s="15">
        <f>+N561-P561</f>
        <v>36.68</v>
      </c>
      <c r="P561" s="15">
        <f>+IF(N561&gt;D561,N561-D561,0)</f>
        <v>0</v>
      </c>
      <c r="Q561" s="5">
        <f>+IF(P561=0,P561,P561/N561)</f>
        <v>0</v>
      </c>
    </row>
    <row r="562" spans="1:17" x14ac:dyDescent="0.25">
      <c r="A562" s="7">
        <v>46258.333333333336</v>
      </c>
      <c r="B562" s="6">
        <v>340.2</v>
      </c>
      <c r="C562" s="13">
        <v>0</v>
      </c>
      <c r="D562" s="18">
        <f>+B562+C562</f>
        <v>340.2</v>
      </c>
      <c r="E562" s="14">
        <v>3.15</v>
      </c>
      <c r="F562" s="18">
        <f t="shared" si="56"/>
        <v>3.15</v>
      </c>
      <c r="G562" s="18">
        <f t="shared" si="57"/>
        <v>0</v>
      </c>
      <c r="H562" s="14">
        <v>134.92000000000002</v>
      </c>
      <c r="I562" s="18">
        <f t="shared" si="58"/>
        <v>134.92000000000002</v>
      </c>
      <c r="J562" s="18">
        <f t="shared" si="59"/>
        <v>0</v>
      </c>
      <c r="K562" s="14">
        <v>8.44</v>
      </c>
      <c r="L562" s="18">
        <f t="shared" si="60"/>
        <v>8.44</v>
      </c>
      <c r="M562" s="18">
        <f t="shared" si="61"/>
        <v>0</v>
      </c>
      <c r="N562" s="15">
        <f t="shared" si="62"/>
        <v>146.51000000000002</v>
      </c>
      <c r="O562" s="15">
        <f>+N562-P562</f>
        <v>146.51000000000002</v>
      </c>
      <c r="P562" s="15">
        <f>+IF(N562&gt;D562,N562-D562,0)</f>
        <v>0</v>
      </c>
      <c r="Q562" s="5">
        <f>+IF(P562=0,P562,P562/N562)</f>
        <v>0</v>
      </c>
    </row>
    <row r="563" spans="1:17" x14ac:dyDescent="0.25">
      <c r="A563" s="7">
        <v>46258.375</v>
      </c>
      <c r="B563" s="6">
        <v>1045.8</v>
      </c>
      <c r="C563" s="13">
        <v>0.84</v>
      </c>
      <c r="D563" s="18">
        <f>+B563+C563</f>
        <v>1046.6399999999999</v>
      </c>
      <c r="E563" s="14">
        <v>0</v>
      </c>
      <c r="F563" s="18">
        <f t="shared" si="56"/>
        <v>0</v>
      </c>
      <c r="G563" s="18">
        <f t="shared" si="57"/>
        <v>0</v>
      </c>
      <c r="H563" s="14">
        <v>68.320000000000007</v>
      </c>
      <c r="I563" s="18">
        <f t="shared" si="58"/>
        <v>68.320000000000007</v>
      </c>
      <c r="J563" s="18">
        <f t="shared" si="59"/>
        <v>0</v>
      </c>
      <c r="K563" s="14">
        <v>43</v>
      </c>
      <c r="L563" s="18">
        <f t="shared" si="60"/>
        <v>43</v>
      </c>
      <c r="M563" s="18">
        <f t="shared" si="61"/>
        <v>0</v>
      </c>
      <c r="N563" s="15">
        <f t="shared" si="62"/>
        <v>111.32000000000001</v>
      </c>
      <c r="O563" s="15">
        <f>+N563-P563</f>
        <v>111.32000000000001</v>
      </c>
      <c r="P563" s="15">
        <f>+IF(N563&gt;D563,N563-D563,0)</f>
        <v>0</v>
      </c>
      <c r="Q563" s="5">
        <f>+IF(P563=0,P563,P563/N563)</f>
        <v>0</v>
      </c>
    </row>
    <row r="564" spans="1:17" x14ac:dyDescent="0.25">
      <c r="A564" s="7">
        <v>46258.416666666664</v>
      </c>
      <c r="B564" s="6">
        <v>2097.9</v>
      </c>
      <c r="C564" s="13">
        <v>0.84</v>
      </c>
      <c r="D564" s="18">
        <f>+B564+C564</f>
        <v>2098.7400000000002</v>
      </c>
      <c r="E564" s="14">
        <v>0</v>
      </c>
      <c r="F564" s="18">
        <f t="shared" si="56"/>
        <v>0</v>
      </c>
      <c r="G564" s="18">
        <f t="shared" si="57"/>
        <v>0</v>
      </c>
      <c r="H564" s="14">
        <v>56.2</v>
      </c>
      <c r="I564" s="18">
        <f t="shared" si="58"/>
        <v>56.2</v>
      </c>
      <c r="J564" s="18">
        <f t="shared" si="59"/>
        <v>0</v>
      </c>
      <c r="K564" s="14">
        <v>45.04</v>
      </c>
      <c r="L564" s="18">
        <f t="shared" si="60"/>
        <v>45.04</v>
      </c>
      <c r="M564" s="18">
        <f t="shared" si="61"/>
        <v>0</v>
      </c>
      <c r="N564" s="15">
        <f t="shared" si="62"/>
        <v>101.24000000000001</v>
      </c>
      <c r="O564" s="15">
        <f>+N564-P564</f>
        <v>101.24000000000001</v>
      </c>
      <c r="P564" s="15">
        <f>+IF(N564&gt;D564,N564-D564,0)</f>
        <v>0</v>
      </c>
      <c r="Q564" s="5">
        <f>+IF(P564=0,P564,P564/N564)</f>
        <v>0</v>
      </c>
    </row>
    <row r="565" spans="1:17" x14ac:dyDescent="0.25">
      <c r="A565" s="7">
        <v>46258.458333333336</v>
      </c>
      <c r="B565" s="6">
        <v>1852.2</v>
      </c>
      <c r="C565" s="13">
        <v>15.72</v>
      </c>
      <c r="D565" s="18">
        <f>+B565+C565</f>
        <v>1867.92</v>
      </c>
      <c r="E565" s="14">
        <v>0</v>
      </c>
      <c r="F565" s="18">
        <f t="shared" si="56"/>
        <v>0</v>
      </c>
      <c r="G565" s="18">
        <f t="shared" si="57"/>
        <v>0</v>
      </c>
      <c r="H565" s="14">
        <v>22.24</v>
      </c>
      <c r="I565" s="18">
        <f t="shared" si="58"/>
        <v>22.24</v>
      </c>
      <c r="J565" s="18">
        <f t="shared" si="59"/>
        <v>0</v>
      </c>
      <c r="K565" s="14">
        <v>15.16</v>
      </c>
      <c r="L565" s="18">
        <f t="shared" si="60"/>
        <v>15.16</v>
      </c>
      <c r="M565" s="18">
        <f t="shared" si="61"/>
        <v>0</v>
      </c>
      <c r="N565" s="15">
        <f t="shared" si="62"/>
        <v>37.4</v>
      </c>
      <c r="O565" s="15">
        <f>+N565-P565</f>
        <v>37.4</v>
      </c>
      <c r="P565" s="15">
        <f>+IF(N565&gt;D565,N565-D565,0)</f>
        <v>0</v>
      </c>
      <c r="Q565" s="5">
        <f>+IF(P565=0,P565,P565/N565)</f>
        <v>0</v>
      </c>
    </row>
    <row r="566" spans="1:17" x14ac:dyDescent="0.25">
      <c r="A566" s="7">
        <v>46258.5</v>
      </c>
      <c r="B566" s="6">
        <v>2239.65</v>
      </c>
      <c r="C566" s="13">
        <v>5.04</v>
      </c>
      <c r="D566" s="18">
        <f>+B566+C566</f>
        <v>2244.69</v>
      </c>
      <c r="E566" s="14">
        <v>0</v>
      </c>
      <c r="F566" s="18">
        <f t="shared" si="56"/>
        <v>0</v>
      </c>
      <c r="G566" s="18">
        <f t="shared" si="57"/>
        <v>0</v>
      </c>
      <c r="H566" s="14">
        <v>37.24</v>
      </c>
      <c r="I566" s="18">
        <f t="shared" si="58"/>
        <v>37.24</v>
      </c>
      <c r="J566" s="18">
        <f t="shared" si="59"/>
        <v>0</v>
      </c>
      <c r="K566" s="14">
        <v>90.28</v>
      </c>
      <c r="L566" s="18">
        <f t="shared" si="60"/>
        <v>90.28</v>
      </c>
      <c r="M566" s="18">
        <f t="shared" si="61"/>
        <v>0</v>
      </c>
      <c r="N566" s="15">
        <f t="shared" si="62"/>
        <v>127.52000000000001</v>
      </c>
      <c r="O566" s="15">
        <f>+N566-P566</f>
        <v>127.52000000000001</v>
      </c>
      <c r="P566" s="15">
        <f>+IF(N566&gt;D566,N566-D566,0)</f>
        <v>0</v>
      </c>
      <c r="Q566" s="5">
        <f>+IF(P566=0,P566,P566/N566)</f>
        <v>0</v>
      </c>
    </row>
    <row r="567" spans="1:17" x14ac:dyDescent="0.25">
      <c r="A567" s="7">
        <v>46258.541666666664</v>
      </c>
      <c r="B567" s="6">
        <v>2142</v>
      </c>
      <c r="C567" s="13">
        <v>21.84</v>
      </c>
      <c r="D567" s="18">
        <f>+B567+C567</f>
        <v>2163.84</v>
      </c>
      <c r="E567" s="14">
        <v>0</v>
      </c>
      <c r="F567" s="18">
        <f t="shared" si="56"/>
        <v>0</v>
      </c>
      <c r="G567" s="18">
        <f t="shared" si="57"/>
        <v>0</v>
      </c>
      <c r="H567" s="14">
        <v>8.44</v>
      </c>
      <c r="I567" s="18">
        <f t="shared" si="58"/>
        <v>8.44</v>
      </c>
      <c r="J567" s="18">
        <f t="shared" si="59"/>
        <v>0</v>
      </c>
      <c r="K567" s="14">
        <v>54.4</v>
      </c>
      <c r="L567" s="18">
        <f t="shared" si="60"/>
        <v>54.4</v>
      </c>
      <c r="M567" s="18">
        <f t="shared" si="61"/>
        <v>0</v>
      </c>
      <c r="N567" s="15">
        <f t="shared" si="62"/>
        <v>62.839999999999996</v>
      </c>
      <c r="O567" s="15">
        <f>+N567-P567</f>
        <v>62.839999999999996</v>
      </c>
      <c r="P567" s="15">
        <f>+IF(N567&gt;D567,N567-D567,0)</f>
        <v>0</v>
      </c>
      <c r="Q567" s="5">
        <f>+IF(P567=0,P567,P567/N567)</f>
        <v>0</v>
      </c>
    </row>
    <row r="568" spans="1:17" x14ac:dyDescent="0.25">
      <c r="A568" s="7">
        <v>46258.583333333336</v>
      </c>
      <c r="B568" s="6">
        <v>1565.55</v>
      </c>
      <c r="C568" s="13">
        <v>9.48</v>
      </c>
      <c r="D568" s="18">
        <f>+B568+C568</f>
        <v>1575.03</v>
      </c>
      <c r="E568" s="14">
        <v>0</v>
      </c>
      <c r="F568" s="18">
        <f t="shared" si="56"/>
        <v>0</v>
      </c>
      <c r="G568" s="18">
        <f t="shared" si="57"/>
        <v>0</v>
      </c>
      <c r="H568" s="14">
        <v>24.88</v>
      </c>
      <c r="I568" s="18">
        <f t="shared" si="58"/>
        <v>24.88</v>
      </c>
      <c r="J568" s="18">
        <f t="shared" si="59"/>
        <v>0</v>
      </c>
      <c r="K568" s="14">
        <v>69.52</v>
      </c>
      <c r="L568" s="18">
        <f t="shared" si="60"/>
        <v>69.52</v>
      </c>
      <c r="M568" s="18">
        <f t="shared" si="61"/>
        <v>0</v>
      </c>
      <c r="N568" s="15">
        <f t="shared" si="62"/>
        <v>94.399999999999991</v>
      </c>
      <c r="O568" s="15">
        <f>+N568-P568</f>
        <v>94.399999999999991</v>
      </c>
      <c r="P568" s="15">
        <f>+IF(N568&gt;D568,N568-D568,0)</f>
        <v>0</v>
      </c>
      <c r="Q568" s="5">
        <f>+IF(P568=0,P568,P568/N568)</f>
        <v>0</v>
      </c>
    </row>
    <row r="569" spans="1:17" x14ac:dyDescent="0.25">
      <c r="A569" s="7">
        <v>46258.625</v>
      </c>
      <c r="B569" s="6">
        <v>1228.5</v>
      </c>
      <c r="C569" s="13">
        <v>0.12</v>
      </c>
      <c r="D569" s="18">
        <f>+B569+C569</f>
        <v>1228.6199999999999</v>
      </c>
      <c r="E569" s="14">
        <v>0</v>
      </c>
      <c r="F569" s="18">
        <f t="shared" si="56"/>
        <v>0</v>
      </c>
      <c r="G569" s="18">
        <f t="shared" si="57"/>
        <v>0</v>
      </c>
      <c r="H569" s="14">
        <v>79.240000000000009</v>
      </c>
      <c r="I569" s="18">
        <f t="shared" si="58"/>
        <v>79.240000000000009</v>
      </c>
      <c r="J569" s="18">
        <f t="shared" si="59"/>
        <v>0</v>
      </c>
      <c r="K569" s="14">
        <v>70.959999999999994</v>
      </c>
      <c r="L569" s="18">
        <f t="shared" si="60"/>
        <v>70.959999999999994</v>
      </c>
      <c r="M569" s="18">
        <f t="shared" si="61"/>
        <v>0</v>
      </c>
      <c r="N569" s="15">
        <f t="shared" si="62"/>
        <v>150.19999999999999</v>
      </c>
      <c r="O569" s="15">
        <f>+N569-P569</f>
        <v>150.19999999999999</v>
      </c>
      <c r="P569" s="15">
        <f>+IF(N569&gt;D569,N569-D569,0)</f>
        <v>0</v>
      </c>
      <c r="Q569" s="5">
        <f>+IF(P569=0,P569,P569/N569)</f>
        <v>0</v>
      </c>
    </row>
    <row r="570" spans="1:17" x14ac:dyDescent="0.25">
      <c r="A570" s="7">
        <v>46258.666666666664</v>
      </c>
      <c r="B570" s="6">
        <v>699.3</v>
      </c>
      <c r="C570" s="13">
        <v>0</v>
      </c>
      <c r="D570" s="18">
        <f>+B570+C570</f>
        <v>699.3</v>
      </c>
      <c r="E570" s="14">
        <v>0</v>
      </c>
      <c r="F570" s="18">
        <f t="shared" si="56"/>
        <v>0</v>
      </c>
      <c r="G570" s="18">
        <f t="shared" si="57"/>
        <v>0</v>
      </c>
      <c r="H570" s="14">
        <v>77.44</v>
      </c>
      <c r="I570" s="18">
        <f t="shared" si="58"/>
        <v>77.44</v>
      </c>
      <c r="J570" s="18">
        <f t="shared" si="59"/>
        <v>0</v>
      </c>
      <c r="K570" s="14">
        <v>60.400000000000006</v>
      </c>
      <c r="L570" s="18">
        <f t="shared" si="60"/>
        <v>60.400000000000006</v>
      </c>
      <c r="M570" s="18">
        <f t="shared" si="61"/>
        <v>0</v>
      </c>
      <c r="N570" s="15">
        <f t="shared" si="62"/>
        <v>137.84</v>
      </c>
      <c r="O570" s="15">
        <f>+N570-P570</f>
        <v>137.84</v>
      </c>
      <c r="P570" s="15">
        <f>+IF(N570&gt;D570,N570-D570,0)</f>
        <v>0</v>
      </c>
      <c r="Q570" s="5">
        <f>+IF(P570=0,P570,P570/N570)</f>
        <v>0</v>
      </c>
    </row>
    <row r="571" spans="1:17" x14ac:dyDescent="0.25">
      <c r="A571" s="7">
        <v>46258.708333333336</v>
      </c>
      <c r="B571" s="6">
        <v>44.1</v>
      </c>
      <c r="C571" s="13">
        <v>0</v>
      </c>
      <c r="D571" s="18">
        <f>+B571+C571</f>
        <v>44.1</v>
      </c>
      <c r="E571" s="14">
        <v>166.93199999999999</v>
      </c>
      <c r="F571" s="18">
        <f t="shared" si="56"/>
        <v>26.756979195440721</v>
      </c>
      <c r="G571" s="18">
        <f t="shared" si="57"/>
        <v>140.17502080455927</v>
      </c>
      <c r="H571" s="14">
        <v>55.599999999999994</v>
      </c>
      <c r="I571" s="18">
        <f t="shared" si="58"/>
        <v>8.9119404504019855</v>
      </c>
      <c r="J571" s="18">
        <f t="shared" si="59"/>
        <v>46.688059549598009</v>
      </c>
      <c r="K571" s="14">
        <v>52.6</v>
      </c>
      <c r="L571" s="18">
        <f t="shared" si="60"/>
        <v>8.4310803541572739</v>
      </c>
      <c r="M571" s="18">
        <f t="shared" si="61"/>
        <v>44.168919645842728</v>
      </c>
      <c r="N571" s="15">
        <f t="shared" si="62"/>
        <v>275.13200000000001</v>
      </c>
      <c r="O571" s="15">
        <f>+N571-P571</f>
        <v>44.099999999999994</v>
      </c>
      <c r="P571" s="15">
        <f>+IF(N571&gt;D571,N571-D571,0)</f>
        <v>231.03200000000001</v>
      </c>
      <c r="Q571" s="5">
        <f>+IF(P571=0,P571,P571/N571)</f>
        <v>0.8397133012517628</v>
      </c>
    </row>
    <row r="572" spans="1:17" x14ac:dyDescent="0.25">
      <c r="A572" s="7">
        <v>46258.75</v>
      </c>
      <c r="B572" s="6">
        <v>66.150000000000006</v>
      </c>
      <c r="C572" s="13">
        <v>0</v>
      </c>
      <c r="D572" s="18">
        <f>+B572+C572</f>
        <v>66.150000000000006</v>
      </c>
      <c r="E572" s="14">
        <v>53.544000000000004</v>
      </c>
      <c r="F572" s="18">
        <f t="shared" si="56"/>
        <v>19.056598373003922</v>
      </c>
      <c r="G572" s="18">
        <f t="shared" si="57"/>
        <v>34.487401626996082</v>
      </c>
      <c r="H572" s="14">
        <v>77.679999999999993</v>
      </c>
      <c r="I572" s="18">
        <f t="shared" si="58"/>
        <v>27.64673094305514</v>
      </c>
      <c r="J572" s="18">
        <f t="shared" si="59"/>
        <v>50.033269056944853</v>
      </c>
      <c r="K572" s="14">
        <v>54.64</v>
      </c>
      <c r="L572" s="18">
        <f t="shared" si="60"/>
        <v>19.446670683940951</v>
      </c>
      <c r="M572" s="18">
        <f t="shared" si="61"/>
        <v>35.193329316059049</v>
      </c>
      <c r="N572" s="15">
        <f t="shared" si="62"/>
        <v>185.86399999999998</v>
      </c>
      <c r="O572" s="15">
        <f>+N572-P572</f>
        <v>66.150000000000006</v>
      </c>
      <c r="P572" s="15">
        <f>+IF(N572&gt;D572,N572-D572,0)</f>
        <v>119.71399999999997</v>
      </c>
      <c r="Q572" s="5">
        <f>+IF(P572=0,P572,P572/N572)</f>
        <v>0.64409460680927988</v>
      </c>
    </row>
    <row r="573" spans="1:17" x14ac:dyDescent="0.25">
      <c r="A573" s="7">
        <v>46258.791666666664</v>
      </c>
      <c r="B573" s="6">
        <v>0</v>
      </c>
      <c r="C573" s="13">
        <v>0</v>
      </c>
      <c r="D573" s="18">
        <f>+B573+C573</f>
        <v>0</v>
      </c>
      <c r="E573" s="14">
        <v>56.694000000000003</v>
      </c>
      <c r="F573" s="18">
        <f t="shared" si="56"/>
        <v>0</v>
      </c>
      <c r="G573" s="18">
        <f t="shared" si="57"/>
        <v>56.694000000000003</v>
      </c>
      <c r="H573" s="14">
        <v>103.48</v>
      </c>
      <c r="I573" s="18">
        <f t="shared" si="58"/>
        <v>0</v>
      </c>
      <c r="J573" s="18">
        <f t="shared" si="59"/>
        <v>103.48</v>
      </c>
      <c r="K573" s="14">
        <v>16.119999999999997</v>
      </c>
      <c r="L573" s="18">
        <f t="shared" si="60"/>
        <v>0</v>
      </c>
      <c r="M573" s="18">
        <f t="shared" si="61"/>
        <v>16.119999999999997</v>
      </c>
      <c r="N573" s="15">
        <f t="shared" si="62"/>
        <v>176.29400000000001</v>
      </c>
      <c r="O573" s="15">
        <f>+N573-P573</f>
        <v>0</v>
      </c>
      <c r="P573" s="15">
        <f>+IF(N573&gt;D573,N573-D573,0)</f>
        <v>176.29400000000001</v>
      </c>
      <c r="Q573" s="5">
        <f>+IF(P573=0,P573,P573/N573)</f>
        <v>1</v>
      </c>
    </row>
    <row r="574" spans="1:17" x14ac:dyDescent="0.25">
      <c r="A574" s="7">
        <v>46258.833333333336</v>
      </c>
      <c r="B574" s="6">
        <v>0</v>
      </c>
      <c r="C574" s="13">
        <v>0</v>
      </c>
      <c r="D574" s="18">
        <f>+B574+C574</f>
        <v>0</v>
      </c>
      <c r="E574" s="14">
        <v>721.27200000000005</v>
      </c>
      <c r="F574" s="18">
        <f t="shared" si="56"/>
        <v>0</v>
      </c>
      <c r="G574" s="18">
        <f t="shared" si="57"/>
        <v>721.27200000000005</v>
      </c>
      <c r="H574" s="14">
        <v>127.24</v>
      </c>
      <c r="I574" s="18">
        <f t="shared" si="58"/>
        <v>0</v>
      </c>
      <c r="J574" s="18">
        <f t="shared" si="59"/>
        <v>127.24</v>
      </c>
      <c r="K574" s="14">
        <v>9.0399999999999991</v>
      </c>
      <c r="L574" s="18">
        <f t="shared" si="60"/>
        <v>0</v>
      </c>
      <c r="M574" s="18">
        <f t="shared" si="61"/>
        <v>9.0399999999999991</v>
      </c>
      <c r="N574" s="15">
        <f t="shared" si="62"/>
        <v>857.55200000000002</v>
      </c>
      <c r="O574" s="15">
        <f>+N574-P574</f>
        <v>0</v>
      </c>
      <c r="P574" s="15">
        <f>+IF(N574&gt;D574,N574-D574,0)</f>
        <v>857.55200000000002</v>
      </c>
      <c r="Q574" s="5">
        <f>+IF(P574=0,P574,P574/N574)</f>
        <v>1</v>
      </c>
    </row>
    <row r="575" spans="1:17" x14ac:dyDescent="0.25">
      <c r="A575" s="7">
        <v>46258.875</v>
      </c>
      <c r="B575" s="6">
        <v>0</v>
      </c>
      <c r="C575" s="13">
        <v>0</v>
      </c>
      <c r="D575" s="18">
        <f>+B575+C575</f>
        <v>0</v>
      </c>
      <c r="E575" s="14">
        <v>913.40200000000004</v>
      </c>
      <c r="F575" s="18">
        <f t="shared" si="56"/>
        <v>0</v>
      </c>
      <c r="G575" s="18">
        <f t="shared" si="57"/>
        <v>913.40200000000004</v>
      </c>
      <c r="H575" s="14">
        <v>125.2</v>
      </c>
      <c r="I575" s="18">
        <f t="shared" si="58"/>
        <v>0</v>
      </c>
      <c r="J575" s="18">
        <f t="shared" si="59"/>
        <v>125.2</v>
      </c>
      <c r="K575" s="14">
        <v>3.28</v>
      </c>
      <c r="L575" s="18">
        <f t="shared" si="60"/>
        <v>0</v>
      </c>
      <c r="M575" s="18">
        <f t="shared" si="61"/>
        <v>3.28</v>
      </c>
      <c r="N575" s="15">
        <f t="shared" si="62"/>
        <v>1041.8820000000001</v>
      </c>
      <c r="O575" s="15">
        <f>+N575-P575</f>
        <v>0</v>
      </c>
      <c r="P575" s="15">
        <f>+IF(N575&gt;D575,N575-D575,0)</f>
        <v>1041.8820000000001</v>
      </c>
      <c r="Q575" s="5">
        <f>+IF(P575=0,P575,P575/N575)</f>
        <v>1</v>
      </c>
    </row>
    <row r="576" spans="1:17" x14ac:dyDescent="0.25">
      <c r="A576" s="7">
        <v>46258.916666666664</v>
      </c>
      <c r="B576" s="6">
        <v>0</v>
      </c>
      <c r="C576" s="13">
        <v>0</v>
      </c>
      <c r="D576" s="18">
        <f>+B576+C576</f>
        <v>0</v>
      </c>
      <c r="E576" s="14">
        <v>1008.018</v>
      </c>
      <c r="F576" s="18">
        <f t="shared" si="56"/>
        <v>0</v>
      </c>
      <c r="G576" s="18">
        <f t="shared" si="57"/>
        <v>1008.018</v>
      </c>
      <c r="H576" s="14">
        <v>110.8</v>
      </c>
      <c r="I576" s="18">
        <f t="shared" si="58"/>
        <v>0</v>
      </c>
      <c r="J576" s="18">
        <f t="shared" si="59"/>
        <v>110.8</v>
      </c>
      <c r="K576" s="14">
        <v>3.28</v>
      </c>
      <c r="L576" s="18">
        <f t="shared" si="60"/>
        <v>0</v>
      </c>
      <c r="M576" s="18">
        <f t="shared" si="61"/>
        <v>3.28</v>
      </c>
      <c r="N576" s="15">
        <f t="shared" si="62"/>
        <v>1122.098</v>
      </c>
      <c r="O576" s="15">
        <f>+N576-P576</f>
        <v>0</v>
      </c>
      <c r="P576" s="15">
        <f>+IF(N576&gt;D576,N576-D576,0)</f>
        <v>1122.098</v>
      </c>
      <c r="Q576" s="5">
        <f>+IF(P576=0,P576,P576/N576)</f>
        <v>1</v>
      </c>
    </row>
    <row r="577" spans="1:17" x14ac:dyDescent="0.25">
      <c r="A577" s="7">
        <v>46258.958333333336</v>
      </c>
      <c r="B577" s="6">
        <v>0</v>
      </c>
      <c r="C577" s="13">
        <v>0</v>
      </c>
      <c r="D577" s="18">
        <f>+B577+C577</f>
        <v>0</v>
      </c>
      <c r="E577" s="14">
        <v>992.26700000000005</v>
      </c>
      <c r="F577" s="18">
        <f t="shared" si="56"/>
        <v>0</v>
      </c>
      <c r="G577" s="18">
        <f t="shared" si="57"/>
        <v>992.26700000000005</v>
      </c>
      <c r="H577" s="14">
        <v>110.68</v>
      </c>
      <c r="I577" s="18">
        <f t="shared" si="58"/>
        <v>0</v>
      </c>
      <c r="J577" s="18">
        <f t="shared" si="59"/>
        <v>110.68</v>
      </c>
      <c r="K577" s="14">
        <v>3.28</v>
      </c>
      <c r="L577" s="18">
        <f t="shared" si="60"/>
        <v>0</v>
      </c>
      <c r="M577" s="18">
        <f t="shared" si="61"/>
        <v>3.28</v>
      </c>
      <c r="N577" s="15">
        <f t="shared" si="62"/>
        <v>1106.2270000000001</v>
      </c>
      <c r="O577" s="15">
        <f>+N577-P577</f>
        <v>0</v>
      </c>
      <c r="P577" s="15">
        <f>+IF(N577&gt;D577,N577-D577,0)</f>
        <v>1106.2270000000001</v>
      </c>
      <c r="Q577" s="5">
        <f>+IF(P577=0,P577,P577/N577)</f>
        <v>1</v>
      </c>
    </row>
    <row r="578" spans="1:17" x14ac:dyDescent="0.25">
      <c r="A578" s="7">
        <v>46259</v>
      </c>
      <c r="B578" s="6">
        <v>0</v>
      </c>
      <c r="C578" s="13">
        <v>0</v>
      </c>
      <c r="D578" s="18">
        <f>+B578+C578</f>
        <v>0</v>
      </c>
      <c r="E578" s="14">
        <v>910.36599999999999</v>
      </c>
      <c r="F578" s="18">
        <f t="shared" si="56"/>
        <v>0</v>
      </c>
      <c r="G578" s="18">
        <f t="shared" si="57"/>
        <v>910.36599999999999</v>
      </c>
      <c r="H578" s="14">
        <v>99.04</v>
      </c>
      <c r="I578" s="18">
        <f t="shared" si="58"/>
        <v>0</v>
      </c>
      <c r="J578" s="18">
        <f t="shared" si="59"/>
        <v>99.04</v>
      </c>
      <c r="K578" s="14">
        <v>4.4799999999999995</v>
      </c>
      <c r="L578" s="18">
        <f t="shared" si="60"/>
        <v>0</v>
      </c>
      <c r="M578" s="18">
        <f t="shared" si="61"/>
        <v>4.4799999999999995</v>
      </c>
      <c r="N578" s="15">
        <f t="shared" si="62"/>
        <v>1013.886</v>
      </c>
      <c r="O578" s="15">
        <f>+N578-P578</f>
        <v>0</v>
      </c>
      <c r="P578" s="15">
        <f>+IF(N578&gt;D578,N578-D578,0)</f>
        <v>1013.886</v>
      </c>
      <c r="Q578" s="5">
        <f>+IF(P578=0,P578,P578/N578)</f>
        <v>1</v>
      </c>
    </row>
    <row r="579" spans="1:17" x14ac:dyDescent="0.25">
      <c r="A579" s="7">
        <v>46259.041666666664</v>
      </c>
      <c r="B579" s="6">
        <v>0</v>
      </c>
      <c r="C579" s="13">
        <v>0</v>
      </c>
      <c r="D579" s="18">
        <f>+B579+C579</f>
        <v>0</v>
      </c>
      <c r="E579" s="14">
        <v>34.651000000000003</v>
      </c>
      <c r="F579" s="18">
        <f t="shared" ref="F579:F642" si="63">+E579-G579</f>
        <v>0</v>
      </c>
      <c r="G579" s="18">
        <f t="shared" ref="G579:G642" si="64">+E579*Q579</f>
        <v>34.651000000000003</v>
      </c>
      <c r="H579" s="14">
        <v>110.68</v>
      </c>
      <c r="I579" s="18">
        <f t="shared" ref="I579:I642" si="65">+H579-J579</f>
        <v>0</v>
      </c>
      <c r="J579" s="18">
        <f t="shared" ref="J579:J642" si="66">+H579*Q579</f>
        <v>110.68</v>
      </c>
      <c r="K579" s="14">
        <v>2.8</v>
      </c>
      <c r="L579" s="18">
        <f t="shared" ref="L579:L642" si="67">+K579-M579</f>
        <v>0</v>
      </c>
      <c r="M579" s="18">
        <f t="shared" ref="M579:M642" si="68">+K579*Q579</f>
        <v>2.8</v>
      </c>
      <c r="N579" s="15">
        <f t="shared" ref="N579:N642" si="69">+E579+H579+K579</f>
        <v>148.13100000000003</v>
      </c>
      <c r="O579" s="15">
        <f>+N579-P579</f>
        <v>0</v>
      </c>
      <c r="P579" s="15">
        <f>+IF(N579&gt;D579,N579-D579,0)</f>
        <v>148.13100000000003</v>
      </c>
      <c r="Q579" s="5">
        <f>+IF(P579=0,P579,P579/N579)</f>
        <v>1</v>
      </c>
    </row>
    <row r="580" spans="1:17" x14ac:dyDescent="0.25">
      <c r="A580" s="7">
        <v>46259.083333333336</v>
      </c>
      <c r="B580" s="6">
        <v>0</v>
      </c>
      <c r="C580" s="13">
        <v>0</v>
      </c>
      <c r="D580" s="18">
        <f>+B580+C580</f>
        <v>0</v>
      </c>
      <c r="E580" s="14">
        <v>885.16499999999996</v>
      </c>
      <c r="F580" s="18">
        <f t="shared" si="63"/>
        <v>0</v>
      </c>
      <c r="G580" s="18">
        <f t="shared" si="64"/>
        <v>885.16499999999996</v>
      </c>
      <c r="H580" s="14">
        <v>112.72</v>
      </c>
      <c r="I580" s="18">
        <f t="shared" si="65"/>
        <v>0</v>
      </c>
      <c r="J580" s="18">
        <f t="shared" si="66"/>
        <v>112.72</v>
      </c>
      <c r="K580" s="14">
        <v>3.28</v>
      </c>
      <c r="L580" s="18">
        <f t="shared" si="67"/>
        <v>0</v>
      </c>
      <c r="M580" s="18">
        <f t="shared" si="68"/>
        <v>3.28</v>
      </c>
      <c r="N580" s="15">
        <f t="shared" si="69"/>
        <v>1001.165</v>
      </c>
      <c r="O580" s="15">
        <f>+N580-P580</f>
        <v>0</v>
      </c>
      <c r="P580" s="15">
        <f>+IF(N580&gt;D580,N580-D580,0)</f>
        <v>1001.165</v>
      </c>
      <c r="Q580" s="5">
        <f>+IF(P580=0,P580,P580/N580)</f>
        <v>1</v>
      </c>
    </row>
    <row r="581" spans="1:17" x14ac:dyDescent="0.25">
      <c r="A581" s="7">
        <v>46259.125</v>
      </c>
      <c r="B581" s="6">
        <v>0</v>
      </c>
      <c r="C581" s="13">
        <v>0</v>
      </c>
      <c r="D581" s="18">
        <f>+B581+C581</f>
        <v>0</v>
      </c>
      <c r="E581" s="14">
        <v>1052.1180000000002</v>
      </c>
      <c r="F581" s="18">
        <f t="shared" si="63"/>
        <v>0</v>
      </c>
      <c r="G581" s="18">
        <f t="shared" si="64"/>
        <v>1052.1180000000002</v>
      </c>
      <c r="H581" s="14">
        <v>83.56</v>
      </c>
      <c r="I581" s="18">
        <f t="shared" si="65"/>
        <v>0</v>
      </c>
      <c r="J581" s="18">
        <f t="shared" si="66"/>
        <v>83.56</v>
      </c>
      <c r="K581" s="14">
        <v>2.92</v>
      </c>
      <c r="L581" s="18">
        <f t="shared" si="67"/>
        <v>0</v>
      </c>
      <c r="M581" s="18">
        <f t="shared" si="68"/>
        <v>2.92</v>
      </c>
      <c r="N581" s="15">
        <f t="shared" si="69"/>
        <v>1138.5980000000002</v>
      </c>
      <c r="O581" s="15">
        <f>+N581-P581</f>
        <v>0</v>
      </c>
      <c r="P581" s="15">
        <f>+IF(N581&gt;D581,N581-D581,0)</f>
        <v>1138.5980000000002</v>
      </c>
      <c r="Q581" s="5">
        <f>+IF(P581=0,P581,P581/N581)</f>
        <v>1</v>
      </c>
    </row>
    <row r="582" spans="1:17" x14ac:dyDescent="0.25">
      <c r="A582" s="7">
        <v>46259.166666666664</v>
      </c>
      <c r="B582" s="6">
        <v>0</v>
      </c>
      <c r="C582" s="13">
        <v>0</v>
      </c>
      <c r="D582" s="18">
        <f>+B582+C582</f>
        <v>0</v>
      </c>
      <c r="E582" s="14">
        <v>894.61599999999999</v>
      </c>
      <c r="F582" s="18">
        <f t="shared" si="63"/>
        <v>0</v>
      </c>
      <c r="G582" s="18">
        <f t="shared" si="64"/>
        <v>894.61599999999999</v>
      </c>
      <c r="H582" s="14">
        <v>79.600000000000009</v>
      </c>
      <c r="I582" s="18">
        <f t="shared" si="65"/>
        <v>0</v>
      </c>
      <c r="J582" s="18">
        <f t="shared" si="66"/>
        <v>79.600000000000009</v>
      </c>
      <c r="K582" s="14">
        <v>3.28</v>
      </c>
      <c r="L582" s="18">
        <f t="shared" si="67"/>
        <v>0</v>
      </c>
      <c r="M582" s="18">
        <f t="shared" si="68"/>
        <v>3.28</v>
      </c>
      <c r="N582" s="15">
        <f t="shared" si="69"/>
        <v>977.49599999999998</v>
      </c>
      <c r="O582" s="15">
        <f>+N582-P582</f>
        <v>0</v>
      </c>
      <c r="P582" s="15">
        <f>+IF(N582&gt;D582,N582-D582,0)</f>
        <v>977.49599999999998</v>
      </c>
      <c r="Q582" s="5">
        <f>+IF(P582=0,P582,P582/N582)</f>
        <v>1</v>
      </c>
    </row>
    <row r="583" spans="1:17" x14ac:dyDescent="0.25">
      <c r="A583" s="7">
        <v>46259.208333333336</v>
      </c>
      <c r="B583" s="6">
        <v>0</v>
      </c>
      <c r="C583" s="13">
        <v>0</v>
      </c>
      <c r="D583" s="18">
        <f>+B583+C583</f>
        <v>0</v>
      </c>
      <c r="E583" s="14">
        <v>945.01599999999996</v>
      </c>
      <c r="F583" s="18">
        <f t="shared" si="63"/>
        <v>0</v>
      </c>
      <c r="G583" s="18">
        <f t="shared" si="64"/>
        <v>945.01599999999996</v>
      </c>
      <c r="H583" s="14">
        <v>59.68</v>
      </c>
      <c r="I583" s="18">
        <f t="shared" si="65"/>
        <v>0</v>
      </c>
      <c r="J583" s="18">
        <f t="shared" si="66"/>
        <v>59.68</v>
      </c>
      <c r="K583" s="14">
        <v>3.16</v>
      </c>
      <c r="L583" s="18">
        <f t="shared" si="67"/>
        <v>0</v>
      </c>
      <c r="M583" s="18">
        <f t="shared" si="68"/>
        <v>3.16</v>
      </c>
      <c r="N583" s="15">
        <f t="shared" si="69"/>
        <v>1007.8559999999999</v>
      </c>
      <c r="O583" s="15">
        <f>+N583-P583</f>
        <v>0</v>
      </c>
      <c r="P583" s="15">
        <f>+IF(N583&gt;D583,N583-D583,0)</f>
        <v>1007.8559999999999</v>
      </c>
      <c r="Q583" s="5">
        <f>+IF(P583=0,P583,P583/N583)</f>
        <v>1</v>
      </c>
    </row>
    <row r="584" spans="1:17" x14ac:dyDescent="0.25">
      <c r="A584" s="7">
        <v>46259.25</v>
      </c>
      <c r="B584" s="6">
        <v>40.950000000000003</v>
      </c>
      <c r="C584" s="13">
        <v>0</v>
      </c>
      <c r="D584" s="18">
        <f>+B584+C584</f>
        <v>40.950000000000003</v>
      </c>
      <c r="E584" s="14">
        <v>15.75</v>
      </c>
      <c r="F584" s="18">
        <f t="shared" si="63"/>
        <v>10.41774349862704</v>
      </c>
      <c r="G584" s="18">
        <f t="shared" si="64"/>
        <v>5.3322565013729593</v>
      </c>
      <c r="H584" s="14">
        <v>42.04</v>
      </c>
      <c r="I584" s="18">
        <f t="shared" si="65"/>
        <v>27.807107090938462</v>
      </c>
      <c r="J584" s="18">
        <f t="shared" si="66"/>
        <v>14.232892909061537</v>
      </c>
      <c r="K584" s="14">
        <v>4.12</v>
      </c>
      <c r="L584" s="18">
        <f t="shared" si="67"/>
        <v>2.7251494104345024</v>
      </c>
      <c r="M584" s="18">
        <f t="shared" si="68"/>
        <v>1.3948505895654979</v>
      </c>
      <c r="N584" s="15">
        <f t="shared" si="69"/>
        <v>61.91</v>
      </c>
      <c r="O584" s="15">
        <f>+N584-P584</f>
        <v>40.950000000000003</v>
      </c>
      <c r="P584" s="15">
        <f>+IF(N584&gt;D584,N584-D584,0)</f>
        <v>20.959999999999994</v>
      </c>
      <c r="Q584" s="5">
        <f>+IF(P584=0,P584,P584/N584)</f>
        <v>0.33855596834114027</v>
      </c>
    </row>
    <row r="585" spans="1:17" x14ac:dyDescent="0.25">
      <c r="A585" s="7">
        <v>46259.291666666664</v>
      </c>
      <c r="B585" s="6">
        <v>466.2</v>
      </c>
      <c r="C585" s="13">
        <v>0</v>
      </c>
      <c r="D585" s="18">
        <f>+B585+C585</f>
        <v>466.2</v>
      </c>
      <c r="E585" s="14">
        <v>0</v>
      </c>
      <c r="F585" s="18">
        <f t="shared" si="63"/>
        <v>0</v>
      </c>
      <c r="G585" s="18">
        <f t="shared" si="64"/>
        <v>0</v>
      </c>
      <c r="H585" s="14">
        <v>44.68</v>
      </c>
      <c r="I585" s="18">
        <f t="shared" si="65"/>
        <v>44.68</v>
      </c>
      <c r="J585" s="18">
        <f t="shared" si="66"/>
        <v>0</v>
      </c>
      <c r="K585" s="14">
        <v>2.44</v>
      </c>
      <c r="L585" s="18">
        <f t="shared" si="67"/>
        <v>2.44</v>
      </c>
      <c r="M585" s="18">
        <f t="shared" si="68"/>
        <v>0</v>
      </c>
      <c r="N585" s="15">
        <f t="shared" si="69"/>
        <v>47.12</v>
      </c>
      <c r="O585" s="15">
        <f>+N585-P585</f>
        <v>47.12</v>
      </c>
      <c r="P585" s="15">
        <f>+IF(N585&gt;D585,N585-D585,0)</f>
        <v>0</v>
      </c>
      <c r="Q585" s="5">
        <f>+IF(P585=0,P585,P585/N585)</f>
        <v>0</v>
      </c>
    </row>
    <row r="586" spans="1:17" x14ac:dyDescent="0.25">
      <c r="A586" s="7">
        <v>46259.333333333336</v>
      </c>
      <c r="B586" s="6">
        <v>658.35</v>
      </c>
      <c r="C586" s="13">
        <v>0</v>
      </c>
      <c r="D586" s="18">
        <f>+B586+C586</f>
        <v>658.35</v>
      </c>
      <c r="E586" s="14">
        <v>0</v>
      </c>
      <c r="F586" s="18">
        <f t="shared" si="63"/>
        <v>0</v>
      </c>
      <c r="G586" s="18">
        <f t="shared" si="64"/>
        <v>0</v>
      </c>
      <c r="H586" s="14">
        <v>110.32000000000001</v>
      </c>
      <c r="I586" s="18">
        <f t="shared" si="65"/>
        <v>110.32000000000001</v>
      </c>
      <c r="J586" s="18">
        <f t="shared" si="66"/>
        <v>0</v>
      </c>
      <c r="K586" s="14">
        <v>12.040000000000001</v>
      </c>
      <c r="L586" s="18">
        <f t="shared" si="67"/>
        <v>12.040000000000001</v>
      </c>
      <c r="M586" s="18">
        <f t="shared" si="68"/>
        <v>0</v>
      </c>
      <c r="N586" s="15">
        <f t="shared" si="69"/>
        <v>122.36000000000001</v>
      </c>
      <c r="O586" s="15">
        <f>+N586-P586</f>
        <v>122.36000000000001</v>
      </c>
      <c r="P586" s="15">
        <f>+IF(N586&gt;D586,N586-D586,0)</f>
        <v>0</v>
      </c>
      <c r="Q586" s="5">
        <f>+IF(P586=0,P586,P586/N586)</f>
        <v>0</v>
      </c>
    </row>
    <row r="587" spans="1:17" x14ac:dyDescent="0.25">
      <c r="A587" s="7">
        <v>46259.375</v>
      </c>
      <c r="B587" s="6">
        <v>1464.75</v>
      </c>
      <c r="C587" s="13">
        <v>3.48</v>
      </c>
      <c r="D587" s="18">
        <f>+B587+C587</f>
        <v>1468.23</v>
      </c>
      <c r="E587" s="14">
        <v>0</v>
      </c>
      <c r="F587" s="18">
        <f t="shared" si="63"/>
        <v>0</v>
      </c>
      <c r="G587" s="18">
        <f t="shared" si="64"/>
        <v>0</v>
      </c>
      <c r="H587" s="14">
        <v>41.32</v>
      </c>
      <c r="I587" s="18">
        <f t="shared" si="65"/>
        <v>41.32</v>
      </c>
      <c r="J587" s="18">
        <f t="shared" si="66"/>
        <v>0</v>
      </c>
      <c r="K587" s="14">
        <v>72.400000000000006</v>
      </c>
      <c r="L587" s="18">
        <f t="shared" si="67"/>
        <v>72.400000000000006</v>
      </c>
      <c r="M587" s="18">
        <f t="shared" si="68"/>
        <v>0</v>
      </c>
      <c r="N587" s="15">
        <f t="shared" si="69"/>
        <v>113.72</v>
      </c>
      <c r="O587" s="15">
        <f>+N587-P587</f>
        <v>113.72</v>
      </c>
      <c r="P587" s="15">
        <f>+IF(N587&gt;D587,N587-D587,0)</f>
        <v>0</v>
      </c>
      <c r="Q587" s="5">
        <f>+IF(P587=0,P587,P587/N587)</f>
        <v>0</v>
      </c>
    </row>
    <row r="588" spans="1:17" x14ac:dyDescent="0.25">
      <c r="A588" s="7">
        <v>46259.416666666664</v>
      </c>
      <c r="B588" s="6">
        <v>1729.35</v>
      </c>
      <c r="C588" s="13">
        <v>19.440000000000001</v>
      </c>
      <c r="D588" s="18">
        <f>+B588+C588</f>
        <v>1748.79</v>
      </c>
      <c r="E588" s="14">
        <v>0</v>
      </c>
      <c r="F588" s="18">
        <f t="shared" si="63"/>
        <v>0</v>
      </c>
      <c r="G588" s="18">
        <f t="shared" si="64"/>
        <v>0</v>
      </c>
      <c r="H588" s="14">
        <v>7.6</v>
      </c>
      <c r="I588" s="18">
        <f t="shared" si="65"/>
        <v>7.6</v>
      </c>
      <c r="J588" s="18">
        <f t="shared" si="66"/>
        <v>0</v>
      </c>
      <c r="K588" s="14">
        <v>25.48</v>
      </c>
      <c r="L588" s="18">
        <f t="shared" si="67"/>
        <v>25.48</v>
      </c>
      <c r="M588" s="18">
        <f t="shared" si="68"/>
        <v>0</v>
      </c>
      <c r="N588" s="15">
        <f t="shared" si="69"/>
        <v>33.08</v>
      </c>
      <c r="O588" s="15">
        <f>+N588-P588</f>
        <v>33.08</v>
      </c>
      <c r="P588" s="15">
        <f>+IF(N588&gt;D588,N588-D588,0)</f>
        <v>0</v>
      </c>
      <c r="Q588" s="5">
        <f>+IF(P588=0,P588,P588/N588)</f>
        <v>0</v>
      </c>
    </row>
    <row r="589" spans="1:17" x14ac:dyDescent="0.25">
      <c r="A589" s="7">
        <v>46259.458333333336</v>
      </c>
      <c r="B589" s="6">
        <v>2192.4</v>
      </c>
      <c r="C589" s="13">
        <v>20.04</v>
      </c>
      <c r="D589" s="18">
        <f>+B589+C589</f>
        <v>2212.44</v>
      </c>
      <c r="E589" s="14">
        <v>0</v>
      </c>
      <c r="F589" s="18">
        <f t="shared" si="63"/>
        <v>0</v>
      </c>
      <c r="G589" s="18">
        <f t="shared" si="64"/>
        <v>0</v>
      </c>
      <c r="H589" s="14">
        <v>16</v>
      </c>
      <c r="I589" s="18">
        <f t="shared" si="65"/>
        <v>16</v>
      </c>
      <c r="J589" s="18">
        <f t="shared" si="66"/>
        <v>0</v>
      </c>
      <c r="K589" s="14">
        <v>40.239999999999995</v>
      </c>
      <c r="L589" s="18">
        <f t="shared" si="67"/>
        <v>40.239999999999995</v>
      </c>
      <c r="M589" s="18">
        <f t="shared" si="68"/>
        <v>0</v>
      </c>
      <c r="N589" s="15">
        <f t="shared" si="69"/>
        <v>56.239999999999995</v>
      </c>
      <c r="O589" s="15">
        <f>+N589-P589</f>
        <v>56.239999999999995</v>
      </c>
      <c r="P589" s="15">
        <f>+IF(N589&gt;D589,N589-D589,0)</f>
        <v>0</v>
      </c>
      <c r="Q589" s="5">
        <f>+IF(P589=0,P589,P589/N589)</f>
        <v>0</v>
      </c>
    </row>
    <row r="590" spans="1:17" x14ac:dyDescent="0.25">
      <c r="A590" s="7">
        <v>46259.5</v>
      </c>
      <c r="B590" s="6">
        <v>2245.9499999999998</v>
      </c>
      <c r="C590" s="13">
        <v>30</v>
      </c>
      <c r="D590" s="18">
        <f>+B590+C590</f>
        <v>2275.9499999999998</v>
      </c>
      <c r="E590" s="14">
        <v>0</v>
      </c>
      <c r="F590" s="18">
        <f t="shared" si="63"/>
        <v>0</v>
      </c>
      <c r="G590" s="18">
        <f t="shared" si="64"/>
        <v>0</v>
      </c>
      <c r="H590" s="14">
        <v>4</v>
      </c>
      <c r="I590" s="18">
        <f t="shared" si="65"/>
        <v>4</v>
      </c>
      <c r="J590" s="18">
        <f t="shared" si="66"/>
        <v>0</v>
      </c>
      <c r="K590" s="14">
        <v>76.11999999999999</v>
      </c>
      <c r="L590" s="18">
        <f t="shared" si="67"/>
        <v>76.11999999999999</v>
      </c>
      <c r="M590" s="18">
        <f t="shared" si="68"/>
        <v>0</v>
      </c>
      <c r="N590" s="15">
        <f t="shared" si="69"/>
        <v>80.11999999999999</v>
      </c>
      <c r="O590" s="15">
        <f>+N590-P590</f>
        <v>80.11999999999999</v>
      </c>
      <c r="P590" s="15">
        <f>+IF(N590&gt;D590,N590-D590,0)</f>
        <v>0</v>
      </c>
      <c r="Q590" s="5">
        <f>+IF(P590=0,P590,P590/N590)</f>
        <v>0</v>
      </c>
    </row>
    <row r="591" spans="1:17" x14ac:dyDescent="0.25">
      <c r="A591" s="7">
        <v>46259.541666666664</v>
      </c>
      <c r="B591" s="6">
        <v>2737.35</v>
      </c>
      <c r="C591" s="13">
        <v>25.8</v>
      </c>
      <c r="D591" s="18">
        <f>+B591+C591</f>
        <v>2763.15</v>
      </c>
      <c r="E591" s="14">
        <v>0</v>
      </c>
      <c r="F591" s="18">
        <f t="shared" si="63"/>
        <v>0</v>
      </c>
      <c r="G591" s="18">
        <f t="shared" si="64"/>
        <v>0</v>
      </c>
      <c r="H591" s="14">
        <v>10.6</v>
      </c>
      <c r="I591" s="18">
        <f t="shared" si="65"/>
        <v>10.6</v>
      </c>
      <c r="J591" s="18">
        <f t="shared" si="66"/>
        <v>0</v>
      </c>
      <c r="K591" s="14">
        <v>23.8</v>
      </c>
      <c r="L591" s="18">
        <f t="shared" si="67"/>
        <v>23.8</v>
      </c>
      <c r="M591" s="18">
        <f t="shared" si="68"/>
        <v>0</v>
      </c>
      <c r="N591" s="15">
        <f t="shared" si="69"/>
        <v>34.4</v>
      </c>
      <c r="O591" s="15">
        <f>+N591-P591</f>
        <v>34.4</v>
      </c>
      <c r="P591" s="15">
        <f>+IF(N591&gt;D591,N591-D591,0)</f>
        <v>0</v>
      </c>
      <c r="Q591" s="5">
        <f>+IF(P591=0,P591,P591/N591)</f>
        <v>0</v>
      </c>
    </row>
    <row r="592" spans="1:17" x14ac:dyDescent="0.25">
      <c r="A592" s="7">
        <v>46259.583333333336</v>
      </c>
      <c r="B592" s="6">
        <v>2167.1999999999998</v>
      </c>
      <c r="C592" s="13">
        <v>3.12</v>
      </c>
      <c r="D592" s="18">
        <f>+B592+C592</f>
        <v>2170.3199999999997</v>
      </c>
      <c r="E592" s="14">
        <v>0</v>
      </c>
      <c r="F592" s="18">
        <f t="shared" si="63"/>
        <v>0</v>
      </c>
      <c r="G592" s="18">
        <f t="shared" si="64"/>
        <v>0</v>
      </c>
      <c r="H592" s="14">
        <v>45.04</v>
      </c>
      <c r="I592" s="18">
        <f t="shared" si="65"/>
        <v>45.04</v>
      </c>
      <c r="J592" s="18">
        <f t="shared" si="66"/>
        <v>0</v>
      </c>
      <c r="K592" s="14">
        <v>53.8</v>
      </c>
      <c r="L592" s="18">
        <f t="shared" si="67"/>
        <v>53.8</v>
      </c>
      <c r="M592" s="18">
        <f t="shared" si="68"/>
        <v>0</v>
      </c>
      <c r="N592" s="15">
        <f t="shared" si="69"/>
        <v>98.84</v>
      </c>
      <c r="O592" s="15">
        <f>+N592-P592</f>
        <v>98.84</v>
      </c>
      <c r="P592" s="15">
        <f>+IF(N592&gt;D592,N592-D592,0)</f>
        <v>0</v>
      </c>
      <c r="Q592" s="5">
        <f>+IF(P592=0,P592,P592/N592)</f>
        <v>0</v>
      </c>
    </row>
    <row r="593" spans="1:17" x14ac:dyDescent="0.25">
      <c r="A593" s="7">
        <v>46259.625</v>
      </c>
      <c r="B593" s="6">
        <v>1225.3499999999999</v>
      </c>
      <c r="C593" s="13">
        <v>6.6</v>
      </c>
      <c r="D593" s="18">
        <f>+B593+C593</f>
        <v>1231.9499999999998</v>
      </c>
      <c r="E593" s="14">
        <v>0</v>
      </c>
      <c r="F593" s="18">
        <f t="shared" si="63"/>
        <v>0</v>
      </c>
      <c r="G593" s="18">
        <f t="shared" si="64"/>
        <v>0</v>
      </c>
      <c r="H593" s="14">
        <v>29.919999999999998</v>
      </c>
      <c r="I593" s="18">
        <f t="shared" si="65"/>
        <v>29.919999999999998</v>
      </c>
      <c r="J593" s="18">
        <f t="shared" si="66"/>
        <v>0</v>
      </c>
      <c r="K593" s="14">
        <v>34.96</v>
      </c>
      <c r="L593" s="18">
        <f t="shared" si="67"/>
        <v>34.96</v>
      </c>
      <c r="M593" s="18">
        <f t="shared" si="68"/>
        <v>0</v>
      </c>
      <c r="N593" s="15">
        <f t="shared" si="69"/>
        <v>64.88</v>
      </c>
      <c r="O593" s="15">
        <f>+N593-P593</f>
        <v>64.88</v>
      </c>
      <c r="P593" s="15">
        <f>+IF(N593&gt;D593,N593-D593,0)</f>
        <v>0</v>
      </c>
      <c r="Q593" s="5">
        <f>+IF(P593=0,P593,P593/N593)</f>
        <v>0</v>
      </c>
    </row>
    <row r="594" spans="1:17" x14ac:dyDescent="0.25">
      <c r="A594" s="7">
        <v>46259.666666666664</v>
      </c>
      <c r="B594" s="6">
        <v>686.7</v>
      </c>
      <c r="C594" s="13">
        <v>1.08</v>
      </c>
      <c r="D594" s="18">
        <f>+B594+C594</f>
        <v>687.78000000000009</v>
      </c>
      <c r="E594" s="14">
        <v>0</v>
      </c>
      <c r="F594" s="18">
        <f t="shared" si="63"/>
        <v>0</v>
      </c>
      <c r="G594" s="18">
        <f t="shared" si="64"/>
        <v>0</v>
      </c>
      <c r="H594" s="14">
        <v>41.2</v>
      </c>
      <c r="I594" s="18">
        <f t="shared" si="65"/>
        <v>41.2</v>
      </c>
      <c r="J594" s="18">
        <f t="shared" si="66"/>
        <v>0</v>
      </c>
      <c r="K594" s="14">
        <v>46.6</v>
      </c>
      <c r="L594" s="18">
        <f t="shared" si="67"/>
        <v>46.6</v>
      </c>
      <c r="M594" s="18">
        <f t="shared" si="68"/>
        <v>0</v>
      </c>
      <c r="N594" s="15">
        <f t="shared" si="69"/>
        <v>87.800000000000011</v>
      </c>
      <c r="O594" s="15">
        <f>+N594-P594</f>
        <v>87.800000000000011</v>
      </c>
      <c r="P594" s="15">
        <f>+IF(N594&gt;D594,N594-D594,0)</f>
        <v>0</v>
      </c>
      <c r="Q594" s="5">
        <f>+IF(P594=0,P594,P594/N594)</f>
        <v>0</v>
      </c>
    </row>
    <row r="595" spans="1:17" x14ac:dyDescent="0.25">
      <c r="A595" s="7">
        <v>46259.708333333336</v>
      </c>
      <c r="B595" s="6">
        <v>576.45000000000005</v>
      </c>
      <c r="C595" s="13">
        <v>0.12</v>
      </c>
      <c r="D595" s="18">
        <f>+B595+C595</f>
        <v>576.57000000000005</v>
      </c>
      <c r="E595" s="14">
        <v>6.2989999999999995</v>
      </c>
      <c r="F595" s="18">
        <f t="shared" si="63"/>
        <v>6.2989999999999995</v>
      </c>
      <c r="G595" s="18">
        <f t="shared" si="64"/>
        <v>0</v>
      </c>
      <c r="H595" s="14">
        <v>39.160000000000004</v>
      </c>
      <c r="I595" s="18">
        <f t="shared" si="65"/>
        <v>39.160000000000004</v>
      </c>
      <c r="J595" s="18">
        <f t="shared" si="66"/>
        <v>0</v>
      </c>
      <c r="K595" s="14">
        <v>41.92</v>
      </c>
      <c r="L595" s="18">
        <f t="shared" si="67"/>
        <v>41.92</v>
      </c>
      <c r="M595" s="18">
        <f t="shared" si="68"/>
        <v>0</v>
      </c>
      <c r="N595" s="15">
        <f t="shared" si="69"/>
        <v>87.379000000000005</v>
      </c>
      <c r="O595" s="15">
        <f>+N595-P595</f>
        <v>87.379000000000005</v>
      </c>
      <c r="P595" s="15">
        <f>+IF(N595&gt;D595,N595-D595,0)</f>
        <v>0</v>
      </c>
      <c r="Q595" s="5">
        <f>+IF(P595=0,P595,P595/N595)</f>
        <v>0</v>
      </c>
    </row>
    <row r="596" spans="1:17" x14ac:dyDescent="0.25">
      <c r="A596" s="7">
        <v>46259.75</v>
      </c>
      <c r="B596" s="6">
        <v>47.25</v>
      </c>
      <c r="C596" s="13">
        <v>0</v>
      </c>
      <c r="D596" s="18">
        <f>+B596+C596</f>
        <v>47.25</v>
      </c>
      <c r="E596" s="14">
        <v>25.196999999999999</v>
      </c>
      <c r="F596" s="18">
        <f t="shared" si="63"/>
        <v>9.7877968874602299</v>
      </c>
      <c r="G596" s="18">
        <f t="shared" si="64"/>
        <v>15.409203112539769</v>
      </c>
      <c r="H596" s="14">
        <v>63.64</v>
      </c>
      <c r="I596" s="18">
        <f t="shared" si="65"/>
        <v>24.721014165097792</v>
      </c>
      <c r="J596" s="18">
        <f t="shared" si="66"/>
        <v>38.918985834902209</v>
      </c>
      <c r="K596" s="14">
        <v>32.800000000000004</v>
      </c>
      <c r="L596" s="18">
        <f t="shared" si="67"/>
        <v>12.74118894744198</v>
      </c>
      <c r="M596" s="18">
        <f t="shared" si="68"/>
        <v>20.058811052558024</v>
      </c>
      <c r="N596" s="15">
        <f t="shared" si="69"/>
        <v>121.637</v>
      </c>
      <c r="O596" s="15">
        <f>+N596-P596</f>
        <v>47.25</v>
      </c>
      <c r="P596" s="15">
        <f>+IF(N596&gt;D596,N596-D596,0)</f>
        <v>74.387</v>
      </c>
      <c r="Q596" s="5">
        <f>+IF(P596=0,P596,P596/N596)</f>
        <v>0.61154911745603724</v>
      </c>
    </row>
    <row r="597" spans="1:17" x14ac:dyDescent="0.25">
      <c r="A597" s="7">
        <v>46259.791666666664</v>
      </c>
      <c r="B597" s="6">
        <v>0</v>
      </c>
      <c r="C597" s="13">
        <v>0</v>
      </c>
      <c r="D597" s="18">
        <f>+B597+C597</f>
        <v>0</v>
      </c>
      <c r="E597" s="14">
        <v>25.196999999999999</v>
      </c>
      <c r="F597" s="18">
        <f t="shared" si="63"/>
        <v>0</v>
      </c>
      <c r="G597" s="18">
        <f t="shared" si="64"/>
        <v>25.196999999999999</v>
      </c>
      <c r="H597" s="14">
        <v>104.80000000000001</v>
      </c>
      <c r="I597" s="18">
        <f t="shared" si="65"/>
        <v>0</v>
      </c>
      <c r="J597" s="18">
        <f t="shared" si="66"/>
        <v>104.80000000000001</v>
      </c>
      <c r="K597" s="14">
        <v>1.1199999999999999</v>
      </c>
      <c r="L597" s="18">
        <f t="shared" si="67"/>
        <v>0</v>
      </c>
      <c r="M597" s="18">
        <f t="shared" si="68"/>
        <v>1.1199999999999999</v>
      </c>
      <c r="N597" s="15">
        <f t="shared" si="69"/>
        <v>131.11700000000002</v>
      </c>
      <c r="O597" s="15">
        <f>+N597-P597</f>
        <v>0</v>
      </c>
      <c r="P597" s="15">
        <f>+IF(N597&gt;D597,N597-D597,0)</f>
        <v>131.11700000000002</v>
      </c>
      <c r="Q597" s="5">
        <f>+IF(P597=0,P597,P597/N597)</f>
        <v>1</v>
      </c>
    </row>
    <row r="598" spans="1:17" x14ac:dyDescent="0.25">
      <c r="A598" s="7">
        <v>46259.833333333336</v>
      </c>
      <c r="B598" s="6">
        <v>0</v>
      </c>
      <c r="C598" s="13">
        <v>0</v>
      </c>
      <c r="D598" s="18">
        <f>+B598+C598</f>
        <v>0</v>
      </c>
      <c r="E598" s="14">
        <v>264.57100000000003</v>
      </c>
      <c r="F598" s="18">
        <f t="shared" si="63"/>
        <v>0</v>
      </c>
      <c r="G598" s="18">
        <f t="shared" si="64"/>
        <v>264.57100000000003</v>
      </c>
      <c r="H598" s="14">
        <v>109.60000000000001</v>
      </c>
      <c r="I598" s="18">
        <f t="shared" si="65"/>
        <v>0</v>
      </c>
      <c r="J598" s="18">
        <f t="shared" si="66"/>
        <v>109.60000000000001</v>
      </c>
      <c r="K598" s="14">
        <v>44.8</v>
      </c>
      <c r="L598" s="18">
        <f t="shared" si="67"/>
        <v>0</v>
      </c>
      <c r="M598" s="18">
        <f t="shared" si="68"/>
        <v>44.8</v>
      </c>
      <c r="N598" s="15">
        <f t="shared" si="69"/>
        <v>418.97100000000006</v>
      </c>
      <c r="O598" s="15">
        <f>+N598-P598</f>
        <v>0</v>
      </c>
      <c r="P598" s="15">
        <f>+IF(N598&gt;D598,N598-D598,0)</f>
        <v>418.97100000000006</v>
      </c>
      <c r="Q598" s="5">
        <f>+IF(P598=0,P598,P598/N598)</f>
        <v>1</v>
      </c>
    </row>
    <row r="599" spans="1:17" x14ac:dyDescent="0.25">
      <c r="A599" s="7">
        <v>46259.875</v>
      </c>
      <c r="B599" s="6">
        <v>0</v>
      </c>
      <c r="C599" s="13">
        <v>0</v>
      </c>
      <c r="D599" s="18">
        <f>+B599+C599</f>
        <v>0</v>
      </c>
      <c r="E599" s="14">
        <v>393.70800000000003</v>
      </c>
      <c r="F599" s="18">
        <f t="shared" si="63"/>
        <v>0</v>
      </c>
      <c r="G599" s="18">
        <f t="shared" si="64"/>
        <v>393.70800000000003</v>
      </c>
      <c r="H599" s="14">
        <v>102.64</v>
      </c>
      <c r="I599" s="18">
        <f t="shared" si="65"/>
        <v>0</v>
      </c>
      <c r="J599" s="18">
        <f t="shared" si="66"/>
        <v>102.64</v>
      </c>
      <c r="K599" s="14">
        <v>2.68</v>
      </c>
      <c r="L599" s="18">
        <f t="shared" si="67"/>
        <v>0</v>
      </c>
      <c r="M599" s="18">
        <f t="shared" si="68"/>
        <v>2.68</v>
      </c>
      <c r="N599" s="15">
        <f t="shared" si="69"/>
        <v>499.02800000000002</v>
      </c>
      <c r="O599" s="15">
        <f>+N599-P599</f>
        <v>0</v>
      </c>
      <c r="P599" s="15">
        <f>+IF(N599&gt;D599,N599-D599,0)</f>
        <v>499.02800000000002</v>
      </c>
      <c r="Q599" s="5">
        <f>+IF(P599=0,P599,P599/N599)</f>
        <v>1</v>
      </c>
    </row>
    <row r="600" spans="1:17" x14ac:dyDescent="0.25">
      <c r="A600" s="7">
        <v>46259.916666666664</v>
      </c>
      <c r="B600" s="6">
        <v>0</v>
      </c>
      <c r="C600" s="13">
        <v>0</v>
      </c>
      <c r="D600" s="18">
        <f>+B600+C600</f>
        <v>0</v>
      </c>
      <c r="E600" s="14">
        <v>387.45699999999999</v>
      </c>
      <c r="F600" s="18">
        <f t="shared" si="63"/>
        <v>0</v>
      </c>
      <c r="G600" s="18">
        <f t="shared" si="64"/>
        <v>387.45699999999999</v>
      </c>
      <c r="H600" s="14">
        <v>96.52</v>
      </c>
      <c r="I600" s="18">
        <f t="shared" si="65"/>
        <v>0</v>
      </c>
      <c r="J600" s="18">
        <f t="shared" si="66"/>
        <v>96.52</v>
      </c>
      <c r="K600" s="14">
        <v>2.8</v>
      </c>
      <c r="L600" s="18">
        <f t="shared" si="67"/>
        <v>0</v>
      </c>
      <c r="M600" s="18">
        <f t="shared" si="68"/>
        <v>2.8</v>
      </c>
      <c r="N600" s="15">
        <f t="shared" si="69"/>
        <v>486.77699999999999</v>
      </c>
      <c r="O600" s="15">
        <f>+N600-P600</f>
        <v>0</v>
      </c>
      <c r="P600" s="15">
        <f>+IF(N600&gt;D600,N600-D600,0)</f>
        <v>486.77699999999999</v>
      </c>
      <c r="Q600" s="5">
        <f>+IF(P600=0,P600,P600/N600)</f>
        <v>1</v>
      </c>
    </row>
    <row r="601" spans="1:17" x14ac:dyDescent="0.25">
      <c r="A601" s="7">
        <v>46259.958333333336</v>
      </c>
      <c r="B601" s="6">
        <v>0</v>
      </c>
      <c r="C601" s="13">
        <v>0</v>
      </c>
      <c r="D601" s="18">
        <f>+B601+C601</f>
        <v>0</v>
      </c>
      <c r="E601" s="14">
        <v>412.65699999999998</v>
      </c>
      <c r="F601" s="18">
        <f t="shared" si="63"/>
        <v>0</v>
      </c>
      <c r="G601" s="18">
        <f t="shared" si="64"/>
        <v>412.65699999999998</v>
      </c>
      <c r="H601" s="14">
        <v>102.4</v>
      </c>
      <c r="I601" s="18">
        <f t="shared" si="65"/>
        <v>0</v>
      </c>
      <c r="J601" s="18">
        <f t="shared" si="66"/>
        <v>102.4</v>
      </c>
      <c r="K601" s="14">
        <v>2.92</v>
      </c>
      <c r="L601" s="18">
        <f t="shared" si="67"/>
        <v>0</v>
      </c>
      <c r="M601" s="18">
        <f t="shared" si="68"/>
        <v>2.92</v>
      </c>
      <c r="N601" s="15">
        <f t="shared" si="69"/>
        <v>517.97699999999998</v>
      </c>
      <c r="O601" s="15">
        <f>+N601-P601</f>
        <v>0</v>
      </c>
      <c r="P601" s="15">
        <f>+IF(N601&gt;D601,N601-D601,0)</f>
        <v>517.97699999999998</v>
      </c>
      <c r="Q601" s="5">
        <f>+IF(P601=0,P601,P601/N601)</f>
        <v>1</v>
      </c>
    </row>
    <row r="602" spans="1:17" x14ac:dyDescent="0.25">
      <c r="A602" s="7">
        <v>46260</v>
      </c>
      <c r="B602" s="6">
        <v>0</v>
      </c>
      <c r="C602" s="13">
        <v>0</v>
      </c>
      <c r="D602" s="18">
        <f>+B602+C602</f>
        <v>0</v>
      </c>
      <c r="E602" s="14">
        <v>378.00700000000001</v>
      </c>
      <c r="F602" s="18">
        <f t="shared" si="63"/>
        <v>0</v>
      </c>
      <c r="G602" s="18">
        <f t="shared" si="64"/>
        <v>378.00700000000001</v>
      </c>
      <c r="H602" s="14">
        <v>99.88</v>
      </c>
      <c r="I602" s="18">
        <f t="shared" si="65"/>
        <v>0</v>
      </c>
      <c r="J602" s="18">
        <f t="shared" si="66"/>
        <v>99.88</v>
      </c>
      <c r="K602" s="14">
        <v>2.8</v>
      </c>
      <c r="L602" s="18">
        <f t="shared" si="67"/>
        <v>0</v>
      </c>
      <c r="M602" s="18">
        <f t="shared" si="68"/>
        <v>2.8</v>
      </c>
      <c r="N602" s="15">
        <f t="shared" si="69"/>
        <v>480.68700000000001</v>
      </c>
      <c r="O602" s="15">
        <f>+N602-P602</f>
        <v>0</v>
      </c>
      <c r="P602" s="15">
        <f>+IF(N602&gt;D602,N602-D602,0)</f>
        <v>480.68700000000001</v>
      </c>
      <c r="Q602" s="5">
        <f>+IF(P602=0,P602,P602/N602)</f>
        <v>1</v>
      </c>
    </row>
    <row r="603" spans="1:17" x14ac:dyDescent="0.25">
      <c r="A603" s="7">
        <v>46260.041666666664</v>
      </c>
      <c r="B603" s="6">
        <v>0</v>
      </c>
      <c r="C603" s="13">
        <v>0</v>
      </c>
      <c r="D603" s="18">
        <f>+B603+C603</f>
        <v>0</v>
      </c>
      <c r="E603" s="14">
        <v>34.651000000000003</v>
      </c>
      <c r="F603" s="18">
        <f t="shared" si="63"/>
        <v>0</v>
      </c>
      <c r="G603" s="18">
        <f t="shared" si="64"/>
        <v>34.651000000000003</v>
      </c>
      <c r="H603" s="14">
        <v>94.47999999999999</v>
      </c>
      <c r="I603" s="18">
        <f t="shared" si="65"/>
        <v>0</v>
      </c>
      <c r="J603" s="18">
        <f t="shared" si="66"/>
        <v>94.47999999999999</v>
      </c>
      <c r="K603" s="14">
        <v>2.68</v>
      </c>
      <c r="L603" s="18">
        <f t="shared" si="67"/>
        <v>0</v>
      </c>
      <c r="M603" s="18">
        <f t="shared" si="68"/>
        <v>2.68</v>
      </c>
      <c r="N603" s="15">
        <f t="shared" si="69"/>
        <v>131.81100000000001</v>
      </c>
      <c r="O603" s="15">
        <f>+N603-P603</f>
        <v>0</v>
      </c>
      <c r="P603" s="15">
        <f>+IF(N603&gt;D603,N603-D603,0)</f>
        <v>131.81100000000001</v>
      </c>
      <c r="Q603" s="5">
        <f>+IF(P603=0,P603,P603/N603)</f>
        <v>1</v>
      </c>
    </row>
    <row r="604" spans="1:17" x14ac:dyDescent="0.25">
      <c r="A604" s="7">
        <v>46260.083333333336</v>
      </c>
      <c r="B604" s="6">
        <v>0</v>
      </c>
      <c r="C604" s="13">
        <v>0</v>
      </c>
      <c r="D604" s="18">
        <f>+B604+C604</f>
        <v>0</v>
      </c>
      <c r="E604" s="14">
        <v>384.30700000000002</v>
      </c>
      <c r="F604" s="18">
        <f t="shared" si="63"/>
        <v>0</v>
      </c>
      <c r="G604" s="18">
        <f t="shared" si="64"/>
        <v>384.30700000000002</v>
      </c>
      <c r="H604" s="14">
        <v>103.36</v>
      </c>
      <c r="I604" s="18">
        <f t="shared" si="65"/>
        <v>0</v>
      </c>
      <c r="J604" s="18">
        <f t="shared" si="66"/>
        <v>103.36</v>
      </c>
      <c r="K604" s="14">
        <v>2.8</v>
      </c>
      <c r="L604" s="18">
        <f t="shared" si="67"/>
        <v>0</v>
      </c>
      <c r="M604" s="18">
        <f t="shared" si="68"/>
        <v>2.8</v>
      </c>
      <c r="N604" s="15">
        <f t="shared" si="69"/>
        <v>490.46700000000004</v>
      </c>
      <c r="O604" s="15">
        <f>+N604-P604</f>
        <v>0</v>
      </c>
      <c r="P604" s="15">
        <f>+IF(N604&gt;D604,N604-D604,0)</f>
        <v>490.46700000000004</v>
      </c>
      <c r="Q604" s="5">
        <f>+IF(P604=0,P604,P604/N604)</f>
        <v>1</v>
      </c>
    </row>
    <row r="605" spans="1:17" x14ac:dyDescent="0.25">
      <c r="A605" s="7">
        <v>46260.125</v>
      </c>
      <c r="B605" s="6">
        <v>0</v>
      </c>
      <c r="C605" s="13">
        <v>0</v>
      </c>
      <c r="D605" s="18">
        <f>+B605+C605</f>
        <v>0</v>
      </c>
      <c r="E605" s="14">
        <v>371.70599999999996</v>
      </c>
      <c r="F605" s="18">
        <f t="shared" si="63"/>
        <v>0</v>
      </c>
      <c r="G605" s="18">
        <f t="shared" si="64"/>
        <v>371.70599999999996</v>
      </c>
      <c r="H605" s="14">
        <v>71.44</v>
      </c>
      <c r="I605" s="18">
        <f t="shared" si="65"/>
        <v>0</v>
      </c>
      <c r="J605" s="18">
        <f t="shared" si="66"/>
        <v>71.44</v>
      </c>
      <c r="K605" s="14">
        <v>2.68</v>
      </c>
      <c r="L605" s="18">
        <f t="shared" si="67"/>
        <v>0</v>
      </c>
      <c r="M605" s="18">
        <f t="shared" si="68"/>
        <v>2.68</v>
      </c>
      <c r="N605" s="15">
        <f t="shared" si="69"/>
        <v>445.82599999999996</v>
      </c>
      <c r="O605" s="15">
        <f>+N605-P605</f>
        <v>0</v>
      </c>
      <c r="P605" s="15">
        <f>+IF(N605&gt;D605,N605-D605,0)</f>
        <v>445.82599999999996</v>
      </c>
      <c r="Q605" s="5">
        <f>+IF(P605=0,P605,P605/N605)</f>
        <v>1</v>
      </c>
    </row>
    <row r="606" spans="1:17" x14ac:dyDescent="0.25">
      <c r="A606" s="7">
        <v>46260.166666666664</v>
      </c>
      <c r="B606" s="6">
        <v>0</v>
      </c>
      <c r="C606" s="13">
        <v>0</v>
      </c>
      <c r="D606" s="18">
        <f>+B606+C606</f>
        <v>0</v>
      </c>
      <c r="E606" s="14">
        <v>431.55799999999999</v>
      </c>
      <c r="F606" s="18">
        <f t="shared" si="63"/>
        <v>0</v>
      </c>
      <c r="G606" s="18">
        <f t="shared" si="64"/>
        <v>431.55799999999999</v>
      </c>
      <c r="H606" s="14">
        <v>64.240000000000009</v>
      </c>
      <c r="I606" s="18">
        <f t="shared" si="65"/>
        <v>0</v>
      </c>
      <c r="J606" s="18">
        <f t="shared" si="66"/>
        <v>64.240000000000009</v>
      </c>
      <c r="K606" s="14">
        <v>2.68</v>
      </c>
      <c r="L606" s="18">
        <f t="shared" si="67"/>
        <v>0</v>
      </c>
      <c r="M606" s="18">
        <f t="shared" si="68"/>
        <v>2.68</v>
      </c>
      <c r="N606" s="15">
        <f t="shared" si="69"/>
        <v>498.47800000000001</v>
      </c>
      <c r="O606" s="15">
        <f>+N606-P606</f>
        <v>0</v>
      </c>
      <c r="P606" s="15">
        <f>+IF(N606&gt;D606,N606-D606,0)</f>
        <v>498.47800000000001</v>
      </c>
      <c r="Q606" s="5">
        <f>+IF(P606=0,P606,P606/N606)</f>
        <v>1</v>
      </c>
    </row>
    <row r="607" spans="1:17" x14ac:dyDescent="0.25">
      <c r="A607" s="7">
        <v>46260.208333333336</v>
      </c>
      <c r="B607" s="6">
        <v>0</v>
      </c>
      <c r="C607" s="13">
        <v>0</v>
      </c>
      <c r="D607" s="18">
        <f>+B607+C607</f>
        <v>0</v>
      </c>
      <c r="E607" s="14">
        <v>384.30700000000002</v>
      </c>
      <c r="F607" s="18">
        <f t="shared" si="63"/>
        <v>0</v>
      </c>
      <c r="G607" s="18">
        <f t="shared" si="64"/>
        <v>384.30700000000002</v>
      </c>
      <c r="H607" s="14">
        <v>72.64</v>
      </c>
      <c r="I607" s="18">
        <f t="shared" si="65"/>
        <v>0</v>
      </c>
      <c r="J607" s="18">
        <f t="shared" si="66"/>
        <v>72.64</v>
      </c>
      <c r="K607" s="14">
        <v>2.8</v>
      </c>
      <c r="L607" s="18">
        <f t="shared" si="67"/>
        <v>0</v>
      </c>
      <c r="M607" s="18">
        <f t="shared" si="68"/>
        <v>2.8</v>
      </c>
      <c r="N607" s="15">
        <f t="shared" si="69"/>
        <v>459.74700000000001</v>
      </c>
      <c r="O607" s="15">
        <f>+N607-P607</f>
        <v>0</v>
      </c>
      <c r="P607" s="15">
        <f>+IF(N607&gt;D607,N607-D607,0)</f>
        <v>459.74700000000001</v>
      </c>
      <c r="Q607" s="5">
        <f>+IF(P607=0,P607,P607/N607)</f>
        <v>1</v>
      </c>
    </row>
    <row r="608" spans="1:17" x14ac:dyDescent="0.25">
      <c r="A608" s="7">
        <v>46260.25</v>
      </c>
      <c r="B608" s="6">
        <v>34.65</v>
      </c>
      <c r="C608" s="13">
        <v>0</v>
      </c>
      <c r="D608" s="18">
        <f>+B608+C608</f>
        <v>34.65</v>
      </c>
      <c r="E608" s="14">
        <v>9.4499999999999993</v>
      </c>
      <c r="F608" s="18">
        <f t="shared" si="63"/>
        <v>7.0071153434624431</v>
      </c>
      <c r="G608" s="18">
        <f t="shared" si="64"/>
        <v>2.4428846565375557</v>
      </c>
      <c r="H608" s="14">
        <v>33.4</v>
      </c>
      <c r="I608" s="18">
        <f t="shared" si="65"/>
        <v>24.765889150438689</v>
      </c>
      <c r="J608" s="18">
        <f t="shared" si="66"/>
        <v>8.6341108495613081</v>
      </c>
      <c r="K608" s="14">
        <v>3.8800000000000003</v>
      </c>
      <c r="L608" s="18">
        <f t="shared" si="67"/>
        <v>2.8769955060988659</v>
      </c>
      <c r="M608" s="18">
        <f t="shared" si="68"/>
        <v>1.0030044939011342</v>
      </c>
      <c r="N608" s="15">
        <f t="shared" si="69"/>
        <v>46.73</v>
      </c>
      <c r="O608" s="15">
        <f>+N608-P608</f>
        <v>34.65</v>
      </c>
      <c r="P608" s="15">
        <f>+IF(N608&gt;D608,N608-D608,0)</f>
        <v>12.079999999999998</v>
      </c>
      <c r="Q608" s="5">
        <f>+IF(P608=0,P608,P608/N608)</f>
        <v>0.25850631286111703</v>
      </c>
    </row>
    <row r="609" spans="1:17" x14ac:dyDescent="0.25">
      <c r="A609" s="7">
        <v>46260.291666666664</v>
      </c>
      <c r="B609" s="6">
        <v>459.9</v>
      </c>
      <c r="C609" s="13">
        <v>1.44</v>
      </c>
      <c r="D609" s="18">
        <f>+B609+C609</f>
        <v>461.34</v>
      </c>
      <c r="E609" s="14">
        <v>0</v>
      </c>
      <c r="F609" s="18">
        <f t="shared" si="63"/>
        <v>0</v>
      </c>
      <c r="G609" s="18">
        <f t="shared" si="64"/>
        <v>0</v>
      </c>
      <c r="H609" s="14">
        <v>32.08</v>
      </c>
      <c r="I609" s="18">
        <f t="shared" si="65"/>
        <v>32.08</v>
      </c>
      <c r="J609" s="18">
        <f t="shared" si="66"/>
        <v>0</v>
      </c>
      <c r="K609" s="14">
        <v>2.2000000000000002</v>
      </c>
      <c r="L609" s="18">
        <f t="shared" si="67"/>
        <v>2.2000000000000002</v>
      </c>
      <c r="M609" s="18">
        <f t="shared" si="68"/>
        <v>0</v>
      </c>
      <c r="N609" s="15">
        <f t="shared" si="69"/>
        <v>34.28</v>
      </c>
      <c r="O609" s="15">
        <f>+N609-P609</f>
        <v>34.28</v>
      </c>
      <c r="P609" s="15">
        <f>+IF(N609&gt;D609,N609-D609,0)</f>
        <v>0</v>
      </c>
      <c r="Q609" s="5">
        <f>+IF(P609=0,P609,P609/N609)</f>
        <v>0</v>
      </c>
    </row>
    <row r="610" spans="1:17" x14ac:dyDescent="0.25">
      <c r="A610" s="7">
        <v>46260.333333333336</v>
      </c>
      <c r="B610" s="6">
        <v>661.5</v>
      </c>
      <c r="C610" s="13">
        <v>0</v>
      </c>
      <c r="D610" s="18">
        <f>+B610+C610</f>
        <v>661.5</v>
      </c>
      <c r="E610" s="14">
        <v>0</v>
      </c>
      <c r="F610" s="18">
        <f t="shared" si="63"/>
        <v>0</v>
      </c>
      <c r="G610" s="18">
        <f t="shared" si="64"/>
        <v>0</v>
      </c>
      <c r="H610" s="14">
        <v>104.92</v>
      </c>
      <c r="I610" s="18">
        <f t="shared" si="65"/>
        <v>104.92</v>
      </c>
      <c r="J610" s="18">
        <f t="shared" si="66"/>
        <v>0</v>
      </c>
      <c r="K610" s="14">
        <v>17.2</v>
      </c>
      <c r="L610" s="18">
        <f t="shared" si="67"/>
        <v>17.2</v>
      </c>
      <c r="M610" s="18">
        <f t="shared" si="68"/>
        <v>0</v>
      </c>
      <c r="N610" s="15">
        <f t="shared" si="69"/>
        <v>122.12</v>
      </c>
      <c r="O610" s="15">
        <f>+N610-P610</f>
        <v>122.12</v>
      </c>
      <c r="P610" s="15">
        <f>+IF(N610&gt;D610,N610-D610,0)</f>
        <v>0</v>
      </c>
      <c r="Q610" s="5">
        <f>+IF(P610=0,P610,P610/N610)</f>
        <v>0</v>
      </c>
    </row>
    <row r="611" spans="1:17" x14ac:dyDescent="0.25">
      <c r="A611" s="7">
        <v>46260.375</v>
      </c>
      <c r="B611" s="6">
        <v>1215.9000000000001</v>
      </c>
      <c r="C611" s="13">
        <v>1.44</v>
      </c>
      <c r="D611" s="18">
        <f>+B611+C611</f>
        <v>1217.3400000000001</v>
      </c>
      <c r="E611" s="14">
        <v>0</v>
      </c>
      <c r="F611" s="18">
        <f t="shared" si="63"/>
        <v>0</v>
      </c>
      <c r="G611" s="18">
        <f t="shared" si="64"/>
        <v>0</v>
      </c>
      <c r="H611" s="14">
        <v>50.319999999999993</v>
      </c>
      <c r="I611" s="18">
        <f t="shared" si="65"/>
        <v>50.319999999999993</v>
      </c>
      <c r="J611" s="18">
        <f t="shared" si="66"/>
        <v>0</v>
      </c>
      <c r="K611" s="14">
        <v>72.88</v>
      </c>
      <c r="L611" s="18">
        <f t="shared" si="67"/>
        <v>72.88</v>
      </c>
      <c r="M611" s="18">
        <f t="shared" si="68"/>
        <v>0</v>
      </c>
      <c r="N611" s="15">
        <f t="shared" si="69"/>
        <v>123.19999999999999</v>
      </c>
      <c r="O611" s="15">
        <f>+N611-P611</f>
        <v>123.19999999999999</v>
      </c>
      <c r="P611" s="15">
        <f>+IF(N611&gt;D611,N611-D611,0)</f>
        <v>0</v>
      </c>
      <c r="Q611" s="5">
        <f>+IF(P611=0,P611,P611/N611)</f>
        <v>0</v>
      </c>
    </row>
    <row r="612" spans="1:17" x14ac:dyDescent="0.25">
      <c r="A612" s="7">
        <v>46260.416666666664</v>
      </c>
      <c r="B612" s="6">
        <v>1603.35</v>
      </c>
      <c r="C612" s="13">
        <v>11.76</v>
      </c>
      <c r="D612" s="18">
        <f>+B612+C612</f>
        <v>1615.11</v>
      </c>
      <c r="E612" s="14">
        <v>0</v>
      </c>
      <c r="F612" s="18">
        <f t="shared" si="63"/>
        <v>0</v>
      </c>
      <c r="G612" s="18">
        <f t="shared" si="64"/>
        <v>0</v>
      </c>
      <c r="H612" s="14">
        <v>14.92</v>
      </c>
      <c r="I612" s="18">
        <f t="shared" si="65"/>
        <v>14.92</v>
      </c>
      <c r="J612" s="18">
        <f t="shared" si="66"/>
        <v>0</v>
      </c>
      <c r="K612" s="14">
        <v>64.240000000000009</v>
      </c>
      <c r="L612" s="18">
        <f t="shared" si="67"/>
        <v>64.240000000000009</v>
      </c>
      <c r="M612" s="18">
        <f t="shared" si="68"/>
        <v>0</v>
      </c>
      <c r="N612" s="15">
        <f t="shared" si="69"/>
        <v>79.160000000000011</v>
      </c>
      <c r="O612" s="15">
        <f>+N612-P612</f>
        <v>79.160000000000011</v>
      </c>
      <c r="P612" s="15">
        <f>+IF(N612&gt;D612,N612-D612,0)</f>
        <v>0</v>
      </c>
      <c r="Q612" s="5">
        <f>+IF(P612=0,P612,P612/N612)</f>
        <v>0</v>
      </c>
    </row>
    <row r="613" spans="1:17" x14ac:dyDescent="0.25">
      <c r="A613" s="7">
        <v>46260.458333333336</v>
      </c>
      <c r="B613" s="6">
        <v>1908.9</v>
      </c>
      <c r="C613" s="13">
        <v>10.44</v>
      </c>
      <c r="D613" s="18">
        <f>+B613+C613</f>
        <v>1919.3400000000001</v>
      </c>
      <c r="E613" s="14">
        <v>0</v>
      </c>
      <c r="F613" s="18">
        <f t="shared" si="63"/>
        <v>0</v>
      </c>
      <c r="G613" s="18">
        <f t="shared" si="64"/>
        <v>0</v>
      </c>
      <c r="H613" s="14">
        <v>16.72</v>
      </c>
      <c r="I613" s="18">
        <f t="shared" si="65"/>
        <v>16.72</v>
      </c>
      <c r="J613" s="18">
        <f t="shared" si="66"/>
        <v>0</v>
      </c>
      <c r="K613" s="14">
        <v>27.279999999999998</v>
      </c>
      <c r="L613" s="18">
        <f t="shared" si="67"/>
        <v>27.279999999999998</v>
      </c>
      <c r="M613" s="18">
        <f t="shared" si="68"/>
        <v>0</v>
      </c>
      <c r="N613" s="15">
        <f t="shared" si="69"/>
        <v>44</v>
      </c>
      <c r="O613" s="15">
        <f>+N613-P613</f>
        <v>44</v>
      </c>
      <c r="P613" s="15">
        <f>+IF(N613&gt;D613,N613-D613,0)</f>
        <v>0</v>
      </c>
      <c r="Q613" s="5">
        <f>+IF(P613=0,P613,P613/N613)</f>
        <v>0</v>
      </c>
    </row>
    <row r="614" spans="1:17" x14ac:dyDescent="0.25">
      <c r="A614" s="7">
        <v>46260.5</v>
      </c>
      <c r="B614" s="6">
        <v>2447.5500000000002</v>
      </c>
      <c r="C614" s="13">
        <v>22.44</v>
      </c>
      <c r="D614" s="18">
        <f>+B614+C614</f>
        <v>2469.9900000000002</v>
      </c>
      <c r="E614" s="14">
        <v>0</v>
      </c>
      <c r="F614" s="18">
        <f t="shared" si="63"/>
        <v>0</v>
      </c>
      <c r="G614" s="18">
        <f t="shared" si="64"/>
        <v>0</v>
      </c>
      <c r="H614" s="14">
        <v>17.440000000000001</v>
      </c>
      <c r="I614" s="18">
        <f t="shared" si="65"/>
        <v>17.440000000000001</v>
      </c>
      <c r="J614" s="18">
        <f t="shared" si="66"/>
        <v>0</v>
      </c>
      <c r="K614" s="14">
        <v>36.4</v>
      </c>
      <c r="L614" s="18">
        <f t="shared" si="67"/>
        <v>36.4</v>
      </c>
      <c r="M614" s="18">
        <f t="shared" si="68"/>
        <v>0</v>
      </c>
      <c r="N614" s="15">
        <f t="shared" si="69"/>
        <v>53.84</v>
      </c>
      <c r="O614" s="15">
        <f>+N614-P614</f>
        <v>53.84</v>
      </c>
      <c r="P614" s="15">
        <f>+IF(N614&gt;D614,N614-D614,0)</f>
        <v>0</v>
      </c>
      <c r="Q614" s="5">
        <f>+IF(P614=0,P614,P614/N614)</f>
        <v>0</v>
      </c>
    </row>
    <row r="615" spans="1:17" x14ac:dyDescent="0.25">
      <c r="A615" s="7">
        <v>46260.541666666664</v>
      </c>
      <c r="B615" s="6">
        <v>2497.9499999999998</v>
      </c>
      <c r="C615" s="13">
        <v>7.2</v>
      </c>
      <c r="D615" s="18">
        <f>+B615+C615</f>
        <v>2505.1499999999996</v>
      </c>
      <c r="E615" s="14">
        <v>0</v>
      </c>
      <c r="F615" s="18">
        <f t="shared" si="63"/>
        <v>0</v>
      </c>
      <c r="G615" s="18">
        <f t="shared" si="64"/>
        <v>0</v>
      </c>
      <c r="H615" s="14">
        <v>33.64</v>
      </c>
      <c r="I615" s="18">
        <f t="shared" si="65"/>
        <v>33.64</v>
      </c>
      <c r="J615" s="18">
        <f t="shared" si="66"/>
        <v>0</v>
      </c>
      <c r="K615" s="14">
        <v>29.32</v>
      </c>
      <c r="L615" s="18">
        <f t="shared" si="67"/>
        <v>29.32</v>
      </c>
      <c r="M615" s="18">
        <f t="shared" si="68"/>
        <v>0</v>
      </c>
      <c r="N615" s="15">
        <f t="shared" si="69"/>
        <v>62.96</v>
      </c>
      <c r="O615" s="15">
        <f>+N615-P615</f>
        <v>62.96</v>
      </c>
      <c r="P615" s="15">
        <f>+IF(N615&gt;D615,N615-D615,0)</f>
        <v>0</v>
      </c>
      <c r="Q615" s="5">
        <f>+IF(P615=0,P615,P615/N615)</f>
        <v>0</v>
      </c>
    </row>
    <row r="616" spans="1:17" x14ac:dyDescent="0.25">
      <c r="A616" s="7">
        <v>46260.583333333336</v>
      </c>
      <c r="B616" s="6">
        <v>2000.25</v>
      </c>
      <c r="C616" s="13">
        <v>4.2</v>
      </c>
      <c r="D616" s="18">
        <f>+B616+C616</f>
        <v>2004.45</v>
      </c>
      <c r="E616" s="14">
        <v>0</v>
      </c>
      <c r="F616" s="18">
        <f t="shared" si="63"/>
        <v>0</v>
      </c>
      <c r="G616" s="18">
        <f t="shared" si="64"/>
        <v>0</v>
      </c>
      <c r="H616" s="14">
        <v>53.56</v>
      </c>
      <c r="I616" s="18">
        <f t="shared" si="65"/>
        <v>53.56</v>
      </c>
      <c r="J616" s="18">
        <f t="shared" si="66"/>
        <v>0</v>
      </c>
      <c r="K616" s="14">
        <v>32.919999999999995</v>
      </c>
      <c r="L616" s="18">
        <f t="shared" si="67"/>
        <v>32.919999999999995</v>
      </c>
      <c r="M616" s="18">
        <f t="shared" si="68"/>
        <v>0</v>
      </c>
      <c r="N616" s="15">
        <f t="shared" si="69"/>
        <v>86.47999999999999</v>
      </c>
      <c r="O616" s="15">
        <f>+N616-P616</f>
        <v>86.47999999999999</v>
      </c>
      <c r="P616" s="15">
        <f>+IF(N616&gt;D616,N616-D616,0)</f>
        <v>0</v>
      </c>
      <c r="Q616" s="5">
        <f>+IF(P616=0,P616,P616/N616)</f>
        <v>0</v>
      </c>
    </row>
    <row r="617" spans="1:17" x14ac:dyDescent="0.25">
      <c r="A617" s="7">
        <v>46260.625</v>
      </c>
      <c r="B617" s="6">
        <v>1552.95</v>
      </c>
      <c r="C617" s="13">
        <v>0.96</v>
      </c>
      <c r="D617" s="18">
        <f>+B617+C617</f>
        <v>1553.91</v>
      </c>
      <c r="E617" s="14">
        <v>0</v>
      </c>
      <c r="F617" s="18">
        <f t="shared" si="63"/>
        <v>0</v>
      </c>
      <c r="G617" s="18">
        <f t="shared" si="64"/>
        <v>0</v>
      </c>
      <c r="H617" s="14">
        <v>60.28</v>
      </c>
      <c r="I617" s="18">
        <f t="shared" si="65"/>
        <v>60.28</v>
      </c>
      <c r="J617" s="18">
        <f t="shared" si="66"/>
        <v>0</v>
      </c>
      <c r="K617" s="14">
        <v>29.080000000000002</v>
      </c>
      <c r="L617" s="18">
        <f t="shared" si="67"/>
        <v>29.080000000000002</v>
      </c>
      <c r="M617" s="18">
        <f t="shared" si="68"/>
        <v>0</v>
      </c>
      <c r="N617" s="15">
        <f t="shared" si="69"/>
        <v>89.36</v>
      </c>
      <c r="O617" s="15">
        <f>+N617-P617</f>
        <v>89.36</v>
      </c>
      <c r="P617" s="15">
        <f>+IF(N617&gt;D617,N617-D617,0)</f>
        <v>0</v>
      </c>
      <c r="Q617" s="5">
        <f>+IF(P617=0,P617,P617/N617)</f>
        <v>0</v>
      </c>
    </row>
    <row r="618" spans="1:17" x14ac:dyDescent="0.25">
      <c r="A618" s="7">
        <v>46260.666666666664</v>
      </c>
      <c r="B618" s="6">
        <v>733.95</v>
      </c>
      <c r="C618" s="13">
        <v>0</v>
      </c>
      <c r="D618" s="18">
        <f>+B618+C618</f>
        <v>733.95</v>
      </c>
      <c r="E618" s="14">
        <v>0</v>
      </c>
      <c r="F618" s="18">
        <f t="shared" si="63"/>
        <v>0</v>
      </c>
      <c r="G618" s="18">
        <f t="shared" si="64"/>
        <v>0</v>
      </c>
      <c r="H618" s="14">
        <v>75.399999999999991</v>
      </c>
      <c r="I618" s="18">
        <f t="shared" si="65"/>
        <v>75.399999999999991</v>
      </c>
      <c r="J618" s="18">
        <f t="shared" si="66"/>
        <v>0</v>
      </c>
      <c r="K618" s="14">
        <v>28</v>
      </c>
      <c r="L618" s="18">
        <f t="shared" si="67"/>
        <v>28</v>
      </c>
      <c r="M618" s="18">
        <f t="shared" si="68"/>
        <v>0</v>
      </c>
      <c r="N618" s="15">
        <f t="shared" si="69"/>
        <v>103.39999999999999</v>
      </c>
      <c r="O618" s="15">
        <f>+N618-P618</f>
        <v>103.39999999999999</v>
      </c>
      <c r="P618" s="15">
        <f>+IF(N618&gt;D618,N618-D618,0)</f>
        <v>0</v>
      </c>
      <c r="Q618" s="5">
        <f>+IF(P618=0,P618,P618/N618)</f>
        <v>0</v>
      </c>
    </row>
    <row r="619" spans="1:17" x14ac:dyDescent="0.25">
      <c r="A619" s="7">
        <v>46260.708333333336</v>
      </c>
      <c r="B619" s="6">
        <v>44.1</v>
      </c>
      <c r="C619" s="13">
        <v>0</v>
      </c>
      <c r="D619" s="18">
        <f>+B619+C619</f>
        <v>44.1</v>
      </c>
      <c r="E619" s="14">
        <v>226.77600000000001</v>
      </c>
      <c r="F619" s="18">
        <f t="shared" si="63"/>
        <v>34.776273402509247</v>
      </c>
      <c r="G619" s="18">
        <f t="shared" si="64"/>
        <v>191.99972659749076</v>
      </c>
      <c r="H619" s="14">
        <v>41.8</v>
      </c>
      <c r="I619" s="18">
        <f t="shared" si="65"/>
        <v>6.4100620357748852</v>
      </c>
      <c r="J619" s="18">
        <f t="shared" si="66"/>
        <v>35.389937964225112</v>
      </c>
      <c r="K619" s="14">
        <v>19</v>
      </c>
      <c r="L619" s="18">
        <f t="shared" si="67"/>
        <v>2.9136645617158585</v>
      </c>
      <c r="M619" s="18">
        <f t="shared" si="68"/>
        <v>16.086335438284141</v>
      </c>
      <c r="N619" s="15">
        <f t="shared" si="69"/>
        <v>287.57600000000002</v>
      </c>
      <c r="O619" s="15">
        <f>+N619-P619</f>
        <v>44.099999999999994</v>
      </c>
      <c r="P619" s="15">
        <f>+IF(N619&gt;D619,N619-D619,0)</f>
        <v>243.47600000000003</v>
      </c>
      <c r="Q619" s="5">
        <f>+IF(P619=0,P619,P619/N619)</f>
        <v>0.84664923359390221</v>
      </c>
    </row>
    <row r="620" spans="1:17" x14ac:dyDescent="0.25">
      <c r="A620" s="7">
        <v>46260.75</v>
      </c>
      <c r="B620" s="6">
        <v>12.6</v>
      </c>
      <c r="C620" s="13">
        <v>0</v>
      </c>
      <c r="D620" s="18">
        <f>+B620+C620</f>
        <v>12.6</v>
      </c>
      <c r="E620" s="14">
        <v>122.837</v>
      </c>
      <c r="F620" s="18">
        <f t="shared" si="63"/>
        <v>7.8391902227039481</v>
      </c>
      <c r="G620" s="18">
        <f t="shared" si="64"/>
        <v>114.99780977729606</v>
      </c>
      <c r="H620" s="14">
        <v>58.96</v>
      </c>
      <c r="I620" s="18">
        <f t="shared" si="65"/>
        <v>3.762698987525134</v>
      </c>
      <c r="J620" s="18">
        <f t="shared" si="66"/>
        <v>55.197301012474867</v>
      </c>
      <c r="K620" s="14">
        <v>15.64</v>
      </c>
      <c r="L620" s="18">
        <f t="shared" si="67"/>
        <v>0.99811078977091405</v>
      </c>
      <c r="M620" s="18">
        <f t="shared" si="68"/>
        <v>14.641889210229087</v>
      </c>
      <c r="N620" s="15">
        <f t="shared" si="69"/>
        <v>197.43700000000001</v>
      </c>
      <c r="O620" s="15">
        <f>+N620-P620</f>
        <v>12.599999999999994</v>
      </c>
      <c r="P620" s="15">
        <f>+IF(N620&gt;D620,N620-D620,0)</f>
        <v>184.83700000000002</v>
      </c>
      <c r="Q620" s="5">
        <f>+IF(P620=0,P620,P620/N620)</f>
        <v>0.93618217456707709</v>
      </c>
    </row>
    <row r="621" spans="1:17" x14ac:dyDescent="0.25">
      <c r="A621" s="7">
        <v>46260.791666666664</v>
      </c>
      <c r="B621" s="6">
        <v>0</v>
      </c>
      <c r="C621" s="13">
        <v>0</v>
      </c>
      <c r="D621" s="18">
        <f>+B621+C621</f>
        <v>0</v>
      </c>
      <c r="E621" s="14">
        <v>40.946000000000005</v>
      </c>
      <c r="F621" s="18">
        <f t="shared" si="63"/>
        <v>0</v>
      </c>
      <c r="G621" s="18">
        <f t="shared" si="64"/>
        <v>40.946000000000005</v>
      </c>
      <c r="H621" s="14">
        <v>84.88</v>
      </c>
      <c r="I621" s="18">
        <f t="shared" si="65"/>
        <v>0</v>
      </c>
      <c r="J621" s="18">
        <f t="shared" si="66"/>
        <v>84.88</v>
      </c>
      <c r="K621" s="14">
        <v>7.24</v>
      </c>
      <c r="L621" s="18">
        <f t="shared" si="67"/>
        <v>0</v>
      </c>
      <c r="M621" s="18">
        <f t="shared" si="68"/>
        <v>7.24</v>
      </c>
      <c r="N621" s="15">
        <f t="shared" si="69"/>
        <v>133.066</v>
      </c>
      <c r="O621" s="15">
        <f>+N621-P621</f>
        <v>0</v>
      </c>
      <c r="P621" s="15">
        <f>+IF(N621&gt;D621,N621-D621,0)</f>
        <v>133.066</v>
      </c>
      <c r="Q621" s="5">
        <f>+IF(P621=0,P621,P621/N621)</f>
        <v>1</v>
      </c>
    </row>
    <row r="622" spans="1:17" x14ac:dyDescent="0.25">
      <c r="A622" s="7">
        <v>46260.833333333336</v>
      </c>
      <c r="B622" s="6">
        <v>0</v>
      </c>
      <c r="C622" s="13">
        <v>0</v>
      </c>
      <c r="D622" s="18">
        <f>+B622+C622</f>
        <v>0</v>
      </c>
      <c r="E622" s="14">
        <v>847.25900000000001</v>
      </c>
      <c r="F622" s="18">
        <f t="shared" si="63"/>
        <v>0</v>
      </c>
      <c r="G622" s="18">
        <f t="shared" si="64"/>
        <v>847.25900000000001</v>
      </c>
      <c r="H622" s="14">
        <v>132.88</v>
      </c>
      <c r="I622" s="18">
        <f t="shared" si="65"/>
        <v>0</v>
      </c>
      <c r="J622" s="18">
        <f t="shared" si="66"/>
        <v>132.88</v>
      </c>
      <c r="K622" s="14">
        <v>2.44</v>
      </c>
      <c r="L622" s="18">
        <f t="shared" si="67"/>
        <v>0</v>
      </c>
      <c r="M622" s="18">
        <f t="shared" si="68"/>
        <v>2.44</v>
      </c>
      <c r="N622" s="15">
        <f t="shared" si="69"/>
        <v>982.57900000000006</v>
      </c>
      <c r="O622" s="15">
        <f>+N622-P622</f>
        <v>0</v>
      </c>
      <c r="P622" s="15">
        <f>+IF(N622&gt;D622,N622-D622,0)</f>
        <v>982.57900000000006</v>
      </c>
      <c r="Q622" s="5">
        <f>+IF(P622=0,P622,P622/N622)</f>
        <v>1</v>
      </c>
    </row>
    <row r="623" spans="1:17" x14ac:dyDescent="0.25">
      <c r="A623" s="7">
        <v>46260.875</v>
      </c>
      <c r="B623" s="6">
        <v>0</v>
      </c>
      <c r="C623" s="13">
        <v>0</v>
      </c>
      <c r="D623" s="18">
        <f>+B623+C623</f>
        <v>0</v>
      </c>
      <c r="E623" s="14">
        <v>970.09500000000003</v>
      </c>
      <c r="F623" s="18">
        <f t="shared" si="63"/>
        <v>0</v>
      </c>
      <c r="G623" s="18">
        <f t="shared" si="64"/>
        <v>970.09500000000003</v>
      </c>
      <c r="H623" s="14">
        <v>111.88</v>
      </c>
      <c r="I623" s="18">
        <f t="shared" si="65"/>
        <v>0</v>
      </c>
      <c r="J623" s="18">
        <f t="shared" si="66"/>
        <v>111.88</v>
      </c>
      <c r="K623" s="14">
        <v>2.92</v>
      </c>
      <c r="L623" s="18">
        <f t="shared" si="67"/>
        <v>0</v>
      </c>
      <c r="M623" s="18">
        <f t="shared" si="68"/>
        <v>2.92</v>
      </c>
      <c r="N623" s="15">
        <f t="shared" si="69"/>
        <v>1084.895</v>
      </c>
      <c r="O623" s="15">
        <f>+N623-P623</f>
        <v>0</v>
      </c>
      <c r="P623" s="15">
        <f>+IF(N623&gt;D623,N623-D623,0)</f>
        <v>1084.895</v>
      </c>
      <c r="Q623" s="5">
        <f>+IF(P623=0,P623,P623/N623)</f>
        <v>1</v>
      </c>
    </row>
    <row r="624" spans="1:17" x14ac:dyDescent="0.25">
      <c r="A624" s="7">
        <v>46260.916666666664</v>
      </c>
      <c r="B624" s="6">
        <v>0</v>
      </c>
      <c r="C624" s="13">
        <v>0</v>
      </c>
      <c r="D624" s="18">
        <f>+B624+C624</f>
        <v>0</v>
      </c>
      <c r="E624" s="14">
        <v>1026.9179999999999</v>
      </c>
      <c r="F624" s="18">
        <f t="shared" si="63"/>
        <v>0</v>
      </c>
      <c r="G624" s="18">
        <f t="shared" si="64"/>
        <v>1026.9179999999999</v>
      </c>
      <c r="H624" s="14">
        <v>99.64</v>
      </c>
      <c r="I624" s="18">
        <f t="shared" si="65"/>
        <v>0</v>
      </c>
      <c r="J624" s="18">
        <f t="shared" si="66"/>
        <v>99.64</v>
      </c>
      <c r="K624" s="14">
        <v>2.8</v>
      </c>
      <c r="L624" s="18">
        <f t="shared" si="67"/>
        <v>0</v>
      </c>
      <c r="M624" s="18">
        <f t="shared" si="68"/>
        <v>2.8</v>
      </c>
      <c r="N624" s="15">
        <f t="shared" si="69"/>
        <v>1129.3579999999999</v>
      </c>
      <c r="O624" s="15">
        <f>+N624-P624</f>
        <v>0</v>
      </c>
      <c r="P624" s="15">
        <f>+IF(N624&gt;D624,N624-D624,0)</f>
        <v>1129.3579999999999</v>
      </c>
      <c r="Q624" s="5">
        <f>+IF(P624=0,P624,P624/N624)</f>
        <v>1</v>
      </c>
    </row>
    <row r="625" spans="1:17" x14ac:dyDescent="0.25">
      <c r="A625" s="7">
        <v>46260.958333333336</v>
      </c>
      <c r="B625" s="6">
        <v>0</v>
      </c>
      <c r="C625" s="13">
        <v>0</v>
      </c>
      <c r="D625" s="18">
        <f>+B625+C625</f>
        <v>0</v>
      </c>
      <c r="E625" s="14">
        <v>885.16499999999996</v>
      </c>
      <c r="F625" s="18">
        <f t="shared" si="63"/>
        <v>0</v>
      </c>
      <c r="G625" s="18">
        <f t="shared" si="64"/>
        <v>885.16499999999996</v>
      </c>
      <c r="H625" s="14">
        <v>97.84</v>
      </c>
      <c r="I625" s="18">
        <f t="shared" si="65"/>
        <v>0</v>
      </c>
      <c r="J625" s="18">
        <f t="shared" si="66"/>
        <v>97.84</v>
      </c>
      <c r="K625" s="14">
        <v>2.8</v>
      </c>
      <c r="L625" s="18">
        <f t="shared" si="67"/>
        <v>0</v>
      </c>
      <c r="M625" s="18">
        <f t="shared" si="68"/>
        <v>2.8</v>
      </c>
      <c r="N625" s="15">
        <f t="shared" si="69"/>
        <v>985.80499999999995</v>
      </c>
      <c r="O625" s="15">
        <f>+N625-P625</f>
        <v>0</v>
      </c>
      <c r="P625" s="15">
        <f>+IF(N625&gt;D625,N625-D625,0)</f>
        <v>985.80499999999995</v>
      </c>
      <c r="Q625" s="5">
        <f>+IF(P625=0,P625,P625/N625)</f>
        <v>1</v>
      </c>
    </row>
    <row r="626" spans="1:17" x14ac:dyDescent="0.25">
      <c r="A626" s="7">
        <v>46261</v>
      </c>
      <c r="B626" s="6">
        <v>0</v>
      </c>
      <c r="C626" s="13">
        <v>0</v>
      </c>
      <c r="D626" s="18">
        <f>+B626+C626</f>
        <v>0</v>
      </c>
      <c r="E626" s="14">
        <v>945.01599999999996</v>
      </c>
      <c r="F626" s="18">
        <f t="shared" si="63"/>
        <v>0</v>
      </c>
      <c r="G626" s="18">
        <f t="shared" si="64"/>
        <v>945.01599999999996</v>
      </c>
      <c r="H626" s="14">
        <v>125.08</v>
      </c>
      <c r="I626" s="18">
        <f t="shared" si="65"/>
        <v>0</v>
      </c>
      <c r="J626" s="18">
        <f t="shared" si="66"/>
        <v>125.08</v>
      </c>
      <c r="K626" s="14">
        <v>2.8</v>
      </c>
      <c r="L626" s="18">
        <f t="shared" si="67"/>
        <v>0</v>
      </c>
      <c r="M626" s="18">
        <f t="shared" si="68"/>
        <v>2.8</v>
      </c>
      <c r="N626" s="15">
        <f t="shared" si="69"/>
        <v>1072.896</v>
      </c>
      <c r="O626" s="15">
        <f>+N626-P626</f>
        <v>0</v>
      </c>
      <c r="P626" s="15">
        <f>+IF(N626&gt;D626,N626-D626,0)</f>
        <v>1072.896</v>
      </c>
      <c r="Q626" s="5">
        <f>+IF(P626=0,P626,P626/N626)</f>
        <v>1</v>
      </c>
    </row>
    <row r="627" spans="1:17" x14ac:dyDescent="0.25">
      <c r="A627" s="7">
        <v>46261.041666666664</v>
      </c>
      <c r="B627" s="6">
        <v>0</v>
      </c>
      <c r="C627" s="13">
        <v>0</v>
      </c>
      <c r="D627" s="18">
        <f>+B627+C627</f>
        <v>0</v>
      </c>
      <c r="E627" s="14">
        <v>31.501000000000001</v>
      </c>
      <c r="F627" s="18">
        <f t="shared" si="63"/>
        <v>0</v>
      </c>
      <c r="G627" s="18">
        <f t="shared" si="64"/>
        <v>31.501000000000001</v>
      </c>
      <c r="H627" s="14">
        <v>101.8</v>
      </c>
      <c r="I627" s="18">
        <f t="shared" si="65"/>
        <v>0</v>
      </c>
      <c r="J627" s="18">
        <f t="shared" si="66"/>
        <v>101.8</v>
      </c>
      <c r="K627" s="14">
        <v>2.8</v>
      </c>
      <c r="L627" s="18">
        <f t="shared" si="67"/>
        <v>0</v>
      </c>
      <c r="M627" s="18">
        <f t="shared" si="68"/>
        <v>2.8</v>
      </c>
      <c r="N627" s="15">
        <f t="shared" si="69"/>
        <v>136.101</v>
      </c>
      <c r="O627" s="15">
        <f>+N627-P627</f>
        <v>0</v>
      </c>
      <c r="P627" s="15">
        <f>+IF(N627&gt;D627,N627-D627,0)</f>
        <v>136.101</v>
      </c>
      <c r="Q627" s="5">
        <f>+IF(P627=0,P627,P627/N627)</f>
        <v>1</v>
      </c>
    </row>
    <row r="628" spans="1:17" x14ac:dyDescent="0.25">
      <c r="A628" s="7">
        <v>46261.083333333336</v>
      </c>
      <c r="B628" s="6">
        <v>0</v>
      </c>
      <c r="C628" s="13">
        <v>0</v>
      </c>
      <c r="D628" s="18">
        <f>+B628+C628</f>
        <v>0</v>
      </c>
      <c r="E628" s="14">
        <v>894.61599999999999</v>
      </c>
      <c r="F628" s="18">
        <f t="shared" si="63"/>
        <v>0</v>
      </c>
      <c r="G628" s="18">
        <f t="shared" si="64"/>
        <v>894.61599999999999</v>
      </c>
      <c r="H628" s="14">
        <v>109.24000000000001</v>
      </c>
      <c r="I628" s="18">
        <f t="shared" si="65"/>
        <v>0</v>
      </c>
      <c r="J628" s="18">
        <f t="shared" si="66"/>
        <v>109.24000000000001</v>
      </c>
      <c r="K628" s="14">
        <v>2.92</v>
      </c>
      <c r="L628" s="18">
        <f t="shared" si="67"/>
        <v>0</v>
      </c>
      <c r="M628" s="18">
        <f t="shared" si="68"/>
        <v>2.92</v>
      </c>
      <c r="N628" s="15">
        <f t="shared" si="69"/>
        <v>1006.776</v>
      </c>
      <c r="O628" s="15">
        <f>+N628-P628</f>
        <v>0</v>
      </c>
      <c r="P628" s="15">
        <f>+IF(N628&gt;D628,N628-D628,0)</f>
        <v>1006.776</v>
      </c>
      <c r="Q628" s="5">
        <f>+IF(P628=0,P628,P628/N628)</f>
        <v>1</v>
      </c>
    </row>
    <row r="629" spans="1:17" x14ac:dyDescent="0.25">
      <c r="A629" s="7">
        <v>46261.125</v>
      </c>
      <c r="B629" s="6">
        <v>0</v>
      </c>
      <c r="C629" s="13">
        <v>0</v>
      </c>
      <c r="D629" s="18">
        <f>+B629+C629</f>
        <v>0</v>
      </c>
      <c r="E629" s="14">
        <v>954.46699999999998</v>
      </c>
      <c r="F629" s="18">
        <f t="shared" si="63"/>
        <v>0</v>
      </c>
      <c r="G629" s="18">
        <f t="shared" si="64"/>
        <v>954.46699999999998</v>
      </c>
      <c r="H629" s="14">
        <v>75.64</v>
      </c>
      <c r="I629" s="18">
        <f t="shared" si="65"/>
        <v>0</v>
      </c>
      <c r="J629" s="18">
        <f t="shared" si="66"/>
        <v>75.64</v>
      </c>
      <c r="K629" s="14">
        <v>2.68</v>
      </c>
      <c r="L629" s="18">
        <f t="shared" si="67"/>
        <v>0</v>
      </c>
      <c r="M629" s="18">
        <f t="shared" si="68"/>
        <v>2.68</v>
      </c>
      <c r="N629" s="15">
        <f t="shared" si="69"/>
        <v>1032.787</v>
      </c>
      <c r="O629" s="15">
        <f>+N629-P629</f>
        <v>0</v>
      </c>
      <c r="P629" s="15">
        <f>+IF(N629&gt;D629,N629-D629,0)</f>
        <v>1032.787</v>
      </c>
      <c r="Q629" s="5">
        <f>+IF(P629=0,P629,P629/N629)</f>
        <v>1</v>
      </c>
    </row>
    <row r="630" spans="1:17" x14ac:dyDescent="0.25">
      <c r="A630" s="7">
        <v>46261.166666666664</v>
      </c>
      <c r="B630" s="6">
        <v>0</v>
      </c>
      <c r="C630" s="13">
        <v>0</v>
      </c>
      <c r="D630" s="18">
        <f>+B630+C630</f>
        <v>0</v>
      </c>
      <c r="E630" s="14">
        <v>945.01599999999996</v>
      </c>
      <c r="F630" s="18">
        <f t="shared" si="63"/>
        <v>0</v>
      </c>
      <c r="G630" s="18">
        <f t="shared" si="64"/>
        <v>945.01599999999996</v>
      </c>
      <c r="H630" s="14">
        <v>68.08</v>
      </c>
      <c r="I630" s="18">
        <f t="shared" si="65"/>
        <v>0</v>
      </c>
      <c r="J630" s="18">
        <f t="shared" si="66"/>
        <v>68.08</v>
      </c>
      <c r="K630" s="14">
        <v>2.92</v>
      </c>
      <c r="L630" s="18">
        <f t="shared" si="67"/>
        <v>0</v>
      </c>
      <c r="M630" s="18">
        <f t="shared" si="68"/>
        <v>2.92</v>
      </c>
      <c r="N630" s="15">
        <f t="shared" si="69"/>
        <v>1016.016</v>
      </c>
      <c r="O630" s="15">
        <f>+N630-P630</f>
        <v>0</v>
      </c>
      <c r="P630" s="15">
        <f>+IF(N630&gt;D630,N630-D630,0)</f>
        <v>1016.016</v>
      </c>
      <c r="Q630" s="5">
        <f>+IF(P630=0,P630,P630/N630)</f>
        <v>1</v>
      </c>
    </row>
    <row r="631" spans="1:17" x14ac:dyDescent="0.25">
      <c r="A631" s="7">
        <v>46261.208333333336</v>
      </c>
      <c r="B631" s="6">
        <v>0</v>
      </c>
      <c r="C631" s="13">
        <v>0</v>
      </c>
      <c r="D631" s="18">
        <f>+B631+C631</f>
        <v>0</v>
      </c>
      <c r="E631" s="14">
        <v>910.36599999999999</v>
      </c>
      <c r="F631" s="18">
        <f t="shared" si="63"/>
        <v>0</v>
      </c>
      <c r="G631" s="18">
        <f t="shared" si="64"/>
        <v>910.36599999999999</v>
      </c>
      <c r="H631" s="14">
        <v>51.52</v>
      </c>
      <c r="I631" s="18">
        <f t="shared" si="65"/>
        <v>0</v>
      </c>
      <c r="J631" s="18">
        <f t="shared" si="66"/>
        <v>51.52</v>
      </c>
      <c r="K631" s="14">
        <v>2.8</v>
      </c>
      <c r="L631" s="18">
        <f t="shared" si="67"/>
        <v>0</v>
      </c>
      <c r="M631" s="18">
        <f t="shared" si="68"/>
        <v>2.8</v>
      </c>
      <c r="N631" s="15">
        <f t="shared" si="69"/>
        <v>964.68599999999992</v>
      </c>
      <c r="O631" s="15">
        <f>+N631-P631</f>
        <v>0</v>
      </c>
      <c r="P631" s="15">
        <f>+IF(N631&gt;D631,N631-D631,0)</f>
        <v>964.68599999999992</v>
      </c>
      <c r="Q631" s="5">
        <f>+IF(P631=0,P631,P631/N631)</f>
        <v>1</v>
      </c>
    </row>
    <row r="632" spans="1:17" x14ac:dyDescent="0.25">
      <c r="A632" s="7">
        <v>46261.25</v>
      </c>
      <c r="B632" s="6">
        <v>37.799999999999997</v>
      </c>
      <c r="C632" s="13">
        <v>0</v>
      </c>
      <c r="D632" s="18">
        <f>+B632+C632</f>
        <v>37.799999999999997</v>
      </c>
      <c r="E632" s="14">
        <v>6.3</v>
      </c>
      <c r="F632" s="18">
        <f t="shared" si="63"/>
        <v>5.0474777448071215</v>
      </c>
      <c r="G632" s="18">
        <f t="shared" si="64"/>
        <v>1.2525222551928787</v>
      </c>
      <c r="H632" s="14">
        <v>37</v>
      </c>
      <c r="I632" s="18">
        <f t="shared" si="65"/>
        <v>29.643916913946583</v>
      </c>
      <c r="J632" s="18">
        <f t="shared" si="66"/>
        <v>7.356083086053415</v>
      </c>
      <c r="K632" s="14">
        <v>3.8800000000000003</v>
      </c>
      <c r="L632" s="18">
        <f t="shared" si="67"/>
        <v>3.1086053412462906</v>
      </c>
      <c r="M632" s="18">
        <f t="shared" si="68"/>
        <v>0.77139465875370949</v>
      </c>
      <c r="N632" s="15">
        <f t="shared" si="69"/>
        <v>47.18</v>
      </c>
      <c r="O632" s="15">
        <f>+N632-P632</f>
        <v>37.799999999999997</v>
      </c>
      <c r="P632" s="15">
        <f>+IF(N632&gt;D632,N632-D632,0)</f>
        <v>9.3800000000000026</v>
      </c>
      <c r="Q632" s="5">
        <f>+IF(P632=0,P632,P632/N632)</f>
        <v>0.19881305637982202</v>
      </c>
    </row>
    <row r="633" spans="1:17" x14ac:dyDescent="0.25">
      <c r="A633" s="7">
        <v>46261.291666666664</v>
      </c>
      <c r="B633" s="6">
        <v>463.05</v>
      </c>
      <c r="C633" s="13">
        <v>1.68</v>
      </c>
      <c r="D633" s="18">
        <f>+B633+C633</f>
        <v>464.73</v>
      </c>
      <c r="E633" s="14">
        <v>0</v>
      </c>
      <c r="F633" s="18">
        <f t="shared" si="63"/>
        <v>0</v>
      </c>
      <c r="G633" s="18">
        <f t="shared" si="64"/>
        <v>0</v>
      </c>
      <c r="H633" s="14">
        <v>25.24</v>
      </c>
      <c r="I633" s="18">
        <f t="shared" si="65"/>
        <v>25.24</v>
      </c>
      <c r="J633" s="18">
        <f t="shared" si="66"/>
        <v>0</v>
      </c>
      <c r="K633" s="14">
        <v>2.56</v>
      </c>
      <c r="L633" s="18">
        <f t="shared" si="67"/>
        <v>2.56</v>
      </c>
      <c r="M633" s="18">
        <f t="shared" si="68"/>
        <v>0</v>
      </c>
      <c r="N633" s="15">
        <f t="shared" si="69"/>
        <v>27.799999999999997</v>
      </c>
      <c r="O633" s="15">
        <f>+N633-P633</f>
        <v>27.799999999999997</v>
      </c>
      <c r="P633" s="15">
        <f>+IF(N633&gt;D633,N633-D633,0)</f>
        <v>0</v>
      </c>
      <c r="Q633" s="5">
        <f>+IF(P633=0,P633,P633/N633)</f>
        <v>0</v>
      </c>
    </row>
    <row r="634" spans="1:17" x14ac:dyDescent="0.25">
      <c r="A634" s="7">
        <v>46261.333333333336</v>
      </c>
      <c r="B634" s="6">
        <v>371.7</v>
      </c>
      <c r="C634" s="13">
        <v>0</v>
      </c>
      <c r="D634" s="18">
        <f>+B634+C634</f>
        <v>371.7</v>
      </c>
      <c r="E634" s="14">
        <v>12.6</v>
      </c>
      <c r="F634" s="18">
        <f t="shared" si="63"/>
        <v>12.6</v>
      </c>
      <c r="G634" s="18">
        <f t="shared" si="64"/>
        <v>0</v>
      </c>
      <c r="H634" s="14">
        <v>142.6</v>
      </c>
      <c r="I634" s="18">
        <f t="shared" si="65"/>
        <v>142.6</v>
      </c>
      <c r="J634" s="18">
        <f t="shared" si="66"/>
        <v>0</v>
      </c>
      <c r="K634" s="14">
        <v>2.44</v>
      </c>
      <c r="L634" s="18">
        <f t="shared" si="67"/>
        <v>2.44</v>
      </c>
      <c r="M634" s="18">
        <f t="shared" si="68"/>
        <v>0</v>
      </c>
      <c r="N634" s="15">
        <f t="shared" si="69"/>
        <v>157.63999999999999</v>
      </c>
      <c r="O634" s="15">
        <f>+N634-P634</f>
        <v>157.63999999999999</v>
      </c>
      <c r="P634" s="15">
        <f>+IF(N634&gt;D634,N634-D634,0)</f>
        <v>0</v>
      </c>
      <c r="Q634" s="5">
        <f>+IF(P634=0,P634,P634/N634)</f>
        <v>0</v>
      </c>
    </row>
    <row r="635" spans="1:17" x14ac:dyDescent="0.25">
      <c r="A635" s="7">
        <v>46261.375</v>
      </c>
      <c r="B635" s="6">
        <v>976.5</v>
      </c>
      <c r="C635" s="13">
        <v>2.4</v>
      </c>
      <c r="D635" s="18">
        <f>+B635+C635</f>
        <v>978.9</v>
      </c>
      <c r="E635" s="14">
        <v>0</v>
      </c>
      <c r="F635" s="18">
        <f t="shared" si="63"/>
        <v>0</v>
      </c>
      <c r="G635" s="18">
        <f t="shared" si="64"/>
        <v>0</v>
      </c>
      <c r="H635" s="14">
        <v>64.47999999999999</v>
      </c>
      <c r="I635" s="18">
        <f t="shared" si="65"/>
        <v>64.47999999999999</v>
      </c>
      <c r="J635" s="18">
        <f t="shared" si="66"/>
        <v>0</v>
      </c>
      <c r="K635" s="14">
        <v>2.44</v>
      </c>
      <c r="L635" s="18">
        <f t="shared" si="67"/>
        <v>2.44</v>
      </c>
      <c r="M635" s="18">
        <f t="shared" si="68"/>
        <v>0</v>
      </c>
      <c r="N635" s="15">
        <f t="shared" si="69"/>
        <v>66.919999999999987</v>
      </c>
      <c r="O635" s="15">
        <f>+N635-P635</f>
        <v>66.919999999999987</v>
      </c>
      <c r="P635" s="15">
        <f>+IF(N635&gt;D635,N635-D635,0)</f>
        <v>0</v>
      </c>
      <c r="Q635" s="5">
        <f>+IF(P635=0,P635,P635/N635)</f>
        <v>0</v>
      </c>
    </row>
    <row r="636" spans="1:17" x14ac:dyDescent="0.25">
      <c r="A636" s="7">
        <v>46261.416666666664</v>
      </c>
      <c r="B636" s="6">
        <v>1449</v>
      </c>
      <c r="C636" s="13">
        <v>10.08</v>
      </c>
      <c r="D636" s="18">
        <f>+B636+C636</f>
        <v>1459.08</v>
      </c>
      <c r="E636" s="14">
        <v>0</v>
      </c>
      <c r="F636" s="18">
        <f t="shared" si="63"/>
        <v>0</v>
      </c>
      <c r="G636" s="18">
        <f t="shared" si="64"/>
        <v>0</v>
      </c>
      <c r="H636" s="14">
        <v>27.400000000000002</v>
      </c>
      <c r="I636" s="18">
        <f t="shared" si="65"/>
        <v>27.400000000000002</v>
      </c>
      <c r="J636" s="18">
        <f t="shared" si="66"/>
        <v>0</v>
      </c>
      <c r="K636" s="14">
        <v>6.64</v>
      </c>
      <c r="L636" s="18">
        <f t="shared" si="67"/>
        <v>6.64</v>
      </c>
      <c r="M636" s="18">
        <f t="shared" si="68"/>
        <v>0</v>
      </c>
      <c r="N636" s="15">
        <f t="shared" si="69"/>
        <v>34.04</v>
      </c>
      <c r="O636" s="15">
        <f>+N636-P636</f>
        <v>34.04</v>
      </c>
      <c r="P636" s="15">
        <f>+IF(N636&gt;D636,N636-D636,0)</f>
        <v>0</v>
      </c>
      <c r="Q636" s="5">
        <f>+IF(P636=0,P636,P636/N636)</f>
        <v>0</v>
      </c>
    </row>
    <row r="637" spans="1:17" x14ac:dyDescent="0.25">
      <c r="A637" s="7">
        <v>46261.458333333336</v>
      </c>
      <c r="B637" s="6">
        <v>1792.35</v>
      </c>
      <c r="C637" s="13">
        <v>26.76</v>
      </c>
      <c r="D637" s="18">
        <f>+B637+C637</f>
        <v>1819.11</v>
      </c>
      <c r="E637" s="14">
        <v>0</v>
      </c>
      <c r="F637" s="18">
        <f t="shared" si="63"/>
        <v>0</v>
      </c>
      <c r="G637" s="18">
        <f t="shared" si="64"/>
        <v>0</v>
      </c>
      <c r="H637" s="14">
        <v>5.2</v>
      </c>
      <c r="I637" s="18">
        <f t="shared" si="65"/>
        <v>5.2</v>
      </c>
      <c r="J637" s="18">
        <f t="shared" si="66"/>
        <v>0</v>
      </c>
      <c r="K637" s="14">
        <v>9.16</v>
      </c>
      <c r="L637" s="18">
        <f t="shared" si="67"/>
        <v>9.16</v>
      </c>
      <c r="M637" s="18">
        <f t="shared" si="68"/>
        <v>0</v>
      </c>
      <c r="N637" s="15">
        <f t="shared" si="69"/>
        <v>14.36</v>
      </c>
      <c r="O637" s="15">
        <f>+N637-P637</f>
        <v>14.36</v>
      </c>
      <c r="P637" s="15">
        <f>+IF(N637&gt;D637,N637-D637,0)</f>
        <v>0</v>
      </c>
      <c r="Q637" s="5">
        <f>+IF(P637=0,P637,P637/N637)</f>
        <v>0</v>
      </c>
    </row>
    <row r="638" spans="1:17" x14ac:dyDescent="0.25">
      <c r="A638" s="7">
        <v>46261.5</v>
      </c>
      <c r="B638" s="6">
        <v>2359.35</v>
      </c>
      <c r="C638" s="13">
        <v>27.96</v>
      </c>
      <c r="D638" s="18">
        <f>+B638+C638</f>
        <v>2387.31</v>
      </c>
      <c r="E638" s="14">
        <v>0</v>
      </c>
      <c r="F638" s="18">
        <f t="shared" si="63"/>
        <v>0</v>
      </c>
      <c r="G638" s="18">
        <f t="shared" si="64"/>
        <v>0</v>
      </c>
      <c r="H638" s="14">
        <v>4.96</v>
      </c>
      <c r="I638" s="18">
        <f t="shared" si="65"/>
        <v>4.96</v>
      </c>
      <c r="J638" s="18">
        <f t="shared" si="66"/>
        <v>0</v>
      </c>
      <c r="K638" s="14">
        <v>2.56</v>
      </c>
      <c r="L638" s="18">
        <f t="shared" si="67"/>
        <v>2.56</v>
      </c>
      <c r="M638" s="18">
        <f t="shared" si="68"/>
        <v>0</v>
      </c>
      <c r="N638" s="15">
        <f t="shared" si="69"/>
        <v>7.52</v>
      </c>
      <c r="O638" s="15">
        <f>+N638-P638</f>
        <v>7.52</v>
      </c>
      <c r="P638" s="15">
        <f>+IF(N638&gt;D638,N638-D638,0)</f>
        <v>0</v>
      </c>
      <c r="Q638" s="5">
        <f>+IF(P638=0,P638,P638/N638)</f>
        <v>0</v>
      </c>
    </row>
    <row r="639" spans="1:17" x14ac:dyDescent="0.25">
      <c r="A639" s="7">
        <v>46261.541666666664</v>
      </c>
      <c r="B639" s="6">
        <v>2507.4</v>
      </c>
      <c r="C639" s="13">
        <v>11.76</v>
      </c>
      <c r="D639" s="18">
        <f>+B639+C639</f>
        <v>2519.1600000000003</v>
      </c>
      <c r="E639" s="14">
        <v>0</v>
      </c>
      <c r="F639" s="18">
        <f t="shared" si="63"/>
        <v>0</v>
      </c>
      <c r="G639" s="18">
        <f t="shared" si="64"/>
        <v>0</v>
      </c>
      <c r="H639" s="14">
        <v>25.12</v>
      </c>
      <c r="I639" s="18">
        <f t="shared" si="65"/>
        <v>25.12</v>
      </c>
      <c r="J639" s="18">
        <f t="shared" si="66"/>
        <v>0</v>
      </c>
      <c r="K639" s="14">
        <v>2.56</v>
      </c>
      <c r="L639" s="18">
        <f t="shared" si="67"/>
        <v>2.56</v>
      </c>
      <c r="M639" s="18">
        <f t="shared" si="68"/>
        <v>0</v>
      </c>
      <c r="N639" s="15">
        <f t="shared" si="69"/>
        <v>27.68</v>
      </c>
      <c r="O639" s="15">
        <f>+N639-P639</f>
        <v>27.68</v>
      </c>
      <c r="P639" s="15">
        <f>+IF(N639&gt;D639,N639-D639,0)</f>
        <v>0</v>
      </c>
      <c r="Q639" s="5">
        <f>+IF(P639=0,P639,P639/N639)</f>
        <v>0</v>
      </c>
    </row>
    <row r="640" spans="1:17" x14ac:dyDescent="0.25">
      <c r="A640" s="7">
        <v>46261.583333333336</v>
      </c>
      <c r="B640" s="6">
        <v>1584.45</v>
      </c>
      <c r="C640" s="13">
        <v>10.32</v>
      </c>
      <c r="D640" s="18">
        <f>+B640+C640</f>
        <v>1594.77</v>
      </c>
      <c r="E640" s="14">
        <v>0</v>
      </c>
      <c r="F640" s="18">
        <f t="shared" si="63"/>
        <v>0</v>
      </c>
      <c r="G640" s="18">
        <f t="shared" si="64"/>
        <v>0</v>
      </c>
      <c r="H640" s="14">
        <v>16.84</v>
      </c>
      <c r="I640" s="18">
        <f t="shared" si="65"/>
        <v>16.84</v>
      </c>
      <c r="J640" s="18">
        <f t="shared" si="66"/>
        <v>0</v>
      </c>
      <c r="K640" s="14">
        <v>2.44</v>
      </c>
      <c r="L640" s="18">
        <f t="shared" si="67"/>
        <v>2.44</v>
      </c>
      <c r="M640" s="18">
        <f t="shared" si="68"/>
        <v>0</v>
      </c>
      <c r="N640" s="15">
        <f t="shared" si="69"/>
        <v>19.28</v>
      </c>
      <c r="O640" s="15">
        <f>+N640-P640</f>
        <v>19.28</v>
      </c>
      <c r="P640" s="15">
        <f>+IF(N640&gt;D640,N640-D640,0)</f>
        <v>0</v>
      </c>
      <c r="Q640" s="5">
        <f>+IF(P640=0,P640,P640/N640)</f>
        <v>0</v>
      </c>
    </row>
    <row r="641" spans="1:17" x14ac:dyDescent="0.25">
      <c r="A641" s="7">
        <v>46261.625</v>
      </c>
      <c r="B641" s="6">
        <v>1332.45</v>
      </c>
      <c r="C641" s="13">
        <v>5.04</v>
      </c>
      <c r="D641" s="18">
        <f>+B641+C641</f>
        <v>1337.49</v>
      </c>
      <c r="E641" s="14">
        <v>0</v>
      </c>
      <c r="F641" s="18">
        <f t="shared" si="63"/>
        <v>0</v>
      </c>
      <c r="G641" s="18">
        <f t="shared" si="64"/>
        <v>0</v>
      </c>
      <c r="H641" s="14">
        <v>35.680000000000007</v>
      </c>
      <c r="I641" s="18">
        <f t="shared" si="65"/>
        <v>35.680000000000007</v>
      </c>
      <c r="J641" s="18">
        <f t="shared" si="66"/>
        <v>0</v>
      </c>
      <c r="K641" s="14">
        <v>2.2000000000000002</v>
      </c>
      <c r="L641" s="18">
        <f t="shared" si="67"/>
        <v>2.2000000000000002</v>
      </c>
      <c r="M641" s="18">
        <f t="shared" si="68"/>
        <v>0</v>
      </c>
      <c r="N641" s="15">
        <f t="shared" si="69"/>
        <v>37.88000000000001</v>
      </c>
      <c r="O641" s="15">
        <f>+N641-P641</f>
        <v>37.88000000000001</v>
      </c>
      <c r="P641" s="15">
        <f>+IF(N641&gt;D641,N641-D641,0)</f>
        <v>0</v>
      </c>
      <c r="Q641" s="5">
        <f>+IF(P641=0,P641,P641/N641)</f>
        <v>0</v>
      </c>
    </row>
    <row r="642" spans="1:17" x14ac:dyDescent="0.25">
      <c r="A642" s="7">
        <v>46261.666666666664</v>
      </c>
      <c r="B642" s="6">
        <v>677.25</v>
      </c>
      <c r="C642" s="13">
        <v>2.4</v>
      </c>
      <c r="D642" s="18">
        <f>+B642+C642</f>
        <v>679.65</v>
      </c>
      <c r="E642" s="14">
        <v>6.3</v>
      </c>
      <c r="F642" s="18">
        <f t="shared" si="63"/>
        <v>6.3</v>
      </c>
      <c r="G642" s="18">
        <f t="shared" si="64"/>
        <v>0</v>
      </c>
      <c r="H642" s="14">
        <v>49</v>
      </c>
      <c r="I642" s="18">
        <f t="shared" si="65"/>
        <v>49</v>
      </c>
      <c r="J642" s="18">
        <f t="shared" si="66"/>
        <v>0</v>
      </c>
      <c r="K642" s="14">
        <v>2.44</v>
      </c>
      <c r="L642" s="18">
        <f t="shared" si="67"/>
        <v>2.44</v>
      </c>
      <c r="M642" s="18">
        <f t="shared" si="68"/>
        <v>0</v>
      </c>
      <c r="N642" s="15">
        <f t="shared" si="69"/>
        <v>57.739999999999995</v>
      </c>
      <c r="O642" s="15">
        <f>+N642-P642</f>
        <v>57.739999999999995</v>
      </c>
      <c r="P642" s="15">
        <f>+IF(N642&gt;D642,N642-D642,0)</f>
        <v>0</v>
      </c>
      <c r="Q642" s="5">
        <f>+IF(P642=0,P642,P642/N642)</f>
        <v>0</v>
      </c>
    </row>
    <row r="643" spans="1:17" x14ac:dyDescent="0.25">
      <c r="A643" s="7">
        <v>46261.708333333336</v>
      </c>
      <c r="B643" s="6">
        <v>66.150000000000006</v>
      </c>
      <c r="C643" s="13">
        <v>0.24</v>
      </c>
      <c r="D643" s="18">
        <f>+B643+C643</f>
        <v>66.39</v>
      </c>
      <c r="E643" s="14">
        <v>277.17</v>
      </c>
      <c r="F643" s="18">
        <f t="shared" ref="F643:F706" si="70">+E643-G643</f>
        <v>56.223276910385266</v>
      </c>
      <c r="G643" s="18">
        <f t="shared" ref="G643:G706" si="71">+E643*Q643</f>
        <v>220.94672308961475</v>
      </c>
      <c r="H643" s="14">
        <v>45.16</v>
      </c>
      <c r="I643" s="18">
        <f t="shared" ref="I643:I706" si="72">+H643-J643</f>
        <v>9.1605988572825297</v>
      </c>
      <c r="J643" s="18">
        <f t="shared" ref="J643:J706" si="73">+H643*Q643</f>
        <v>35.999401142717467</v>
      </c>
      <c r="K643" s="14">
        <v>4.96</v>
      </c>
      <c r="L643" s="18">
        <f t="shared" ref="L643:L706" si="74">+K643-M643</f>
        <v>1.0061242323321822</v>
      </c>
      <c r="M643" s="18">
        <f t="shared" ref="M643:M706" si="75">+K643*Q643</f>
        <v>3.9538757676678178</v>
      </c>
      <c r="N643" s="15">
        <f t="shared" ref="N643:N706" si="76">+E643+H643+K643</f>
        <v>327.29000000000002</v>
      </c>
      <c r="O643" s="15">
        <f>+N643-P643</f>
        <v>66.389999999999986</v>
      </c>
      <c r="P643" s="15">
        <f>+IF(N643&gt;D643,N643-D643,0)</f>
        <v>260.90000000000003</v>
      </c>
      <c r="Q643" s="5">
        <f>+IF(P643=0,P643,P643/N643)</f>
        <v>0.79715237251367299</v>
      </c>
    </row>
    <row r="644" spans="1:17" x14ac:dyDescent="0.25">
      <c r="A644" s="7">
        <v>46261.75</v>
      </c>
      <c r="B644" s="6">
        <v>63</v>
      </c>
      <c r="C644" s="13">
        <v>0</v>
      </c>
      <c r="D644" s="18">
        <f>+B644+C644</f>
        <v>63</v>
      </c>
      <c r="E644" s="14">
        <v>62.992999999999995</v>
      </c>
      <c r="F644" s="18">
        <f t="shared" si="70"/>
        <v>31.965067295997677</v>
      </c>
      <c r="G644" s="18">
        <f t="shared" si="71"/>
        <v>31.027932704002318</v>
      </c>
      <c r="H644" s="14">
        <v>55.72</v>
      </c>
      <c r="I644" s="18">
        <f t="shared" si="72"/>
        <v>28.27446779377059</v>
      </c>
      <c r="J644" s="18">
        <f t="shared" si="73"/>
        <v>27.445532206229409</v>
      </c>
      <c r="K644" s="14">
        <v>5.44</v>
      </c>
      <c r="L644" s="18">
        <f t="shared" si="74"/>
        <v>2.7604649102317302</v>
      </c>
      <c r="M644" s="18">
        <f t="shared" si="75"/>
        <v>2.6795350897682702</v>
      </c>
      <c r="N644" s="15">
        <f t="shared" si="76"/>
        <v>124.15299999999999</v>
      </c>
      <c r="O644" s="15">
        <f>+N644-P644</f>
        <v>63</v>
      </c>
      <c r="P644" s="15">
        <f>+IF(N644&gt;D644,N644-D644,0)</f>
        <v>61.152999999999992</v>
      </c>
      <c r="Q644" s="5">
        <f>+IF(P644=0,P644,P644/N644)</f>
        <v>0.49256159738387312</v>
      </c>
    </row>
    <row r="645" spans="1:17" x14ac:dyDescent="0.25">
      <c r="A645" s="7">
        <v>46261.791666666664</v>
      </c>
      <c r="B645" s="6">
        <v>0</v>
      </c>
      <c r="C645" s="13">
        <v>0</v>
      </c>
      <c r="D645" s="18">
        <f>+B645+C645</f>
        <v>0</v>
      </c>
      <c r="E645" s="14">
        <v>94.490000000000009</v>
      </c>
      <c r="F645" s="18">
        <f t="shared" si="70"/>
        <v>0</v>
      </c>
      <c r="G645" s="18">
        <f t="shared" si="71"/>
        <v>94.490000000000009</v>
      </c>
      <c r="H645" s="14">
        <v>64.36</v>
      </c>
      <c r="I645" s="18">
        <f t="shared" si="72"/>
        <v>0</v>
      </c>
      <c r="J645" s="18">
        <f t="shared" si="73"/>
        <v>64.36</v>
      </c>
      <c r="K645" s="14">
        <v>3.04</v>
      </c>
      <c r="L645" s="18">
        <f t="shared" si="74"/>
        <v>0</v>
      </c>
      <c r="M645" s="18">
        <f t="shared" si="75"/>
        <v>3.04</v>
      </c>
      <c r="N645" s="15">
        <f t="shared" si="76"/>
        <v>161.89000000000001</v>
      </c>
      <c r="O645" s="15">
        <f>+N645-P645</f>
        <v>0</v>
      </c>
      <c r="P645" s="15">
        <f>+IF(N645&gt;D645,N645-D645,0)</f>
        <v>161.89000000000001</v>
      </c>
      <c r="Q645" s="5">
        <f>+IF(P645=0,P645,P645/N645)</f>
        <v>1</v>
      </c>
    </row>
    <row r="646" spans="1:17" x14ac:dyDescent="0.25">
      <c r="A646" s="7">
        <v>46261.833333333336</v>
      </c>
      <c r="B646" s="6">
        <v>0</v>
      </c>
      <c r="C646" s="13">
        <v>0</v>
      </c>
      <c r="D646" s="18">
        <f>+B646+C646</f>
        <v>0</v>
      </c>
      <c r="E646" s="14">
        <v>932.30000000000007</v>
      </c>
      <c r="F646" s="18">
        <f t="shared" si="70"/>
        <v>0</v>
      </c>
      <c r="G646" s="18">
        <f t="shared" si="71"/>
        <v>932.30000000000007</v>
      </c>
      <c r="H646" s="14">
        <v>90.039999999999992</v>
      </c>
      <c r="I646" s="18">
        <f t="shared" si="72"/>
        <v>0</v>
      </c>
      <c r="J646" s="18">
        <f t="shared" si="73"/>
        <v>90.039999999999992</v>
      </c>
      <c r="K646" s="14">
        <v>2.56</v>
      </c>
      <c r="L646" s="18">
        <f t="shared" si="74"/>
        <v>0</v>
      </c>
      <c r="M646" s="18">
        <f t="shared" si="75"/>
        <v>2.56</v>
      </c>
      <c r="N646" s="15">
        <f t="shared" si="76"/>
        <v>1024.9000000000001</v>
      </c>
      <c r="O646" s="15">
        <f>+N646-P646</f>
        <v>0</v>
      </c>
      <c r="P646" s="15">
        <f>+IF(N646&gt;D646,N646-D646,0)</f>
        <v>1024.9000000000001</v>
      </c>
      <c r="Q646" s="5">
        <f>+IF(P646=0,P646,P646/N646)</f>
        <v>1</v>
      </c>
    </row>
    <row r="647" spans="1:17" x14ac:dyDescent="0.25">
      <c r="A647" s="7">
        <v>46261.875</v>
      </c>
      <c r="B647" s="6">
        <v>0</v>
      </c>
      <c r="C647" s="13">
        <v>0</v>
      </c>
      <c r="D647" s="18">
        <f>+B647+C647</f>
        <v>0</v>
      </c>
      <c r="E647" s="14">
        <v>825.21100000000001</v>
      </c>
      <c r="F647" s="18">
        <f t="shared" si="70"/>
        <v>0</v>
      </c>
      <c r="G647" s="18">
        <f t="shared" si="71"/>
        <v>825.21100000000001</v>
      </c>
      <c r="H647" s="14">
        <v>78.88000000000001</v>
      </c>
      <c r="I647" s="18">
        <f t="shared" si="72"/>
        <v>0</v>
      </c>
      <c r="J647" s="18">
        <f t="shared" si="73"/>
        <v>78.88000000000001</v>
      </c>
      <c r="K647" s="14">
        <v>2.8</v>
      </c>
      <c r="L647" s="18">
        <f t="shared" si="74"/>
        <v>0</v>
      </c>
      <c r="M647" s="18">
        <f t="shared" si="75"/>
        <v>2.8</v>
      </c>
      <c r="N647" s="15">
        <f t="shared" si="76"/>
        <v>906.89099999999996</v>
      </c>
      <c r="O647" s="15">
        <f>+N647-P647</f>
        <v>0</v>
      </c>
      <c r="P647" s="15">
        <f>+IF(N647&gt;D647,N647-D647,0)</f>
        <v>906.89099999999996</v>
      </c>
      <c r="Q647" s="5">
        <f>+IF(P647=0,P647,P647/N647)</f>
        <v>1</v>
      </c>
    </row>
    <row r="648" spans="1:17" x14ac:dyDescent="0.25">
      <c r="A648" s="7">
        <v>46261.916666666664</v>
      </c>
      <c r="B648" s="6">
        <v>0</v>
      </c>
      <c r="C648" s="13">
        <v>0</v>
      </c>
      <c r="D648" s="18">
        <f>+B648+C648</f>
        <v>0</v>
      </c>
      <c r="E648" s="14">
        <v>963.91700000000003</v>
      </c>
      <c r="F648" s="18">
        <f t="shared" si="70"/>
        <v>0</v>
      </c>
      <c r="G648" s="18">
        <f t="shared" si="71"/>
        <v>963.91700000000003</v>
      </c>
      <c r="H648" s="14">
        <v>96.88</v>
      </c>
      <c r="I648" s="18">
        <f t="shared" si="72"/>
        <v>0</v>
      </c>
      <c r="J648" s="18">
        <f t="shared" si="73"/>
        <v>96.88</v>
      </c>
      <c r="K648" s="14">
        <v>2.92</v>
      </c>
      <c r="L648" s="18">
        <f t="shared" si="74"/>
        <v>0</v>
      </c>
      <c r="M648" s="18">
        <f t="shared" si="75"/>
        <v>2.92</v>
      </c>
      <c r="N648" s="15">
        <f t="shared" si="76"/>
        <v>1063.7170000000001</v>
      </c>
      <c r="O648" s="15">
        <f>+N648-P648</f>
        <v>0</v>
      </c>
      <c r="P648" s="15">
        <f>+IF(N648&gt;D648,N648-D648,0)</f>
        <v>1063.7170000000001</v>
      </c>
      <c r="Q648" s="5">
        <f>+IF(P648=0,P648,P648/N648)</f>
        <v>1</v>
      </c>
    </row>
    <row r="649" spans="1:17" x14ac:dyDescent="0.25">
      <c r="A649" s="7">
        <v>46261.958333333336</v>
      </c>
      <c r="B649" s="6">
        <v>0</v>
      </c>
      <c r="C649" s="13">
        <v>0</v>
      </c>
      <c r="D649" s="18">
        <f>+B649+C649</f>
        <v>0</v>
      </c>
      <c r="E649" s="14">
        <v>907.21600000000001</v>
      </c>
      <c r="F649" s="18">
        <f t="shared" si="70"/>
        <v>0</v>
      </c>
      <c r="G649" s="18">
        <f t="shared" si="71"/>
        <v>907.21600000000001</v>
      </c>
      <c r="H649" s="14">
        <v>92.44</v>
      </c>
      <c r="I649" s="18">
        <f t="shared" si="72"/>
        <v>0</v>
      </c>
      <c r="J649" s="18">
        <f t="shared" si="73"/>
        <v>92.44</v>
      </c>
      <c r="K649" s="14">
        <v>2.8</v>
      </c>
      <c r="L649" s="18">
        <f t="shared" si="74"/>
        <v>0</v>
      </c>
      <c r="M649" s="18">
        <f t="shared" si="75"/>
        <v>2.8</v>
      </c>
      <c r="N649" s="15">
        <f t="shared" si="76"/>
        <v>1002.4559999999999</v>
      </c>
      <c r="O649" s="15">
        <f>+N649-P649</f>
        <v>0</v>
      </c>
      <c r="P649" s="15">
        <f>+IF(N649&gt;D649,N649-D649,0)</f>
        <v>1002.4559999999999</v>
      </c>
      <c r="Q649" s="5">
        <f>+IF(P649=0,P649,P649/N649)</f>
        <v>1</v>
      </c>
    </row>
    <row r="650" spans="1:17" x14ac:dyDescent="0.25">
      <c r="A650" s="7">
        <v>46262</v>
      </c>
      <c r="B650" s="6">
        <v>0</v>
      </c>
      <c r="C650" s="13">
        <v>0</v>
      </c>
      <c r="D650" s="18">
        <f>+B650+C650</f>
        <v>0</v>
      </c>
      <c r="E650" s="14">
        <v>907.21600000000001</v>
      </c>
      <c r="F650" s="18">
        <f t="shared" si="70"/>
        <v>0</v>
      </c>
      <c r="G650" s="18">
        <f t="shared" si="71"/>
        <v>907.21600000000001</v>
      </c>
      <c r="H650" s="14">
        <v>99.4</v>
      </c>
      <c r="I650" s="18">
        <f t="shared" si="72"/>
        <v>0</v>
      </c>
      <c r="J650" s="18">
        <f t="shared" si="73"/>
        <v>99.4</v>
      </c>
      <c r="K650" s="14">
        <v>2.8</v>
      </c>
      <c r="L650" s="18">
        <f t="shared" si="74"/>
        <v>0</v>
      </c>
      <c r="M650" s="18">
        <f t="shared" si="75"/>
        <v>2.8</v>
      </c>
      <c r="N650" s="15">
        <f t="shared" si="76"/>
        <v>1009.4159999999999</v>
      </c>
      <c r="O650" s="15">
        <f>+N650-P650</f>
        <v>0</v>
      </c>
      <c r="P650" s="15">
        <f>+IF(N650&gt;D650,N650-D650,0)</f>
        <v>1009.4159999999999</v>
      </c>
      <c r="Q650" s="5">
        <f>+IF(P650=0,P650,P650/N650)</f>
        <v>1</v>
      </c>
    </row>
    <row r="651" spans="1:17" x14ac:dyDescent="0.25">
      <c r="A651" s="7">
        <v>46262.041666666664</v>
      </c>
      <c r="B651" s="6">
        <v>0</v>
      </c>
      <c r="C651" s="13">
        <v>0</v>
      </c>
      <c r="D651" s="18">
        <f>+B651+C651</f>
        <v>0</v>
      </c>
      <c r="E651" s="14">
        <v>31.501000000000001</v>
      </c>
      <c r="F651" s="18">
        <f t="shared" si="70"/>
        <v>0</v>
      </c>
      <c r="G651" s="18">
        <f t="shared" si="71"/>
        <v>31.501000000000001</v>
      </c>
      <c r="H651" s="14">
        <v>86.56</v>
      </c>
      <c r="I651" s="18">
        <f t="shared" si="72"/>
        <v>0</v>
      </c>
      <c r="J651" s="18">
        <f t="shared" si="73"/>
        <v>86.56</v>
      </c>
      <c r="K651" s="14">
        <v>3.8800000000000003</v>
      </c>
      <c r="L651" s="18">
        <f t="shared" si="74"/>
        <v>0</v>
      </c>
      <c r="M651" s="18">
        <f t="shared" si="75"/>
        <v>3.8800000000000003</v>
      </c>
      <c r="N651" s="15">
        <f t="shared" si="76"/>
        <v>121.941</v>
      </c>
      <c r="O651" s="15">
        <f>+N651-P651</f>
        <v>0</v>
      </c>
      <c r="P651" s="15">
        <f>+IF(N651&gt;D651,N651-D651,0)</f>
        <v>121.941</v>
      </c>
      <c r="Q651" s="5">
        <f>+IF(P651=0,P651,P651/N651)</f>
        <v>1</v>
      </c>
    </row>
    <row r="652" spans="1:17" x14ac:dyDescent="0.25">
      <c r="A652" s="7">
        <v>46262.083333333336</v>
      </c>
      <c r="B652" s="6">
        <v>0</v>
      </c>
      <c r="C652" s="13">
        <v>0</v>
      </c>
      <c r="D652" s="18">
        <f>+B652+C652</f>
        <v>0</v>
      </c>
      <c r="E652" s="14">
        <v>941.86599999999999</v>
      </c>
      <c r="F652" s="18">
        <f t="shared" si="70"/>
        <v>0</v>
      </c>
      <c r="G652" s="18">
        <f t="shared" si="71"/>
        <v>941.86599999999999</v>
      </c>
      <c r="H652" s="14">
        <v>102.52</v>
      </c>
      <c r="I652" s="18">
        <f t="shared" si="72"/>
        <v>0</v>
      </c>
      <c r="J652" s="18">
        <f t="shared" si="73"/>
        <v>102.52</v>
      </c>
      <c r="K652" s="14">
        <v>2.92</v>
      </c>
      <c r="L652" s="18">
        <f t="shared" si="74"/>
        <v>0</v>
      </c>
      <c r="M652" s="18">
        <f t="shared" si="75"/>
        <v>2.92</v>
      </c>
      <c r="N652" s="15">
        <f t="shared" si="76"/>
        <v>1047.306</v>
      </c>
      <c r="O652" s="15">
        <f>+N652-P652</f>
        <v>0</v>
      </c>
      <c r="P652" s="15">
        <f>+IF(N652&gt;D652,N652-D652,0)</f>
        <v>1047.306</v>
      </c>
      <c r="Q652" s="5">
        <f>+IF(P652=0,P652,P652/N652)</f>
        <v>1</v>
      </c>
    </row>
    <row r="653" spans="1:17" x14ac:dyDescent="0.25">
      <c r="A653" s="7">
        <v>46262.125</v>
      </c>
      <c r="B653" s="6">
        <v>0</v>
      </c>
      <c r="C653" s="13">
        <v>0</v>
      </c>
      <c r="D653" s="18">
        <f>+B653+C653</f>
        <v>0</v>
      </c>
      <c r="E653" s="14">
        <v>957.61700000000008</v>
      </c>
      <c r="F653" s="18">
        <f t="shared" si="70"/>
        <v>0</v>
      </c>
      <c r="G653" s="18">
        <f t="shared" si="71"/>
        <v>957.61700000000008</v>
      </c>
      <c r="H653" s="14">
        <v>97</v>
      </c>
      <c r="I653" s="18">
        <f t="shared" si="72"/>
        <v>0</v>
      </c>
      <c r="J653" s="18">
        <f t="shared" si="73"/>
        <v>97</v>
      </c>
      <c r="K653" s="14">
        <v>2.8</v>
      </c>
      <c r="L653" s="18">
        <f t="shared" si="74"/>
        <v>0</v>
      </c>
      <c r="M653" s="18">
        <f t="shared" si="75"/>
        <v>2.8</v>
      </c>
      <c r="N653" s="15">
        <f t="shared" si="76"/>
        <v>1057.4170000000001</v>
      </c>
      <c r="O653" s="15">
        <f>+N653-P653</f>
        <v>0</v>
      </c>
      <c r="P653" s="15">
        <f>+IF(N653&gt;D653,N653-D653,0)</f>
        <v>1057.4170000000001</v>
      </c>
      <c r="Q653" s="5">
        <f>+IF(P653=0,P653,P653/N653)</f>
        <v>1</v>
      </c>
    </row>
    <row r="654" spans="1:17" x14ac:dyDescent="0.25">
      <c r="A654" s="7">
        <v>46262.166666666664</v>
      </c>
      <c r="B654" s="6">
        <v>0</v>
      </c>
      <c r="C654" s="13">
        <v>0</v>
      </c>
      <c r="D654" s="18">
        <f>+B654+C654</f>
        <v>0</v>
      </c>
      <c r="E654" s="14">
        <v>979.66699999999992</v>
      </c>
      <c r="F654" s="18">
        <f t="shared" si="70"/>
        <v>0</v>
      </c>
      <c r="G654" s="18">
        <f t="shared" si="71"/>
        <v>979.66699999999992</v>
      </c>
      <c r="H654" s="14">
        <v>72.400000000000006</v>
      </c>
      <c r="I654" s="18">
        <f t="shared" si="72"/>
        <v>0</v>
      </c>
      <c r="J654" s="18">
        <f t="shared" si="73"/>
        <v>72.400000000000006</v>
      </c>
      <c r="K654" s="14">
        <v>2.8</v>
      </c>
      <c r="L654" s="18">
        <f t="shared" si="74"/>
        <v>0</v>
      </c>
      <c r="M654" s="18">
        <f t="shared" si="75"/>
        <v>2.8</v>
      </c>
      <c r="N654" s="15">
        <f t="shared" si="76"/>
        <v>1054.867</v>
      </c>
      <c r="O654" s="15">
        <f>+N654-P654</f>
        <v>0</v>
      </c>
      <c r="P654" s="15">
        <f>+IF(N654&gt;D654,N654-D654,0)</f>
        <v>1054.867</v>
      </c>
      <c r="Q654" s="5">
        <f>+IF(P654=0,P654,P654/N654)</f>
        <v>1</v>
      </c>
    </row>
    <row r="655" spans="1:17" x14ac:dyDescent="0.25">
      <c r="A655" s="7">
        <v>46262.208333333336</v>
      </c>
      <c r="B655" s="6">
        <v>0</v>
      </c>
      <c r="C655" s="13">
        <v>0</v>
      </c>
      <c r="D655" s="18">
        <f>+B655+C655</f>
        <v>0</v>
      </c>
      <c r="E655" s="14">
        <v>916.66599999999994</v>
      </c>
      <c r="F655" s="18">
        <f t="shared" si="70"/>
        <v>0</v>
      </c>
      <c r="G655" s="18">
        <f t="shared" si="71"/>
        <v>916.66599999999994</v>
      </c>
      <c r="H655" s="14">
        <v>76.36</v>
      </c>
      <c r="I655" s="18">
        <f t="shared" si="72"/>
        <v>0</v>
      </c>
      <c r="J655" s="18">
        <f t="shared" si="73"/>
        <v>76.36</v>
      </c>
      <c r="K655" s="14">
        <v>2.68</v>
      </c>
      <c r="L655" s="18">
        <f t="shared" si="74"/>
        <v>0</v>
      </c>
      <c r="M655" s="18">
        <f t="shared" si="75"/>
        <v>2.68</v>
      </c>
      <c r="N655" s="15">
        <f t="shared" si="76"/>
        <v>995.7059999999999</v>
      </c>
      <c r="O655" s="15">
        <f>+N655-P655</f>
        <v>0</v>
      </c>
      <c r="P655" s="15">
        <f>+IF(N655&gt;D655,N655-D655,0)</f>
        <v>995.7059999999999</v>
      </c>
      <c r="Q655" s="5">
        <f>+IF(P655=0,P655,P655/N655)</f>
        <v>1</v>
      </c>
    </row>
    <row r="656" spans="1:17" x14ac:dyDescent="0.25">
      <c r="A656" s="7">
        <v>46262.25</v>
      </c>
      <c r="B656" s="6">
        <v>28.35</v>
      </c>
      <c r="C656" s="13">
        <v>0</v>
      </c>
      <c r="D656" s="18">
        <f>+B656+C656</f>
        <v>28.35</v>
      </c>
      <c r="E656" s="14">
        <v>12.6</v>
      </c>
      <c r="F656" s="18">
        <f t="shared" si="70"/>
        <v>6.9931480031323421</v>
      </c>
      <c r="G656" s="18">
        <f t="shared" si="71"/>
        <v>5.6068519968676576</v>
      </c>
      <c r="H656" s="14">
        <v>34.479999999999997</v>
      </c>
      <c r="I656" s="18">
        <f t="shared" si="72"/>
        <v>19.136805011746283</v>
      </c>
      <c r="J656" s="18">
        <f t="shared" si="73"/>
        <v>15.343194988253716</v>
      </c>
      <c r="K656" s="14">
        <v>4</v>
      </c>
      <c r="L656" s="18">
        <f t="shared" si="74"/>
        <v>2.2200469851213782</v>
      </c>
      <c r="M656" s="18">
        <f t="shared" si="75"/>
        <v>1.7799530148786216</v>
      </c>
      <c r="N656" s="15">
        <f t="shared" si="76"/>
        <v>51.08</v>
      </c>
      <c r="O656" s="15">
        <f>+N656-P656</f>
        <v>28.35</v>
      </c>
      <c r="P656" s="15">
        <f>+IF(N656&gt;D656,N656-D656,0)</f>
        <v>22.729999999999997</v>
      </c>
      <c r="Q656" s="5">
        <f>+IF(P656=0,P656,P656/N656)</f>
        <v>0.44498825371965539</v>
      </c>
    </row>
    <row r="657" spans="1:17" x14ac:dyDescent="0.25">
      <c r="A657" s="7">
        <v>46262.291666666664</v>
      </c>
      <c r="B657" s="6">
        <v>422.1</v>
      </c>
      <c r="C657" s="13">
        <v>2.04</v>
      </c>
      <c r="D657" s="18">
        <f>+B657+C657</f>
        <v>424.14000000000004</v>
      </c>
      <c r="E657" s="14">
        <v>0</v>
      </c>
      <c r="F657" s="18">
        <f t="shared" si="70"/>
        <v>0</v>
      </c>
      <c r="G657" s="18">
        <f t="shared" si="71"/>
        <v>0</v>
      </c>
      <c r="H657" s="14">
        <v>33.520000000000003</v>
      </c>
      <c r="I657" s="18">
        <f t="shared" si="72"/>
        <v>33.520000000000003</v>
      </c>
      <c r="J657" s="18">
        <f t="shared" si="73"/>
        <v>0</v>
      </c>
      <c r="K657" s="14">
        <v>2.3199999999999998</v>
      </c>
      <c r="L657" s="18">
        <f t="shared" si="74"/>
        <v>2.3199999999999998</v>
      </c>
      <c r="M657" s="18">
        <f t="shared" si="75"/>
        <v>0</v>
      </c>
      <c r="N657" s="15">
        <f t="shared" si="76"/>
        <v>35.840000000000003</v>
      </c>
      <c r="O657" s="15">
        <f>+N657-P657</f>
        <v>35.840000000000003</v>
      </c>
      <c r="P657" s="15">
        <f>+IF(N657&gt;D657,N657-D657,0)</f>
        <v>0</v>
      </c>
      <c r="Q657" s="5">
        <f>+IF(P657=0,P657,P657/N657)</f>
        <v>0</v>
      </c>
    </row>
    <row r="658" spans="1:17" x14ac:dyDescent="0.25">
      <c r="A658" s="7">
        <v>46262.333333333336</v>
      </c>
      <c r="B658" s="6">
        <v>211.05</v>
      </c>
      <c r="C658" s="13">
        <v>0</v>
      </c>
      <c r="D658" s="18">
        <f>+B658+C658</f>
        <v>211.05</v>
      </c>
      <c r="E658" s="14">
        <v>6.3</v>
      </c>
      <c r="F658" s="18">
        <f t="shared" si="70"/>
        <v>6.3</v>
      </c>
      <c r="G658" s="18">
        <f t="shared" si="71"/>
        <v>0</v>
      </c>
      <c r="H658" s="14">
        <v>103.48</v>
      </c>
      <c r="I658" s="18">
        <f t="shared" si="72"/>
        <v>103.48</v>
      </c>
      <c r="J658" s="18">
        <f t="shared" si="73"/>
        <v>0</v>
      </c>
      <c r="K658" s="14">
        <v>17.440000000000001</v>
      </c>
      <c r="L658" s="18">
        <f t="shared" si="74"/>
        <v>17.440000000000001</v>
      </c>
      <c r="M658" s="18">
        <f t="shared" si="75"/>
        <v>0</v>
      </c>
      <c r="N658" s="15">
        <f t="shared" si="76"/>
        <v>127.22</v>
      </c>
      <c r="O658" s="15">
        <f>+N658-P658</f>
        <v>127.22</v>
      </c>
      <c r="P658" s="15">
        <f>+IF(N658&gt;D658,N658-D658,0)</f>
        <v>0</v>
      </c>
      <c r="Q658" s="5">
        <f>+IF(P658=0,P658,P658/N658)</f>
        <v>0</v>
      </c>
    </row>
    <row r="659" spans="1:17" x14ac:dyDescent="0.25">
      <c r="A659" s="7">
        <v>46262.375</v>
      </c>
      <c r="B659" s="6">
        <v>815.85</v>
      </c>
      <c r="C659" s="13">
        <v>6.96</v>
      </c>
      <c r="D659" s="18">
        <f>+B659+C659</f>
        <v>822.81000000000006</v>
      </c>
      <c r="E659" s="14">
        <v>44.1</v>
      </c>
      <c r="F659" s="18">
        <f t="shared" si="70"/>
        <v>44.1</v>
      </c>
      <c r="G659" s="18">
        <f t="shared" si="71"/>
        <v>0</v>
      </c>
      <c r="H659" s="14">
        <v>38.68</v>
      </c>
      <c r="I659" s="18">
        <f t="shared" si="72"/>
        <v>38.68</v>
      </c>
      <c r="J659" s="18">
        <f t="shared" si="73"/>
        <v>0</v>
      </c>
      <c r="K659" s="14">
        <v>64.36</v>
      </c>
      <c r="L659" s="18">
        <f t="shared" si="74"/>
        <v>64.36</v>
      </c>
      <c r="M659" s="18">
        <f t="shared" si="75"/>
        <v>0</v>
      </c>
      <c r="N659" s="15">
        <f t="shared" si="76"/>
        <v>147.13999999999999</v>
      </c>
      <c r="O659" s="15">
        <f>+N659-P659</f>
        <v>147.13999999999999</v>
      </c>
      <c r="P659" s="15">
        <f>+IF(N659&gt;D659,N659-D659,0)</f>
        <v>0</v>
      </c>
      <c r="Q659" s="5">
        <f>+IF(P659=0,P659,P659/N659)</f>
        <v>0</v>
      </c>
    </row>
    <row r="660" spans="1:17" x14ac:dyDescent="0.25">
      <c r="A660" s="7">
        <v>46262.416666666664</v>
      </c>
      <c r="B660" s="6">
        <v>1707.3</v>
      </c>
      <c r="C660" s="13">
        <v>6</v>
      </c>
      <c r="D660" s="18">
        <f>+B660+C660</f>
        <v>1713.3</v>
      </c>
      <c r="E660" s="14">
        <v>9.4499999999999993</v>
      </c>
      <c r="F660" s="18">
        <f t="shared" si="70"/>
        <v>9.4499999999999993</v>
      </c>
      <c r="G660" s="18">
        <f t="shared" si="71"/>
        <v>0</v>
      </c>
      <c r="H660" s="14">
        <v>23.560000000000002</v>
      </c>
      <c r="I660" s="18">
        <f t="shared" si="72"/>
        <v>23.560000000000002</v>
      </c>
      <c r="J660" s="18">
        <f t="shared" si="73"/>
        <v>0</v>
      </c>
      <c r="K660" s="14">
        <v>37</v>
      </c>
      <c r="L660" s="18">
        <f t="shared" si="74"/>
        <v>37</v>
      </c>
      <c r="M660" s="18">
        <f t="shared" si="75"/>
        <v>0</v>
      </c>
      <c r="N660" s="15">
        <f t="shared" si="76"/>
        <v>70.010000000000005</v>
      </c>
      <c r="O660" s="15">
        <f>+N660-P660</f>
        <v>70.010000000000005</v>
      </c>
      <c r="P660" s="15">
        <f>+IF(N660&gt;D660,N660-D660,0)</f>
        <v>0</v>
      </c>
      <c r="Q660" s="5">
        <f>+IF(P660=0,P660,P660/N660)</f>
        <v>0</v>
      </c>
    </row>
    <row r="661" spans="1:17" x14ac:dyDescent="0.25">
      <c r="A661" s="7">
        <v>46262.458333333336</v>
      </c>
      <c r="B661" s="6">
        <v>1461.6</v>
      </c>
      <c r="C661" s="13">
        <v>51.36</v>
      </c>
      <c r="D661" s="18">
        <f>+B661+C661</f>
        <v>1512.9599999999998</v>
      </c>
      <c r="E661" s="14">
        <v>22.05</v>
      </c>
      <c r="F661" s="18">
        <f t="shared" si="70"/>
        <v>22.05</v>
      </c>
      <c r="G661" s="18">
        <f t="shared" si="71"/>
        <v>0</v>
      </c>
      <c r="H661" s="14">
        <v>18.16</v>
      </c>
      <c r="I661" s="18">
        <f t="shared" si="72"/>
        <v>18.16</v>
      </c>
      <c r="J661" s="18">
        <f t="shared" si="73"/>
        <v>0</v>
      </c>
      <c r="K661" s="14">
        <v>36.76</v>
      </c>
      <c r="L661" s="18">
        <f t="shared" si="74"/>
        <v>36.76</v>
      </c>
      <c r="M661" s="18">
        <f t="shared" si="75"/>
        <v>0</v>
      </c>
      <c r="N661" s="15">
        <f t="shared" si="76"/>
        <v>76.97</v>
      </c>
      <c r="O661" s="15">
        <f>+N661-P661</f>
        <v>76.97</v>
      </c>
      <c r="P661" s="15">
        <f>+IF(N661&gt;D661,N661-D661,0)</f>
        <v>0</v>
      </c>
      <c r="Q661" s="5">
        <f>+IF(P661=0,P661,P661/N661)</f>
        <v>0</v>
      </c>
    </row>
    <row r="662" spans="1:17" x14ac:dyDescent="0.25">
      <c r="A662" s="7">
        <v>46262.5</v>
      </c>
      <c r="B662" s="6">
        <v>2853.9</v>
      </c>
      <c r="C662" s="13">
        <v>68.400000000000006</v>
      </c>
      <c r="D662" s="18">
        <f>+B662+C662</f>
        <v>2922.3</v>
      </c>
      <c r="E662" s="14">
        <v>0</v>
      </c>
      <c r="F662" s="18">
        <f t="shared" si="70"/>
        <v>0</v>
      </c>
      <c r="G662" s="18">
        <f t="shared" si="71"/>
        <v>0</v>
      </c>
      <c r="H662" s="14">
        <v>3.52</v>
      </c>
      <c r="I662" s="18">
        <f t="shared" si="72"/>
        <v>3.52</v>
      </c>
      <c r="J662" s="18">
        <f t="shared" si="73"/>
        <v>0</v>
      </c>
      <c r="K662" s="14">
        <v>34.119999999999997</v>
      </c>
      <c r="L662" s="18">
        <f t="shared" si="74"/>
        <v>34.119999999999997</v>
      </c>
      <c r="M662" s="18">
        <f t="shared" si="75"/>
        <v>0</v>
      </c>
      <c r="N662" s="15">
        <f t="shared" si="76"/>
        <v>37.64</v>
      </c>
      <c r="O662" s="15">
        <f>+N662-P662</f>
        <v>37.64</v>
      </c>
      <c r="P662" s="15">
        <f>+IF(N662&gt;D662,N662-D662,0)</f>
        <v>0</v>
      </c>
      <c r="Q662" s="5">
        <f>+IF(P662=0,P662,P662/N662)</f>
        <v>0</v>
      </c>
    </row>
    <row r="663" spans="1:17" x14ac:dyDescent="0.25">
      <c r="A663" s="7">
        <v>46262.541666666664</v>
      </c>
      <c r="B663" s="6">
        <v>2620.8000000000002</v>
      </c>
      <c r="C663" s="13">
        <v>48.84</v>
      </c>
      <c r="D663" s="18">
        <f>+B663+C663</f>
        <v>2669.6400000000003</v>
      </c>
      <c r="E663" s="14">
        <v>0</v>
      </c>
      <c r="F663" s="18">
        <f t="shared" si="70"/>
        <v>0</v>
      </c>
      <c r="G663" s="18">
        <f t="shared" si="71"/>
        <v>0</v>
      </c>
      <c r="H663" s="14">
        <v>23.439999999999998</v>
      </c>
      <c r="I663" s="18">
        <f t="shared" si="72"/>
        <v>23.439999999999998</v>
      </c>
      <c r="J663" s="18">
        <f t="shared" si="73"/>
        <v>0</v>
      </c>
      <c r="K663" s="14">
        <v>34.6</v>
      </c>
      <c r="L663" s="18">
        <f t="shared" si="74"/>
        <v>34.6</v>
      </c>
      <c r="M663" s="18">
        <f t="shared" si="75"/>
        <v>0</v>
      </c>
      <c r="N663" s="15">
        <f t="shared" si="76"/>
        <v>58.04</v>
      </c>
      <c r="O663" s="15">
        <f>+N663-P663</f>
        <v>58.04</v>
      </c>
      <c r="P663" s="15">
        <f>+IF(N663&gt;D663,N663-D663,0)</f>
        <v>0</v>
      </c>
      <c r="Q663" s="5">
        <f>+IF(P663=0,P663,P663/N663)</f>
        <v>0</v>
      </c>
    </row>
    <row r="664" spans="1:17" x14ac:dyDescent="0.25">
      <c r="A664" s="7">
        <v>46262.583333333336</v>
      </c>
      <c r="B664" s="6">
        <v>1823.85</v>
      </c>
      <c r="C664" s="13">
        <v>35.28</v>
      </c>
      <c r="D664" s="18">
        <f>+B664+C664</f>
        <v>1859.1299999999999</v>
      </c>
      <c r="E664" s="14">
        <v>0</v>
      </c>
      <c r="F664" s="18">
        <f t="shared" si="70"/>
        <v>0</v>
      </c>
      <c r="G664" s="18">
        <f t="shared" si="71"/>
        <v>0</v>
      </c>
      <c r="H664" s="14">
        <v>12.52</v>
      </c>
      <c r="I664" s="18">
        <f t="shared" si="72"/>
        <v>12.52</v>
      </c>
      <c r="J664" s="18">
        <f t="shared" si="73"/>
        <v>0</v>
      </c>
      <c r="K664" s="14">
        <v>46.72</v>
      </c>
      <c r="L664" s="18">
        <f t="shared" si="74"/>
        <v>46.72</v>
      </c>
      <c r="M664" s="18">
        <f t="shared" si="75"/>
        <v>0</v>
      </c>
      <c r="N664" s="15">
        <f t="shared" si="76"/>
        <v>59.239999999999995</v>
      </c>
      <c r="O664" s="15">
        <f>+N664-P664</f>
        <v>59.239999999999995</v>
      </c>
      <c r="P664" s="15">
        <f>+IF(N664&gt;D664,N664-D664,0)</f>
        <v>0</v>
      </c>
      <c r="Q664" s="5">
        <f>+IF(P664=0,P664,P664/N664)</f>
        <v>0</v>
      </c>
    </row>
    <row r="665" spans="1:17" x14ac:dyDescent="0.25">
      <c r="A665" s="7">
        <v>46262.625</v>
      </c>
      <c r="B665" s="6">
        <v>1389.15</v>
      </c>
      <c r="C665" s="13">
        <v>54.96</v>
      </c>
      <c r="D665" s="18">
        <f>+B665+C665</f>
        <v>1444.1100000000001</v>
      </c>
      <c r="E665" s="14">
        <v>6.3</v>
      </c>
      <c r="F665" s="18">
        <f t="shared" si="70"/>
        <v>6.3</v>
      </c>
      <c r="G665" s="18">
        <f t="shared" si="71"/>
        <v>0</v>
      </c>
      <c r="H665" s="14">
        <v>2.0799999999999996</v>
      </c>
      <c r="I665" s="18">
        <f t="shared" si="72"/>
        <v>2.0799999999999996</v>
      </c>
      <c r="J665" s="18">
        <f t="shared" si="73"/>
        <v>0</v>
      </c>
      <c r="K665" s="14">
        <v>56.92</v>
      </c>
      <c r="L665" s="18">
        <f t="shared" si="74"/>
        <v>56.92</v>
      </c>
      <c r="M665" s="18">
        <f t="shared" si="75"/>
        <v>0</v>
      </c>
      <c r="N665" s="15">
        <f t="shared" si="76"/>
        <v>65.3</v>
      </c>
      <c r="O665" s="15">
        <f>+N665-P665</f>
        <v>65.3</v>
      </c>
      <c r="P665" s="15">
        <f>+IF(N665&gt;D665,N665-D665,0)</f>
        <v>0</v>
      </c>
      <c r="Q665" s="5">
        <f>+IF(P665=0,P665,P665/N665)</f>
        <v>0</v>
      </c>
    </row>
    <row r="666" spans="1:17" x14ac:dyDescent="0.25">
      <c r="A666" s="7">
        <v>46262.666666666664</v>
      </c>
      <c r="B666" s="6">
        <v>737.1</v>
      </c>
      <c r="C666" s="13">
        <v>37.44</v>
      </c>
      <c r="D666" s="18">
        <f>+B666+C666</f>
        <v>774.54</v>
      </c>
      <c r="E666" s="14">
        <v>3.15</v>
      </c>
      <c r="F666" s="18">
        <f t="shared" si="70"/>
        <v>3.15</v>
      </c>
      <c r="G666" s="18">
        <f t="shared" si="71"/>
        <v>0</v>
      </c>
      <c r="H666" s="14">
        <v>4.4799999999999995</v>
      </c>
      <c r="I666" s="18">
        <f t="shared" si="72"/>
        <v>4.4799999999999995</v>
      </c>
      <c r="J666" s="18">
        <f t="shared" si="73"/>
        <v>0</v>
      </c>
      <c r="K666" s="14">
        <v>43.96</v>
      </c>
      <c r="L666" s="18">
        <f t="shared" si="74"/>
        <v>43.96</v>
      </c>
      <c r="M666" s="18">
        <f t="shared" si="75"/>
        <v>0</v>
      </c>
      <c r="N666" s="15">
        <f t="shared" si="76"/>
        <v>51.59</v>
      </c>
      <c r="O666" s="15">
        <f>+N666-P666</f>
        <v>51.59</v>
      </c>
      <c r="P666" s="15">
        <f>+IF(N666&gt;D666,N666-D666,0)</f>
        <v>0</v>
      </c>
      <c r="Q666" s="5">
        <f>+IF(P666=0,P666,P666/N666)</f>
        <v>0</v>
      </c>
    </row>
    <row r="667" spans="1:17" x14ac:dyDescent="0.25">
      <c r="A667" s="7">
        <v>46262.708333333336</v>
      </c>
      <c r="B667" s="6">
        <v>138.6</v>
      </c>
      <c r="C667" s="13">
        <v>6.36</v>
      </c>
      <c r="D667" s="18">
        <f>+B667+C667</f>
        <v>144.96</v>
      </c>
      <c r="E667" s="14">
        <v>44.094999999999999</v>
      </c>
      <c r="F667" s="18">
        <f t="shared" si="70"/>
        <v>44.094999999999999</v>
      </c>
      <c r="G667" s="18">
        <f t="shared" si="71"/>
        <v>0</v>
      </c>
      <c r="H667" s="14">
        <v>22.84</v>
      </c>
      <c r="I667" s="18">
        <f t="shared" si="72"/>
        <v>22.84</v>
      </c>
      <c r="J667" s="18">
        <f t="shared" si="73"/>
        <v>0</v>
      </c>
      <c r="K667" s="14">
        <v>48.04</v>
      </c>
      <c r="L667" s="18">
        <f t="shared" si="74"/>
        <v>48.04</v>
      </c>
      <c r="M667" s="18">
        <f t="shared" si="75"/>
        <v>0</v>
      </c>
      <c r="N667" s="15">
        <f t="shared" si="76"/>
        <v>114.97499999999999</v>
      </c>
      <c r="O667" s="15">
        <f>+N667-P667</f>
        <v>114.97499999999999</v>
      </c>
      <c r="P667" s="15">
        <f>+IF(N667&gt;D667,N667-D667,0)</f>
        <v>0</v>
      </c>
      <c r="Q667" s="5">
        <f>+IF(P667=0,P667,P667/N667)</f>
        <v>0</v>
      </c>
    </row>
    <row r="668" spans="1:17" x14ac:dyDescent="0.25">
      <c r="A668" s="7">
        <v>46262.75</v>
      </c>
      <c r="B668" s="6">
        <v>141.75</v>
      </c>
      <c r="C668" s="13">
        <v>0</v>
      </c>
      <c r="D668" s="18">
        <f>+B668+C668</f>
        <v>141.75</v>
      </c>
      <c r="E668" s="14">
        <v>85.041000000000011</v>
      </c>
      <c r="F668" s="18">
        <f t="shared" si="70"/>
        <v>67.403793034035829</v>
      </c>
      <c r="G668" s="18">
        <f t="shared" si="71"/>
        <v>17.637206965964186</v>
      </c>
      <c r="H668" s="14">
        <v>53.8</v>
      </c>
      <c r="I668" s="18">
        <f t="shared" si="72"/>
        <v>42.642067534849389</v>
      </c>
      <c r="J668" s="18">
        <f t="shared" si="73"/>
        <v>11.15793246515061</v>
      </c>
      <c r="K668" s="14">
        <v>40</v>
      </c>
      <c r="L668" s="18">
        <f t="shared" si="74"/>
        <v>31.70413943111479</v>
      </c>
      <c r="M668" s="18">
        <f t="shared" si="75"/>
        <v>8.2958605688852121</v>
      </c>
      <c r="N668" s="15">
        <f t="shared" si="76"/>
        <v>178.84100000000001</v>
      </c>
      <c r="O668" s="15">
        <f>+N668-P668</f>
        <v>141.75</v>
      </c>
      <c r="P668" s="15">
        <f>+IF(N668&gt;D668,N668-D668,0)</f>
        <v>37.091000000000008</v>
      </c>
      <c r="Q668" s="5">
        <f>+IF(P668=0,P668,P668/N668)</f>
        <v>0.20739651422213032</v>
      </c>
    </row>
    <row r="669" spans="1:17" x14ac:dyDescent="0.25">
      <c r="A669" s="7">
        <v>46262.791666666664</v>
      </c>
      <c r="B669" s="6">
        <v>0</v>
      </c>
      <c r="C669" s="13">
        <v>0</v>
      </c>
      <c r="D669" s="18">
        <f>+B669+C669</f>
        <v>0</v>
      </c>
      <c r="E669" s="14">
        <v>166.93199999999999</v>
      </c>
      <c r="F669" s="18">
        <f t="shared" si="70"/>
        <v>0</v>
      </c>
      <c r="G669" s="18">
        <f t="shared" si="71"/>
        <v>166.93199999999999</v>
      </c>
      <c r="H669" s="14">
        <v>80.44</v>
      </c>
      <c r="I669" s="18">
        <f t="shared" si="72"/>
        <v>0</v>
      </c>
      <c r="J669" s="18">
        <f t="shared" si="73"/>
        <v>80.44</v>
      </c>
      <c r="K669" s="14">
        <v>25</v>
      </c>
      <c r="L669" s="18">
        <f t="shared" si="74"/>
        <v>0</v>
      </c>
      <c r="M669" s="18">
        <f t="shared" si="75"/>
        <v>25</v>
      </c>
      <c r="N669" s="15">
        <f t="shared" si="76"/>
        <v>272.37199999999996</v>
      </c>
      <c r="O669" s="15">
        <f>+N669-P669</f>
        <v>0</v>
      </c>
      <c r="P669" s="15">
        <f>+IF(N669&gt;D669,N669-D669,0)</f>
        <v>272.37199999999996</v>
      </c>
      <c r="Q669" s="5">
        <f>+IF(P669=0,P669,P669/N669)</f>
        <v>1</v>
      </c>
    </row>
    <row r="670" spans="1:17" x14ac:dyDescent="0.25">
      <c r="A670" s="7">
        <v>46262.833333333336</v>
      </c>
      <c r="B670" s="6">
        <v>0</v>
      </c>
      <c r="C670" s="13">
        <v>0</v>
      </c>
      <c r="D670" s="18">
        <f>+B670+C670</f>
        <v>0</v>
      </c>
      <c r="E670" s="14">
        <v>966.94600000000003</v>
      </c>
      <c r="F670" s="18">
        <f t="shared" si="70"/>
        <v>0</v>
      </c>
      <c r="G670" s="18">
        <f t="shared" si="71"/>
        <v>966.94600000000003</v>
      </c>
      <c r="H670" s="14">
        <v>111.64</v>
      </c>
      <c r="I670" s="18">
        <f t="shared" si="72"/>
        <v>0</v>
      </c>
      <c r="J670" s="18">
        <f t="shared" si="73"/>
        <v>111.64</v>
      </c>
      <c r="K670" s="14">
        <v>2.68</v>
      </c>
      <c r="L670" s="18">
        <f t="shared" si="74"/>
        <v>0</v>
      </c>
      <c r="M670" s="18">
        <f t="shared" si="75"/>
        <v>2.68</v>
      </c>
      <c r="N670" s="15">
        <f t="shared" si="76"/>
        <v>1081.2660000000001</v>
      </c>
      <c r="O670" s="15">
        <f>+N670-P670</f>
        <v>0</v>
      </c>
      <c r="P670" s="15">
        <f>+IF(N670&gt;D670,N670-D670,0)</f>
        <v>1081.2660000000001</v>
      </c>
      <c r="Q670" s="5">
        <f>+IF(P670=0,P670,P670/N670)</f>
        <v>1</v>
      </c>
    </row>
    <row r="671" spans="1:17" x14ac:dyDescent="0.25">
      <c r="A671" s="7">
        <v>46262.875</v>
      </c>
      <c r="B671" s="6">
        <v>0</v>
      </c>
      <c r="C671" s="13">
        <v>0</v>
      </c>
      <c r="D671" s="18">
        <f>+B671+C671</f>
        <v>0</v>
      </c>
      <c r="E671" s="14">
        <v>992.14300000000003</v>
      </c>
      <c r="F671" s="18">
        <f t="shared" si="70"/>
        <v>0</v>
      </c>
      <c r="G671" s="18">
        <f t="shared" si="71"/>
        <v>992.14300000000003</v>
      </c>
      <c r="H671" s="14">
        <v>106.84</v>
      </c>
      <c r="I671" s="18">
        <f t="shared" si="72"/>
        <v>0</v>
      </c>
      <c r="J671" s="18">
        <f t="shared" si="73"/>
        <v>106.84</v>
      </c>
      <c r="K671" s="14">
        <v>2.92</v>
      </c>
      <c r="L671" s="18">
        <f t="shared" si="74"/>
        <v>0</v>
      </c>
      <c r="M671" s="18">
        <f t="shared" si="75"/>
        <v>2.92</v>
      </c>
      <c r="N671" s="15">
        <f t="shared" si="76"/>
        <v>1101.903</v>
      </c>
      <c r="O671" s="15">
        <f>+N671-P671</f>
        <v>0</v>
      </c>
      <c r="P671" s="15">
        <f>+IF(N671&gt;D671,N671-D671,0)</f>
        <v>1101.903</v>
      </c>
      <c r="Q671" s="5">
        <f>+IF(P671=0,P671,P671/N671)</f>
        <v>1</v>
      </c>
    </row>
    <row r="672" spans="1:17" x14ac:dyDescent="0.25">
      <c r="A672" s="7">
        <v>46262.916666666664</v>
      </c>
      <c r="B672" s="6">
        <v>0</v>
      </c>
      <c r="C672" s="13">
        <v>0</v>
      </c>
      <c r="D672" s="18">
        <f>+B672+C672</f>
        <v>0</v>
      </c>
      <c r="E672" s="14">
        <v>819.01400000000001</v>
      </c>
      <c r="F672" s="18">
        <f t="shared" si="70"/>
        <v>0</v>
      </c>
      <c r="G672" s="18">
        <f t="shared" si="71"/>
        <v>819.01400000000001</v>
      </c>
      <c r="H672" s="14">
        <v>92.32</v>
      </c>
      <c r="I672" s="18">
        <f t="shared" si="72"/>
        <v>0</v>
      </c>
      <c r="J672" s="18">
        <f t="shared" si="73"/>
        <v>92.32</v>
      </c>
      <c r="K672" s="14">
        <v>2.92</v>
      </c>
      <c r="L672" s="18">
        <f t="shared" si="74"/>
        <v>0</v>
      </c>
      <c r="M672" s="18">
        <f t="shared" si="75"/>
        <v>2.92</v>
      </c>
      <c r="N672" s="15">
        <f t="shared" si="76"/>
        <v>914.25400000000002</v>
      </c>
      <c r="O672" s="15">
        <f>+N672-P672</f>
        <v>0</v>
      </c>
      <c r="P672" s="15">
        <f>+IF(N672&gt;D672,N672-D672,0)</f>
        <v>914.25400000000002</v>
      </c>
      <c r="Q672" s="5">
        <f>+IF(P672=0,P672,P672/N672)</f>
        <v>1</v>
      </c>
    </row>
    <row r="673" spans="1:17" x14ac:dyDescent="0.25">
      <c r="A673" s="7">
        <v>46262.958333333336</v>
      </c>
      <c r="B673" s="6">
        <v>0</v>
      </c>
      <c r="C673" s="13">
        <v>0</v>
      </c>
      <c r="D673" s="18">
        <f>+B673+C673</f>
        <v>0</v>
      </c>
      <c r="E673" s="14">
        <v>995.41700000000003</v>
      </c>
      <c r="F673" s="18">
        <f t="shared" si="70"/>
        <v>0</v>
      </c>
      <c r="G673" s="18">
        <f t="shared" si="71"/>
        <v>995.41700000000003</v>
      </c>
      <c r="H673" s="14">
        <v>96.88</v>
      </c>
      <c r="I673" s="18">
        <f t="shared" si="72"/>
        <v>0</v>
      </c>
      <c r="J673" s="18">
        <f t="shared" si="73"/>
        <v>96.88</v>
      </c>
      <c r="K673" s="14">
        <v>2.92</v>
      </c>
      <c r="L673" s="18">
        <f t="shared" si="74"/>
        <v>0</v>
      </c>
      <c r="M673" s="18">
        <f t="shared" si="75"/>
        <v>2.92</v>
      </c>
      <c r="N673" s="15">
        <f t="shared" si="76"/>
        <v>1095.2170000000001</v>
      </c>
      <c r="O673" s="15">
        <f>+N673-P673</f>
        <v>0</v>
      </c>
      <c r="P673" s="15">
        <f>+IF(N673&gt;D673,N673-D673,0)</f>
        <v>1095.2170000000001</v>
      </c>
      <c r="Q673" s="5">
        <f>+IF(P673=0,P673,P673/N673)</f>
        <v>1</v>
      </c>
    </row>
    <row r="674" spans="1:17" x14ac:dyDescent="0.25">
      <c r="A674" s="7">
        <v>46263</v>
      </c>
      <c r="B674" s="6">
        <v>0</v>
      </c>
      <c r="C674" s="13">
        <v>0</v>
      </c>
      <c r="D674" s="18">
        <f>+B674+C674</f>
        <v>0</v>
      </c>
      <c r="E674" s="14">
        <v>945.01599999999996</v>
      </c>
      <c r="F674" s="18">
        <f t="shared" si="70"/>
        <v>0</v>
      </c>
      <c r="G674" s="18">
        <f t="shared" si="71"/>
        <v>945.01599999999996</v>
      </c>
      <c r="H674" s="14">
        <v>93.399999999999991</v>
      </c>
      <c r="I674" s="18">
        <f t="shared" si="72"/>
        <v>0</v>
      </c>
      <c r="J674" s="18">
        <f t="shared" si="73"/>
        <v>93.399999999999991</v>
      </c>
      <c r="K674" s="14">
        <v>2.92</v>
      </c>
      <c r="L674" s="18">
        <f t="shared" si="74"/>
        <v>0</v>
      </c>
      <c r="M674" s="18">
        <f t="shared" si="75"/>
        <v>2.92</v>
      </c>
      <c r="N674" s="15">
        <f t="shared" si="76"/>
        <v>1041.336</v>
      </c>
      <c r="O674" s="15">
        <f>+N674-P674</f>
        <v>0</v>
      </c>
      <c r="P674" s="15">
        <f>+IF(N674&gt;D674,N674-D674,0)</f>
        <v>1041.336</v>
      </c>
      <c r="Q674" s="5">
        <f>+IF(P674=0,P674,P674/N674)</f>
        <v>1</v>
      </c>
    </row>
    <row r="675" spans="1:17" x14ac:dyDescent="0.25">
      <c r="A675" s="7">
        <v>46263.041666666664</v>
      </c>
      <c r="B675" s="6">
        <v>0</v>
      </c>
      <c r="C675" s="13">
        <v>0</v>
      </c>
      <c r="D675" s="18">
        <f>+B675+C675</f>
        <v>0</v>
      </c>
      <c r="E675" s="14">
        <v>37.801000000000002</v>
      </c>
      <c r="F675" s="18">
        <f t="shared" si="70"/>
        <v>0</v>
      </c>
      <c r="G675" s="18">
        <f t="shared" si="71"/>
        <v>37.801000000000002</v>
      </c>
      <c r="H675" s="14">
        <v>98.919999999999987</v>
      </c>
      <c r="I675" s="18">
        <f t="shared" si="72"/>
        <v>0</v>
      </c>
      <c r="J675" s="18">
        <f t="shared" si="73"/>
        <v>98.919999999999987</v>
      </c>
      <c r="K675" s="14">
        <v>2.92</v>
      </c>
      <c r="L675" s="18">
        <f t="shared" si="74"/>
        <v>0</v>
      </c>
      <c r="M675" s="18">
        <f t="shared" si="75"/>
        <v>2.92</v>
      </c>
      <c r="N675" s="15">
        <f t="shared" si="76"/>
        <v>139.64099999999999</v>
      </c>
      <c r="O675" s="15">
        <f>+N675-P675</f>
        <v>0</v>
      </c>
      <c r="P675" s="15">
        <f>+IF(N675&gt;D675,N675-D675,0)</f>
        <v>139.64099999999999</v>
      </c>
      <c r="Q675" s="5">
        <f>+IF(P675=0,P675,P675/N675)</f>
        <v>1</v>
      </c>
    </row>
    <row r="676" spans="1:17" x14ac:dyDescent="0.25">
      <c r="A676" s="7">
        <v>46263.083333333336</v>
      </c>
      <c r="B676" s="6">
        <v>0</v>
      </c>
      <c r="C676" s="13">
        <v>0</v>
      </c>
      <c r="D676" s="18">
        <f>+B676+C676</f>
        <v>0</v>
      </c>
      <c r="E676" s="14">
        <v>938.71600000000001</v>
      </c>
      <c r="F676" s="18">
        <f t="shared" si="70"/>
        <v>0</v>
      </c>
      <c r="G676" s="18">
        <f t="shared" si="71"/>
        <v>938.71600000000001</v>
      </c>
      <c r="H676" s="14">
        <v>108.75999999999999</v>
      </c>
      <c r="I676" s="18">
        <f t="shared" si="72"/>
        <v>0</v>
      </c>
      <c r="J676" s="18">
        <f t="shared" si="73"/>
        <v>108.75999999999999</v>
      </c>
      <c r="K676" s="14">
        <v>2.8</v>
      </c>
      <c r="L676" s="18">
        <f t="shared" si="74"/>
        <v>0</v>
      </c>
      <c r="M676" s="18">
        <f t="shared" si="75"/>
        <v>2.8</v>
      </c>
      <c r="N676" s="15">
        <f t="shared" si="76"/>
        <v>1050.2760000000001</v>
      </c>
      <c r="O676" s="15">
        <f>+N676-P676</f>
        <v>0</v>
      </c>
      <c r="P676" s="15">
        <f>+IF(N676&gt;D676,N676-D676,0)</f>
        <v>1050.2760000000001</v>
      </c>
      <c r="Q676" s="5">
        <f>+IF(P676=0,P676,P676/N676)</f>
        <v>1</v>
      </c>
    </row>
    <row r="677" spans="1:17" x14ac:dyDescent="0.25">
      <c r="A677" s="7">
        <v>46263.125</v>
      </c>
      <c r="B677" s="6">
        <v>0</v>
      </c>
      <c r="C677" s="13">
        <v>0</v>
      </c>
      <c r="D677" s="18">
        <f>+B677+C677</f>
        <v>0</v>
      </c>
      <c r="E677" s="14">
        <v>929.26600000000008</v>
      </c>
      <c r="F677" s="18">
        <f t="shared" si="70"/>
        <v>0</v>
      </c>
      <c r="G677" s="18">
        <f t="shared" si="71"/>
        <v>929.26600000000008</v>
      </c>
      <c r="H677" s="14">
        <v>74.56</v>
      </c>
      <c r="I677" s="18">
        <f t="shared" si="72"/>
        <v>0</v>
      </c>
      <c r="J677" s="18">
        <f t="shared" si="73"/>
        <v>74.56</v>
      </c>
      <c r="K677" s="14">
        <v>2.8</v>
      </c>
      <c r="L677" s="18">
        <f t="shared" si="74"/>
        <v>0</v>
      </c>
      <c r="M677" s="18">
        <f t="shared" si="75"/>
        <v>2.8</v>
      </c>
      <c r="N677" s="15">
        <f t="shared" si="76"/>
        <v>1006.626</v>
      </c>
      <c r="O677" s="15">
        <f>+N677-P677</f>
        <v>0</v>
      </c>
      <c r="P677" s="15">
        <f>+IF(N677&gt;D677,N677-D677,0)</f>
        <v>1006.626</v>
      </c>
      <c r="Q677" s="5">
        <f>+IF(P677=0,P677,P677/N677)</f>
        <v>1</v>
      </c>
    </row>
    <row r="678" spans="1:17" x14ac:dyDescent="0.25">
      <c r="A678" s="7">
        <v>46263.166666666664</v>
      </c>
      <c r="B678" s="6">
        <v>0</v>
      </c>
      <c r="C678" s="13">
        <v>0</v>
      </c>
      <c r="D678" s="18">
        <f>+B678+C678</f>
        <v>0</v>
      </c>
      <c r="E678" s="14">
        <v>800.11400000000003</v>
      </c>
      <c r="F678" s="18">
        <f t="shared" si="70"/>
        <v>0</v>
      </c>
      <c r="G678" s="18">
        <f t="shared" si="71"/>
        <v>800.11400000000003</v>
      </c>
      <c r="H678" s="14">
        <v>71.92</v>
      </c>
      <c r="I678" s="18">
        <f t="shared" si="72"/>
        <v>0</v>
      </c>
      <c r="J678" s="18">
        <f t="shared" si="73"/>
        <v>71.92</v>
      </c>
      <c r="K678" s="14">
        <v>2.92</v>
      </c>
      <c r="L678" s="18">
        <f t="shared" si="74"/>
        <v>0</v>
      </c>
      <c r="M678" s="18">
        <f t="shared" si="75"/>
        <v>2.92</v>
      </c>
      <c r="N678" s="15">
        <f t="shared" si="76"/>
        <v>874.95399999999995</v>
      </c>
      <c r="O678" s="15">
        <f>+N678-P678</f>
        <v>0</v>
      </c>
      <c r="P678" s="15">
        <f>+IF(N678&gt;D678,N678-D678,0)</f>
        <v>874.95399999999995</v>
      </c>
      <c r="Q678" s="5">
        <f>+IF(P678=0,P678,P678/N678)</f>
        <v>1</v>
      </c>
    </row>
    <row r="679" spans="1:17" x14ac:dyDescent="0.25">
      <c r="A679" s="7">
        <v>46263.208333333336</v>
      </c>
      <c r="B679" s="6">
        <v>0</v>
      </c>
      <c r="C679" s="13">
        <v>0</v>
      </c>
      <c r="D679" s="18">
        <f>+B679+C679</f>
        <v>0</v>
      </c>
      <c r="E679" s="14">
        <v>796.96400000000006</v>
      </c>
      <c r="F679" s="18">
        <f t="shared" si="70"/>
        <v>0</v>
      </c>
      <c r="G679" s="18">
        <f t="shared" si="71"/>
        <v>796.96400000000006</v>
      </c>
      <c r="H679" s="14">
        <v>59.92</v>
      </c>
      <c r="I679" s="18">
        <f t="shared" si="72"/>
        <v>0</v>
      </c>
      <c r="J679" s="18">
        <f t="shared" si="73"/>
        <v>59.92</v>
      </c>
      <c r="K679" s="14">
        <v>2.8</v>
      </c>
      <c r="L679" s="18">
        <f t="shared" si="74"/>
        <v>0</v>
      </c>
      <c r="M679" s="18">
        <f t="shared" si="75"/>
        <v>2.8</v>
      </c>
      <c r="N679" s="15">
        <f t="shared" si="76"/>
        <v>859.68399999999997</v>
      </c>
      <c r="O679" s="15">
        <f>+N679-P679</f>
        <v>0</v>
      </c>
      <c r="P679" s="15">
        <f>+IF(N679&gt;D679,N679-D679,0)</f>
        <v>859.68399999999997</v>
      </c>
      <c r="Q679" s="5">
        <f>+IF(P679=0,P679,P679/N679)</f>
        <v>1</v>
      </c>
    </row>
    <row r="680" spans="1:17" x14ac:dyDescent="0.25">
      <c r="A680" s="7">
        <v>46263.25</v>
      </c>
      <c r="B680" s="6">
        <v>37.799999999999997</v>
      </c>
      <c r="C680" s="13">
        <v>0</v>
      </c>
      <c r="D680" s="18">
        <f>+B680+C680</f>
        <v>37.799999999999997</v>
      </c>
      <c r="E680" s="14">
        <v>12.6</v>
      </c>
      <c r="F680" s="18">
        <f t="shared" si="70"/>
        <v>8.9864150943396215</v>
      </c>
      <c r="G680" s="18">
        <f t="shared" si="71"/>
        <v>3.6135849056603777</v>
      </c>
      <c r="H680" s="14">
        <v>36.28</v>
      </c>
      <c r="I680" s="18">
        <f t="shared" si="72"/>
        <v>25.875169811320752</v>
      </c>
      <c r="J680" s="18">
        <f t="shared" si="73"/>
        <v>10.404830188679247</v>
      </c>
      <c r="K680" s="14">
        <v>4.12</v>
      </c>
      <c r="L680" s="18">
        <f t="shared" si="74"/>
        <v>2.9384150943396223</v>
      </c>
      <c r="M680" s="18">
        <f t="shared" si="75"/>
        <v>1.1815849056603775</v>
      </c>
      <c r="N680" s="15">
        <f t="shared" si="76"/>
        <v>53</v>
      </c>
      <c r="O680" s="15">
        <f>+N680-P680</f>
        <v>37.799999999999997</v>
      </c>
      <c r="P680" s="15">
        <f>+IF(N680&gt;D680,N680-D680,0)</f>
        <v>15.200000000000003</v>
      </c>
      <c r="Q680" s="5">
        <f>+IF(P680=0,P680,P680/N680)</f>
        <v>0.28679245283018873</v>
      </c>
    </row>
    <row r="681" spans="1:17" x14ac:dyDescent="0.25">
      <c r="A681" s="7">
        <v>46263.291666666664</v>
      </c>
      <c r="B681" s="6">
        <v>204.75</v>
      </c>
      <c r="C681" s="13">
        <v>0.36</v>
      </c>
      <c r="D681" s="18">
        <f>+B681+C681</f>
        <v>205.11</v>
      </c>
      <c r="E681" s="14">
        <v>0</v>
      </c>
      <c r="F681" s="18">
        <f t="shared" si="70"/>
        <v>0</v>
      </c>
      <c r="G681" s="18">
        <f t="shared" si="71"/>
        <v>0</v>
      </c>
      <c r="H681" s="14">
        <v>35.44</v>
      </c>
      <c r="I681" s="18">
        <f t="shared" si="72"/>
        <v>35.44</v>
      </c>
      <c r="J681" s="18">
        <f t="shared" si="73"/>
        <v>0</v>
      </c>
      <c r="K681" s="14">
        <v>2.56</v>
      </c>
      <c r="L681" s="18">
        <f t="shared" si="74"/>
        <v>2.56</v>
      </c>
      <c r="M681" s="18">
        <f t="shared" si="75"/>
        <v>0</v>
      </c>
      <c r="N681" s="15">
        <f t="shared" si="76"/>
        <v>38</v>
      </c>
      <c r="O681" s="15">
        <f>+N681-P681</f>
        <v>38</v>
      </c>
      <c r="P681" s="15">
        <f>+IF(N681&gt;D681,N681-D681,0)</f>
        <v>0</v>
      </c>
      <c r="Q681" s="5">
        <f>+IF(P681=0,P681,P681/N681)</f>
        <v>0</v>
      </c>
    </row>
    <row r="682" spans="1:17" x14ac:dyDescent="0.25">
      <c r="A682" s="7">
        <v>46263.333333333336</v>
      </c>
      <c r="B682" s="6">
        <v>519.75</v>
      </c>
      <c r="C682" s="13">
        <v>0</v>
      </c>
      <c r="D682" s="18">
        <f>+B682+C682</f>
        <v>519.75</v>
      </c>
      <c r="E682" s="14">
        <v>0</v>
      </c>
      <c r="F682" s="18">
        <f t="shared" si="70"/>
        <v>0</v>
      </c>
      <c r="G682" s="18">
        <f t="shared" si="71"/>
        <v>0</v>
      </c>
      <c r="H682" s="14">
        <v>129.64000000000001</v>
      </c>
      <c r="I682" s="18">
        <f t="shared" si="72"/>
        <v>129.64000000000001</v>
      </c>
      <c r="J682" s="18">
        <f t="shared" si="73"/>
        <v>0</v>
      </c>
      <c r="K682" s="14">
        <v>10.959999999999999</v>
      </c>
      <c r="L682" s="18">
        <f t="shared" si="74"/>
        <v>10.959999999999999</v>
      </c>
      <c r="M682" s="18">
        <f t="shared" si="75"/>
        <v>0</v>
      </c>
      <c r="N682" s="15">
        <f t="shared" si="76"/>
        <v>140.60000000000002</v>
      </c>
      <c r="O682" s="15">
        <f>+N682-P682</f>
        <v>140.60000000000002</v>
      </c>
      <c r="P682" s="15">
        <f>+IF(N682&gt;D682,N682-D682,0)</f>
        <v>0</v>
      </c>
      <c r="Q682" s="5">
        <f>+IF(P682=0,P682,P682/N682)</f>
        <v>0</v>
      </c>
    </row>
    <row r="683" spans="1:17" x14ac:dyDescent="0.25">
      <c r="A683" s="7">
        <v>46263.375</v>
      </c>
      <c r="B683" s="6">
        <v>639.45000000000005</v>
      </c>
      <c r="C683" s="13">
        <v>0</v>
      </c>
      <c r="D683" s="18">
        <f>+B683+C683</f>
        <v>639.45000000000005</v>
      </c>
      <c r="E683" s="14">
        <v>0</v>
      </c>
      <c r="F683" s="18">
        <f t="shared" si="70"/>
        <v>0</v>
      </c>
      <c r="G683" s="18">
        <f t="shared" si="71"/>
        <v>0</v>
      </c>
      <c r="H683" s="14">
        <v>78.759999999999991</v>
      </c>
      <c r="I683" s="18">
        <f t="shared" si="72"/>
        <v>78.759999999999991</v>
      </c>
      <c r="J683" s="18">
        <f t="shared" si="73"/>
        <v>0</v>
      </c>
      <c r="K683" s="14">
        <v>37</v>
      </c>
      <c r="L683" s="18">
        <f t="shared" si="74"/>
        <v>37</v>
      </c>
      <c r="M683" s="18">
        <f t="shared" si="75"/>
        <v>0</v>
      </c>
      <c r="N683" s="15">
        <f t="shared" si="76"/>
        <v>115.75999999999999</v>
      </c>
      <c r="O683" s="15">
        <f>+N683-P683</f>
        <v>115.75999999999999</v>
      </c>
      <c r="P683" s="15">
        <f>+IF(N683&gt;D683,N683-D683,0)</f>
        <v>0</v>
      </c>
      <c r="Q683" s="5">
        <f>+IF(P683=0,P683,P683/N683)</f>
        <v>0</v>
      </c>
    </row>
    <row r="684" spans="1:17" x14ac:dyDescent="0.25">
      <c r="A684" s="7">
        <v>46263.416666666664</v>
      </c>
      <c r="B684" s="6">
        <v>693</v>
      </c>
      <c r="C684" s="13">
        <v>0</v>
      </c>
      <c r="D684" s="18">
        <f>+B684+C684</f>
        <v>693</v>
      </c>
      <c r="E684" s="14">
        <v>0</v>
      </c>
      <c r="F684" s="18">
        <f t="shared" si="70"/>
        <v>0</v>
      </c>
      <c r="G684" s="18">
        <f t="shared" si="71"/>
        <v>0</v>
      </c>
      <c r="H684" s="14">
        <v>93.160000000000011</v>
      </c>
      <c r="I684" s="18">
        <f t="shared" si="72"/>
        <v>93.160000000000011</v>
      </c>
      <c r="J684" s="18">
        <f t="shared" si="73"/>
        <v>0</v>
      </c>
      <c r="K684" s="14">
        <v>47.08</v>
      </c>
      <c r="L684" s="18">
        <f t="shared" si="74"/>
        <v>47.08</v>
      </c>
      <c r="M684" s="18">
        <f t="shared" si="75"/>
        <v>0</v>
      </c>
      <c r="N684" s="15">
        <f t="shared" si="76"/>
        <v>140.24</v>
      </c>
      <c r="O684" s="15">
        <f>+N684-P684</f>
        <v>140.24</v>
      </c>
      <c r="P684" s="15">
        <f>+IF(N684&gt;D684,N684-D684,0)</f>
        <v>0</v>
      </c>
      <c r="Q684" s="5">
        <f>+IF(P684=0,P684,P684/N684)</f>
        <v>0</v>
      </c>
    </row>
    <row r="685" spans="1:17" x14ac:dyDescent="0.25">
      <c r="A685" s="7">
        <v>46263.458333333336</v>
      </c>
      <c r="B685" s="6">
        <v>689.85</v>
      </c>
      <c r="C685" s="13">
        <v>5.28</v>
      </c>
      <c r="D685" s="18">
        <f>+B685+C685</f>
        <v>695.13</v>
      </c>
      <c r="E685" s="14">
        <v>0</v>
      </c>
      <c r="F685" s="18">
        <f t="shared" si="70"/>
        <v>0</v>
      </c>
      <c r="G685" s="18">
        <f t="shared" si="71"/>
        <v>0</v>
      </c>
      <c r="H685" s="14">
        <v>63.76</v>
      </c>
      <c r="I685" s="18">
        <f t="shared" si="72"/>
        <v>63.76</v>
      </c>
      <c r="J685" s="18">
        <f t="shared" si="73"/>
        <v>0</v>
      </c>
      <c r="K685" s="14">
        <v>47.559999999999995</v>
      </c>
      <c r="L685" s="18">
        <f t="shared" si="74"/>
        <v>47.559999999999995</v>
      </c>
      <c r="M685" s="18">
        <f t="shared" si="75"/>
        <v>0</v>
      </c>
      <c r="N685" s="15">
        <f t="shared" si="76"/>
        <v>111.32</v>
      </c>
      <c r="O685" s="15">
        <f>+N685-P685</f>
        <v>111.32</v>
      </c>
      <c r="P685" s="15">
        <f>+IF(N685&gt;D685,N685-D685,0)</f>
        <v>0</v>
      </c>
      <c r="Q685" s="5">
        <f>+IF(P685=0,P685,P685/N685)</f>
        <v>0</v>
      </c>
    </row>
    <row r="686" spans="1:17" x14ac:dyDescent="0.25">
      <c r="A686" s="7">
        <v>46263.5</v>
      </c>
      <c r="B686" s="6">
        <v>2387.6999999999998</v>
      </c>
      <c r="C686" s="13">
        <v>41.64</v>
      </c>
      <c r="D686" s="18">
        <f>+B686+C686</f>
        <v>2429.3399999999997</v>
      </c>
      <c r="E686" s="14">
        <v>0</v>
      </c>
      <c r="F686" s="18">
        <f t="shared" si="70"/>
        <v>0</v>
      </c>
      <c r="G686" s="18">
        <f t="shared" si="71"/>
        <v>0</v>
      </c>
      <c r="H686" s="14">
        <v>4.4799999999999995</v>
      </c>
      <c r="I686" s="18">
        <f t="shared" si="72"/>
        <v>4.4799999999999995</v>
      </c>
      <c r="J686" s="18">
        <f t="shared" si="73"/>
        <v>0</v>
      </c>
      <c r="K686" s="14">
        <v>42.52</v>
      </c>
      <c r="L686" s="18">
        <f t="shared" si="74"/>
        <v>42.52</v>
      </c>
      <c r="M686" s="18">
        <f t="shared" si="75"/>
        <v>0</v>
      </c>
      <c r="N686" s="15">
        <f t="shared" si="76"/>
        <v>47</v>
      </c>
      <c r="O686" s="15">
        <f>+N686-P686</f>
        <v>47</v>
      </c>
      <c r="P686" s="15">
        <f>+IF(N686&gt;D686,N686-D686,0)</f>
        <v>0</v>
      </c>
      <c r="Q686" s="5">
        <f>+IF(P686=0,P686,P686/N686)</f>
        <v>0</v>
      </c>
    </row>
    <row r="687" spans="1:17" x14ac:dyDescent="0.25">
      <c r="A687" s="7">
        <v>46263.541666666664</v>
      </c>
      <c r="B687" s="6">
        <v>1839.6</v>
      </c>
      <c r="C687" s="13">
        <v>41.52</v>
      </c>
      <c r="D687" s="18">
        <f>+B687+C687</f>
        <v>1881.12</v>
      </c>
      <c r="E687" s="14">
        <v>0</v>
      </c>
      <c r="F687" s="18">
        <f t="shared" si="70"/>
        <v>0</v>
      </c>
      <c r="G687" s="18">
        <f t="shared" si="71"/>
        <v>0</v>
      </c>
      <c r="H687" s="14">
        <v>14.32</v>
      </c>
      <c r="I687" s="18">
        <f t="shared" si="72"/>
        <v>14.32</v>
      </c>
      <c r="J687" s="18">
        <f t="shared" si="73"/>
        <v>0</v>
      </c>
      <c r="K687" s="14">
        <v>30.880000000000003</v>
      </c>
      <c r="L687" s="18">
        <f t="shared" si="74"/>
        <v>30.880000000000003</v>
      </c>
      <c r="M687" s="18">
        <f t="shared" si="75"/>
        <v>0</v>
      </c>
      <c r="N687" s="15">
        <f t="shared" si="76"/>
        <v>45.2</v>
      </c>
      <c r="O687" s="15">
        <f>+N687-P687</f>
        <v>45.2</v>
      </c>
      <c r="P687" s="15">
        <f>+IF(N687&gt;D687,N687-D687,0)</f>
        <v>0</v>
      </c>
      <c r="Q687" s="5">
        <f>+IF(P687=0,P687,P687/N687)</f>
        <v>0</v>
      </c>
    </row>
    <row r="688" spans="1:17" x14ac:dyDescent="0.25">
      <c r="A688" s="7">
        <v>46263.583333333336</v>
      </c>
      <c r="B688" s="6">
        <v>1263.1500000000001</v>
      </c>
      <c r="C688" s="13">
        <v>9.24</v>
      </c>
      <c r="D688" s="18">
        <f>+B688+C688</f>
        <v>1272.3900000000001</v>
      </c>
      <c r="E688" s="14">
        <v>0</v>
      </c>
      <c r="F688" s="18">
        <f t="shared" si="70"/>
        <v>0</v>
      </c>
      <c r="G688" s="18">
        <f t="shared" si="71"/>
        <v>0</v>
      </c>
      <c r="H688" s="14">
        <v>40.120000000000005</v>
      </c>
      <c r="I688" s="18">
        <f t="shared" si="72"/>
        <v>40.120000000000005</v>
      </c>
      <c r="J688" s="18">
        <f t="shared" si="73"/>
        <v>0</v>
      </c>
      <c r="K688" s="14">
        <v>24.52</v>
      </c>
      <c r="L688" s="18">
        <f t="shared" si="74"/>
        <v>24.52</v>
      </c>
      <c r="M688" s="18">
        <f t="shared" si="75"/>
        <v>0</v>
      </c>
      <c r="N688" s="15">
        <f t="shared" si="76"/>
        <v>64.64</v>
      </c>
      <c r="O688" s="15">
        <f>+N688-P688</f>
        <v>64.64</v>
      </c>
      <c r="P688" s="15">
        <f>+IF(N688&gt;D688,N688-D688,0)</f>
        <v>0</v>
      </c>
      <c r="Q688" s="5">
        <f>+IF(P688=0,P688,P688/N688)</f>
        <v>0</v>
      </c>
    </row>
    <row r="689" spans="1:17" x14ac:dyDescent="0.25">
      <c r="A689" s="7">
        <v>46263.625</v>
      </c>
      <c r="B689" s="6">
        <v>229.95</v>
      </c>
      <c r="C689" s="13">
        <v>0.12</v>
      </c>
      <c r="D689" s="18">
        <f>+B689+C689</f>
        <v>230.07</v>
      </c>
      <c r="E689" s="14">
        <v>22.05</v>
      </c>
      <c r="F689" s="18">
        <f t="shared" si="70"/>
        <v>22.05</v>
      </c>
      <c r="G689" s="18">
        <f t="shared" si="71"/>
        <v>0</v>
      </c>
      <c r="H689" s="14">
        <v>52.12</v>
      </c>
      <c r="I689" s="18">
        <f t="shared" si="72"/>
        <v>52.12</v>
      </c>
      <c r="J689" s="18">
        <f t="shared" si="73"/>
        <v>0</v>
      </c>
      <c r="K689" s="14">
        <v>22.72</v>
      </c>
      <c r="L689" s="18">
        <f t="shared" si="74"/>
        <v>22.72</v>
      </c>
      <c r="M689" s="18">
        <f t="shared" si="75"/>
        <v>0</v>
      </c>
      <c r="N689" s="15">
        <f t="shared" si="76"/>
        <v>96.89</v>
      </c>
      <c r="O689" s="15">
        <f>+N689-P689</f>
        <v>96.89</v>
      </c>
      <c r="P689" s="15">
        <f>+IF(N689&gt;D689,N689-D689,0)</f>
        <v>0</v>
      </c>
      <c r="Q689" s="5">
        <f>+IF(P689=0,P689,P689/N689)</f>
        <v>0</v>
      </c>
    </row>
    <row r="690" spans="1:17" x14ac:dyDescent="0.25">
      <c r="A690" s="7">
        <v>46263.666666666664</v>
      </c>
      <c r="B690" s="6">
        <v>72.45</v>
      </c>
      <c r="C690" s="13">
        <v>1.32</v>
      </c>
      <c r="D690" s="18">
        <f>+B690+C690</f>
        <v>73.77</v>
      </c>
      <c r="E690" s="14">
        <v>151.19999999999999</v>
      </c>
      <c r="F690" s="18">
        <f t="shared" si="70"/>
        <v>52.024365671641789</v>
      </c>
      <c r="G690" s="18">
        <f t="shared" si="71"/>
        <v>99.1756343283582</v>
      </c>
      <c r="H690" s="14">
        <v>44.92</v>
      </c>
      <c r="I690" s="18">
        <f t="shared" si="72"/>
        <v>15.455916044776121</v>
      </c>
      <c r="J690" s="18">
        <f t="shared" si="73"/>
        <v>29.464083955223881</v>
      </c>
      <c r="K690" s="14">
        <v>18.28</v>
      </c>
      <c r="L690" s="18">
        <f t="shared" si="74"/>
        <v>6.28971828358209</v>
      </c>
      <c r="M690" s="18">
        <f t="shared" si="75"/>
        <v>11.990281716417911</v>
      </c>
      <c r="N690" s="15">
        <f t="shared" si="76"/>
        <v>214.4</v>
      </c>
      <c r="O690" s="15">
        <f>+N690-P690</f>
        <v>73.77000000000001</v>
      </c>
      <c r="P690" s="15">
        <f>+IF(N690&gt;D690,N690-D690,0)</f>
        <v>140.63</v>
      </c>
      <c r="Q690" s="5">
        <f>+IF(P690=0,P690,P690/N690)</f>
        <v>0.65592350746268657</v>
      </c>
    </row>
    <row r="691" spans="1:17" x14ac:dyDescent="0.25">
      <c r="A691" s="7">
        <v>46263.708333333336</v>
      </c>
      <c r="B691" s="6">
        <v>3.15</v>
      </c>
      <c r="C691" s="13">
        <v>0</v>
      </c>
      <c r="D691" s="18">
        <f>+B691+C691</f>
        <v>3.15</v>
      </c>
      <c r="E691" s="14">
        <v>390.55799999999999</v>
      </c>
      <c r="F691" s="18">
        <f t="shared" si="70"/>
        <v>2.5744179476770341</v>
      </c>
      <c r="G691" s="18">
        <f t="shared" si="71"/>
        <v>387.98358205232296</v>
      </c>
      <c r="H691" s="14">
        <v>60.28</v>
      </c>
      <c r="I691" s="18">
        <f t="shared" si="72"/>
        <v>0.39734409200674747</v>
      </c>
      <c r="J691" s="18">
        <f t="shared" si="73"/>
        <v>59.882655907993254</v>
      </c>
      <c r="K691" s="14">
        <v>27.040000000000003</v>
      </c>
      <c r="L691" s="18">
        <f t="shared" si="74"/>
        <v>0.17823796031623118</v>
      </c>
      <c r="M691" s="18">
        <f t="shared" si="75"/>
        <v>26.861762039683772</v>
      </c>
      <c r="N691" s="15">
        <f t="shared" si="76"/>
        <v>477.87799999999999</v>
      </c>
      <c r="O691" s="15">
        <f>+N691-P691</f>
        <v>3.1499999999999773</v>
      </c>
      <c r="P691" s="15">
        <f>+IF(N691&gt;D691,N691-D691,0)</f>
        <v>474.72800000000001</v>
      </c>
      <c r="Q691" s="5">
        <f>+IF(P691=0,P691,P691/N691)</f>
        <v>0.99340835945576067</v>
      </c>
    </row>
    <row r="692" spans="1:17" x14ac:dyDescent="0.25">
      <c r="A692" s="7">
        <v>46263.75</v>
      </c>
      <c r="B692" s="6">
        <v>0</v>
      </c>
      <c r="C692" s="13">
        <v>0</v>
      </c>
      <c r="D692" s="18">
        <f>+B692+C692</f>
        <v>0</v>
      </c>
      <c r="E692" s="14">
        <v>144.88400000000001</v>
      </c>
      <c r="F692" s="18">
        <f t="shared" si="70"/>
        <v>0</v>
      </c>
      <c r="G692" s="18">
        <f t="shared" si="71"/>
        <v>144.88400000000001</v>
      </c>
      <c r="H692" s="14">
        <v>55.96</v>
      </c>
      <c r="I692" s="18">
        <f t="shared" si="72"/>
        <v>0</v>
      </c>
      <c r="J692" s="18">
        <f t="shared" si="73"/>
        <v>55.96</v>
      </c>
      <c r="K692" s="14">
        <v>20.2</v>
      </c>
      <c r="L692" s="18">
        <f t="shared" si="74"/>
        <v>0</v>
      </c>
      <c r="M692" s="18">
        <f t="shared" si="75"/>
        <v>20.2</v>
      </c>
      <c r="N692" s="15">
        <f t="shared" si="76"/>
        <v>221.04400000000001</v>
      </c>
      <c r="O692" s="15">
        <f>+N692-P692</f>
        <v>0</v>
      </c>
      <c r="P692" s="15">
        <f>+IF(N692&gt;D692,N692-D692,0)</f>
        <v>221.04400000000001</v>
      </c>
      <c r="Q692" s="5">
        <f>+IF(P692=0,P692,P692/N692)</f>
        <v>1</v>
      </c>
    </row>
    <row r="693" spans="1:17" x14ac:dyDescent="0.25">
      <c r="A693" s="7">
        <v>46263.791666666664</v>
      </c>
      <c r="B693" s="6">
        <v>0</v>
      </c>
      <c r="C693" s="13">
        <v>0</v>
      </c>
      <c r="D693" s="18">
        <f>+B693+C693</f>
        <v>0</v>
      </c>
      <c r="E693" s="14">
        <v>72.442000000000007</v>
      </c>
      <c r="F693" s="18">
        <f t="shared" si="70"/>
        <v>0</v>
      </c>
      <c r="G693" s="18">
        <f t="shared" si="71"/>
        <v>72.442000000000007</v>
      </c>
      <c r="H693" s="14">
        <v>67.84</v>
      </c>
      <c r="I693" s="18">
        <f t="shared" si="72"/>
        <v>0</v>
      </c>
      <c r="J693" s="18">
        <f t="shared" si="73"/>
        <v>67.84</v>
      </c>
      <c r="K693" s="14">
        <v>12.040000000000001</v>
      </c>
      <c r="L693" s="18">
        <f t="shared" si="74"/>
        <v>0</v>
      </c>
      <c r="M693" s="18">
        <f t="shared" si="75"/>
        <v>12.040000000000001</v>
      </c>
      <c r="N693" s="15">
        <f t="shared" si="76"/>
        <v>152.322</v>
      </c>
      <c r="O693" s="15">
        <f>+N693-P693</f>
        <v>0</v>
      </c>
      <c r="P693" s="15">
        <f>+IF(N693&gt;D693,N693-D693,0)</f>
        <v>152.322</v>
      </c>
      <c r="Q693" s="5">
        <f>+IF(P693=0,P693,P693/N693)</f>
        <v>1</v>
      </c>
    </row>
    <row r="694" spans="1:17" x14ac:dyDescent="0.25">
      <c r="A694" s="7">
        <v>46263.833333333336</v>
      </c>
      <c r="B694" s="6">
        <v>0</v>
      </c>
      <c r="C694" s="13">
        <v>0</v>
      </c>
      <c r="D694" s="18">
        <f>+B694+C694</f>
        <v>0</v>
      </c>
      <c r="E694" s="14">
        <v>1004.7420000000001</v>
      </c>
      <c r="F694" s="18">
        <f t="shared" si="70"/>
        <v>0</v>
      </c>
      <c r="G694" s="18">
        <f t="shared" si="71"/>
        <v>1004.7420000000001</v>
      </c>
      <c r="H694" s="14">
        <v>105.64</v>
      </c>
      <c r="I694" s="18">
        <f t="shared" si="72"/>
        <v>0</v>
      </c>
      <c r="J694" s="18">
        <f t="shared" si="73"/>
        <v>105.64</v>
      </c>
      <c r="K694" s="14">
        <v>14.92</v>
      </c>
      <c r="L694" s="18">
        <f t="shared" si="74"/>
        <v>0</v>
      </c>
      <c r="M694" s="18">
        <f t="shared" si="75"/>
        <v>14.92</v>
      </c>
      <c r="N694" s="15">
        <f t="shared" si="76"/>
        <v>1125.3020000000001</v>
      </c>
      <c r="O694" s="15">
        <f>+N694-P694</f>
        <v>0</v>
      </c>
      <c r="P694" s="15">
        <f>+IF(N694&gt;D694,N694-D694,0)</f>
        <v>1125.3020000000001</v>
      </c>
      <c r="Q694" s="5">
        <f>+IF(P694=0,P694,P694/N694)</f>
        <v>1</v>
      </c>
    </row>
    <row r="695" spans="1:17" x14ac:dyDescent="0.25">
      <c r="A695" s="7">
        <v>46263.875</v>
      </c>
      <c r="B695" s="6">
        <v>0</v>
      </c>
      <c r="C695" s="13">
        <v>0</v>
      </c>
      <c r="D695" s="18">
        <f>+B695+C695</f>
        <v>0</v>
      </c>
      <c r="E695" s="14">
        <v>957.49700000000007</v>
      </c>
      <c r="F695" s="18">
        <f t="shared" si="70"/>
        <v>0</v>
      </c>
      <c r="G695" s="18">
        <f t="shared" si="71"/>
        <v>957.49700000000007</v>
      </c>
      <c r="H695" s="14">
        <v>101.44</v>
      </c>
      <c r="I695" s="18">
        <f t="shared" si="72"/>
        <v>0</v>
      </c>
      <c r="J695" s="18">
        <f t="shared" si="73"/>
        <v>101.44</v>
      </c>
      <c r="K695" s="14">
        <v>11.799999999999999</v>
      </c>
      <c r="L695" s="18">
        <f t="shared" si="74"/>
        <v>0</v>
      </c>
      <c r="M695" s="18">
        <f t="shared" si="75"/>
        <v>11.799999999999999</v>
      </c>
      <c r="N695" s="15">
        <f t="shared" si="76"/>
        <v>1070.7370000000001</v>
      </c>
      <c r="O695" s="15">
        <f>+N695-P695</f>
        <v>0</v>
      </c>
      <c r="P695" s="15">
        <f>+IF(N695&gt;D695,N695-D695,0)</f>
        <v>1070.7370000000001</v>
      </c>
      <c r="Q695" s="5">
        <f>+IF(P695=0,P695,P695/N695)</f>
        <v>1</v>
      </c>
    </row>
    <row r="696" spans="1:17" x14ac:dyDescent="0.25">
      <c r="A696" s="7">
        <v>46263.916666666664</v>
      </c>
      <c r="B696" s="6">
        <v>0</v>
      </c>
      <c r="C696" s="13">
        <v>0</v>
      </c>
      <c r="D696" s="18">
        <f>+B696+C696</f>
        <v>0</v>
      </c>
      <c r="E696" s="14">
        <v>995.41700000000003</v>
      </c>
      <c r="F696" s="18">
        <f t="shared" si="70"/>
        <v>0</v>
      </c>
      <c r="G696" s="18">
        <f t="shared" si="71"/>
        <v>995.41700000000003</v>
      </c>
      <c r="H696" s="14">
        <v>88.48</v>
      </c>
      <c r="I696" s="18">
        <f t="shared" si="72"/>
        <v>0</v>
      </c>
      <c r="J696" s="18">
        <f t="shared" si="73"/>
        <v>88.48</v>
      </c>
      <c r="K696" s="14">
        <v>11.68</v>
      </c>
      <c r="L696" s="18">
        <f t="shared" si="74"/>
        <v>0</v>
      </c>
      <c r="M696" s="18">
        <f t="shared" si="75"/>
        <v>11.68</v>
      </c>
      <c r="N696" s="15">
        <f t="shared" si="76"/>
        <v>1095.577</v>
      </c>
      <c r="O696" s="15">
        <f>+N696-P696</f>
        <v>0</v>
      </c>
      <c r="P696" s="15">
        <f>+IF(N696&gt;D696,N696-D696,0)</f>
        <v>1095.577</v>
      </c>
      <c r="Q696" s="5">
        <f>+IF(P696=0,P696,P696/N696)</f>
        <v>1</v>
      </c>
    </row>
    <row r="697" spans="1:17" x14ac:dyDescent="0.25">
      <c r="A697" s="7">
        <v>46263.958333333336</v>
      </c>
      <c r="B697" s="6">
        <v>0</v>
      </c>
      <c r="C697" s="13">
        <v>0</v>
      </c>
      <c r="D697" s="18">
        <f>+B697+C697</f>
        <v>0</v>
      </c>
      <c r="E697" s="14">
        <v>957.61700000000008</v>
      </c>
      <c r="F697" s="18">
        <f t="shared" si="70"/>
        <v>0</v>
      </c>
      <c r="G697" s="18">
        <f t="shared" si="71"/>
        <v>957.61700000000008</v>
      </c>
      <c r="H697" s="14">
        <v>91.84</v>
      </c>
      <c r="I697" s="18">
        <f t="shared" si="72"/>
        <v>0</v>
      </c>
      <c r="J697" s="18">
        <f t="shared" si="73"/>
        <v>91.84</v>
      </c>
      <c r="K697" s="14">
        <v>11.799999999999999</v>
      </c>
      <c r="L697" s="18">
        <f t="shared" si="74"/>
        <v>0</v>
      </c>
      <c r="M697" s="18">
        <f t="shared" si="75"/>
        <v>11.799999999999999</v>
      </c>
      <c r="N697" s="15">
        <f t="shared" si="76"/>
        <v>1061.2570000000001</v>
      </c>
      <c r="O697" s="15">
        <f>+N697-P697</f>
        <v>0</v>
      </c>
      <c r="P697" s="15">
        <f>+IF(N697&gt;D697,N697-D697,0)</f>
        <v>1061.2570000000001</v>
      </c>
      <c r="Q697" s="5">
        <f>+IF(P697=0,P697,P697/N697)</f>
        <v>1</v>
      </c>
    </row>
    <row r="698" spans="1:17" x14ac:dyDescent="0.25">
      <c r="A698" s="7">
        <v>46264</v>
      </c>
      <c r="B698" s="6">
        <v>0</v>
      </c>
      <c r="C698" s="13">
        <v>0</v>
      </c>
      <c r="D698" s="18">
        <f>+B698+C698</f>
        <v>0</v>
      </c>
      <c r="E698" s="14">
        <v>355.95600000000002</v>
      </c>
      <c r="F698" s="18">
        <f t="shared" si="70"/>
        <v>0</v>
      </c>
      <c r="G698" s="18">
        <f t="shared" si="71"/>
        <v>355.95600000000002</v>
      </c>
      <c r="H698" s="14">
        <v>86.44</v>
      </c>
      <c r="I698" s="18">
        <f t="shared" si="72"/>
        <v>0</v>
      </c>
      <c r="J698" s="18">
        <f t="shared" si="73"/>
        <v>86.44</v>
      </c>
      <c r="K698" s="14">
        <v>11.799999999999999</v>
      </c>
      <c r="L698" s="18">
        <f t="shared" si="74"/>
        <v>0</v>
      </c>
      <c r="M698" s="18">
        <f t="shared" si="75"/>
        <v>11.799999999999999</v>
      </c>
      <c r="N698" s="15">
        <f t="shared" si="76"/>
        <v>454.19600000000003</v>
      </c>
      <c r="O698" s="15">
        <f>+N698-P698</f>
        <v>0</v>
      </c>
      <c r="P698" s="15">
        <f>+IF(N698&gt;D698,N698-D698,0)</f>
        <v>454.19600000000003</v>
      </c>
      <c r="Q698" s="5">
        <f>+IF(P698=0,P698,P698/N698)</f>
        <v>1</v>
      </c>
    </row>
    <row r="699" spans="1:17" x14ac:dyDescent="0.25">
      <c r="A699" s="7">
        <v>46264.041666666664</v>
      </c>
      <c r="B699" s="6">
        <v>0</v>
      </c>
      <c r="C699" s="13">
        <v>0</v>
      </c>
      <c r="D699" s="18">
        <f>+B699+C699</f>
        <v>0</v>
      </c>
      <c r="E699" s="14">
        <v>34.651000000000003</v>
      </c>
      <c r="F699" s="18">
        <f t="shared" si="70"/>
        <v>0</v>
      </c>
      <c r="G699" s="18">
        <f t="shared" si="71"/>
        <v>34.651000000000003</v>
      </c>
      <c r="H699" s="14">
        <v>101.8</v>
      </c>
      <c r="I699" s="18">
        <f t="shared" si="72"/>
        <v>0</v>
      </c>
      <c r="J699" s="18">
        <f t="shared" si="73"/>
        <v>101.8</v>
      </c>
      <c r="K699" s="14">
        <v>11.799999999999999</v>
      </c>
      <c r="L699" s="18">
        <f t="shared" si="74"/>
        <v>0</v>
      </c>
      <c r="M699" s="18">
        <f t="shared" si="75"/>
        <v>11.799999999999999</v>
      </c>
      <c r="N699" s="15">
        <f t="shared" si="76"/>
        <v>148.251</v>
      </c>
      <c r="O699" s="15">
        <f>+N699-P699</f>
        <v>0</v>
      </c>
      <c r="P699" s="15">
        <f>+IF(N699&gt;D699,N699-D699,0)</f>
        <v>148.251</v>
      </c>
      <c r="Q699" s="5">
        <f>+IF(P699=0,P699,P699/N699)</f>
        <v>1</v>
      </c>
    </row>
    <row r="700" spans="1:17" x14ac:dyDescent="0.25">
      <c r="A700" s="7">
        <v>46264.083333333336</v>
      </c>
      <c r="B700" s="6">
        <v>0</v>
      </c>
      <c r="C700" s="13">
        <v>0</v>
      </c>
      <c r="D700" s="18">
        <f>+B700+C700</f>
        <v>0</v>
      </c>
      <c r="E700" s="14">
        <v>841.06499999999994</v>
      </c>
      <c r="F700" s="18">
        <f t="shared" si="70"/>
        <v>0</v>
      </c>
      <c r="G700" s="18">
        <f t="shared" si="71"/>
        <v>841.06499999999994</v>
      </c>
      <c r="H700" s="14">
        <v>105.16</v>
      </c>
      <c r="I700" s="18">
        <f t="shared" si="72"/>
        <v>0</v>
      </c>
      <c r="J700" s="18">
        <f t="shared" si="73"/>
        <v>105.16</v>
      </c>
      <c r="K700" s="14">
        <v>11.92</v>
      </c>
      <c r="L700" s="18">
        <f t="shared" si="74"/>
        <v>0</v>
      </c>
      <c r="M700" s="18">
        <f t="shared" si="75"/>
        <v>11.92</v>
      </c>
      <c r="N700" s="15">
        <f t="shared" si="76"/>
        <v>958.14499999999987</v>
      </c>
      <c r="O700" s="15">
        <f>+N700-P700</f>
        <v>0</v>
      </c>
      <c r="P700" s="15">
        <f>+IF(N700&gt;D700,N700-D700,0)</f>
        <v>958.14499999999987</v>
      </c>
      <c r="Q700" s="5">
        <f>+IF(P700=0,P700,P700/N700)</f>
        <v>1</v>
      </c>
    </row>
    <row r="701" spans="1:17" x14ac:dyDescent="0.25">
      <c r="A701" s="7">
        <v>46264.125</v>
      </c>
      <c r="B701" s="6">
        <v>0</v>
      </c>
      <c r="C701" s="13">
        <v>0</v>
      </c>
      <c r="D701" s="18">
        <f>+B701+C701</f>
        <v>0</v>
      </c>
      <c r="E701" s="14">
        <v>922.96600000000001</v>
      </c>
      <c r="F701" s="18">
        <f t="shared" si="70"/>
        <v>0</v>
      </c>
      <c r="G701" s="18">
        <f t="shared" si="71"/>
        <v>922.96600000000001</v>
      </c>
      <c r="H701" s="14">
        <v>70.239999999999995</v>
      </c>
      <c r="I701" s="18">
        <f t="shared" si="72"/>
        <v>0</v>
      </c>
      <c r="J701" s="18">
        <f t="shared" si="73"/>
        <v>70.239999999999995</v>
      </c>
      <c r="K701" s="14">
        <v>12.64</v>
      </c>
      <c r="L701" s="18">
        <f t="shared" si="74"/>
        <v>0</v>
      </c>
      <c r="M701" s="18">
        <f t="shared" si="75"/>
        <v>12.64</v>
      </c>
      <c r="N701" s="15">
        <f t="shared" si="76"/>
        <v>1005.846</v>
      </c>
      <c r="O701" s="15">
        <f>+N701-P701</f>
        <v>0</v>
      </c>
      <c r="P701" s="15">
        <f>+IF(N701&gt;D701,N701-D701,0)</f>
        <v>1005.846</v>
      </c>
      <c r="Q701" s="5">
        <f>+IF(P701=0,P701,P701/N701)</f>
        <v>1</v>
      </c>
    </row>
    <row r="702" spans="1:17" x14ac:dyDescent="0.25">
      <c r="A702" s="7">
        <v>46264.166666666664</v>
      </c>
      <c r="B702" s="6">
        <v>0</v>
      </c>
      <c r="C702" s="13">
        <v>0</v>
      </c>
      <c r="D702" s="18">
        <f>+B702+C702</f>
        <v>0</v>
      </c>
      <c r="E702" s="14">
        <v>702.46199999999999</v>
      </c>
      <c r="F702" s="18">
        <f t="shared" si="70"/>
        <v>0</v>
      </c>
      <c r="G702" s="18">
        <f t="shared" si="71"/>
        <v>702.46199999999999</v>
      </c>
      <c r="H702" s="14">
        <v>60.519999999999996</v>
      </c>
      <c r="I702" s="18">
        <f t="shared" si="72"/>
        <v>0</v>
      </c>
      <c r="J702" s="18">
        <f t="shared" si="73"/>
        <v>60.519999999999996</v>
      </c>
      <c r="K702" s="14">
        <v>11.92</v>
      </c>
      <c r="L702" s="18">
        <f t="shared" si="74"/>
        <v>0</v>
      </c>
      <c r="M702" s="18">
        <f t="shared" si="75"/>
        <v>11.92</v>
      </c>
      <c r="N702" s="15">
        <f t="shared" si="76"/>
        <v>774.90199999999993</v>
      </c>
      <c r="O702" s="15">
        <f>+N702-P702</f>
        <v>0</v>
      </c>
      <c r="P702" s="15">
        <f>+IF(N702&gt;D702,N702-D702,0)</f>
        <v>774.90199999999993</v>
      </c>
      <c r="Q702" s="5">
        <f>+IF(P702=0,P702,P702/N702)</f>
        <v>1</v>
      </c>
    </row>
    <row r="703" spans="1:17" x14ac:dyDescent="0.25">
      <c r="A703" s="7">
        <v>46264.208333333336</v>
      </c>
      <c r="B703" s="6">
        <v>0</v>
      </c>
      <c r="C703" s="13">
        <v>0</v>
      </c>
      <c r="D703" s="18">
        <f>+B703+C703</f>
        <v>0</v>
      </c>
      <c r="E703" s="14">
        <v>806.41399999999999</v>
      </c>
      <c r="F703" s="18">
        <f t="shared" si="70"/>
        <v>0</v>
      </c>
      <c r="G703" s="18">
        <f t="shared" si="71"/>
        <v>806.41399999999999</v>
      </c>
      <c r="H703" s="14">
        <v>50.68</v>
      </c>
      <c r="I703" s="18">
        <f t="shared" si="72"/>
        <v>0</v>
      </c>
      <c r="J703" s="18">
        <f t="shared" si="73"/>
        <v>50.68</v>
      </c>
      <c r="K703" s="14">
        <v>12.040000000000001</v>
      </c>
      <c r="L703" s="18">
        <f t="shared" si="74"/>
        <v>0</v>
      </c>
      <c r="M703" s="18">
        <f t="shared" si="75"/>
        <v>12.040000000000001</v>
      </c>
      <c r="N703" s="15">
        <f t="shared" si="76"/>
        <v>869.1339999999999</v>
      </c>
      <c r="O703" s="15">
        <f>+N703-P703</f>
        <v>0</v>
      </c>
      <c r="P703" s="15">
        <f>+IF(N703&gt;D703,N703-D703,0)</f>
        <v>869.1339999999999</v>
      </c>
      <c r="Q703" s="5">
        <f>+IF(P703=0,P703,P703/N703)</f>
        <v>1</v>
      </c>
    </row>
    <row r="704" spans="1:17" x14ac:dyDescent="0.25">
      <c r="A704" s="7">
        <v>46264.25</v>
      </c>
      <c r="B704" s="6">
        <v>25.2</v>
      </c>
      <c r="C704" s="13">
        <v>0</v>
      </c>
      <c r="D704" s="18">
        <f>+B704+C704</f>
        <v>25.2</v>
      </c>
      <c r="E704" s="14">
        <v>12.6</v>
      </c>
      <c r="F704" s="18">
        <f t="shared" si="70"/>
        <v>5.4481811942347287</v>
      </c>
      <c r="G704" s="18">
        <f t="shared" si="71"/>
        <v>7.151818805765271</v>
      </c>
      <c r="H704" s="14">
        <v>33.4</v>
      </c>
      <c r="I704" s="18">
        <f t="shared" si="72"/>
        <v>14.442004118050789</v>
      </c>
      <c r="J704" s="18">
        <f t="shared" si="73"/>
        <v>18.957995881949209</v>
      </c>
      <c r="K704" s="14">
        <v>12.28</v>
      </c>
      <c r="L704" s="18">
        <f t="shared" si="74"/>
        <v>5.3098146877144821</v>
      </c>
      <c r="M704" s="18">
        <f t="shared" si="75"/>
        <v>6.9701853122855173</v>
      </c>
      <c r="N704" s="15">
        <f t="shared" si="76"/>
        <v>58.28</v>
      </c>
      <c r="O704" s="15">
        <f>+N704-P704</f>
        <v>25.200000000000003</v>
      </c>
      <c r="P704" s="15">
        <f>+IF(N704&gt;D704,N704-D704,0)</f>
        <v>33.08</v>
      </c>
      <c r="Q704" s="5">
        <f>+IF(P704=0,P704,P704/N704)</f>
        <v>0.56760466712422786</v>
      </c>
    </row>
    <row r="705" spans="1:17" x14ac:dyDescent="0.25">
      <c r="A705" s="7">
        <v>46264.291666666664</v>
      </c>
      <c r="B705" s="6">
        <v>220.5</v>
      </c>
      <c r="C705" s="13">
        <v>0</v>
      </c>
      <c r="D705" s="18">
        <f>+B705+C705</f>
        <v>220.5</v>
      </c>
      <c r="E705" s="14">
        <v>0</v>
      </c>
      <c r="F705" s="18">
        <f t="shared" si="70"/>
        <v>0</v>
      </c>
      <c r="G705" s="18">
        <f t="shared" si="71"/>
        <v>0</v>
      </c>
      <c r="H705" s="14">
        <v>43.6</v>
      </c>
      <c r="I705" s="18">
        <f t="shared" si="72"/>
        <v>43.6</v>
      </c>
      <c r="J705" s="18">
        <f t="shared" si="73"/>
        <v>0</v>
      </c>
      <c r="K705" s="14">
        <v>14.44</v>
      </c>
      <c r="L705" s="18">
        <f t="shared" si="74"/>
        <v>14.44</v>
      </c>
      <c r="M705" s="18">
        <f t="shared" si="75"/>
        <v>0</v>
      </c>
      <c r="N705" s="15">
        <f t="shared" si="76"/>
        <v>58.04</v>
      </c>
      <c r="O705" s="15">
        <f>+N705-P705</f>
        <v>58.04</v>
      </c>
      <c r="P705" s="15">
        <f>+IF(N705&gt;D705,N705-D705,0)</f>
        <v>0</v>
      </c>
      <c r="Q705" s="5">
        <f>+IF(P705=0,P705,P705/N705)</f>
        <v>0</v>
      </c>
    </row>
    <row r="706" spans="1:17" x14ac:dyDescent="0.25">
      <c r="A706" s="7">
        <v>46264.333333333336</v>
      </c>
      <c r="B706" s="6">
        <v>604.79999999999995</v>
      </c>
      <c r="C706" s="13">
        <v>0</v>
      </c>
      <c r="D706" s="18">
        <f>+B706+C706</f>
        <v>604.79999999999995</v>
      </c>
      <c r="E706" s="14">
        <v>0</v>
      </c>
      <c r="F706" s="18">
        <f t="shared" si="70"/>
        <v>0</v>
      </c>
      <c r="G706" s="18">
        <f t="shared" si="71"/>
        <v>0</v>
      </c>
      <c r="H706" s="14">
        <v>136.84</v>
      </c>
      <c r="I706" s="18">
        <f t="shared" si="72"/>
        <v>136.84</v>
      </c>
      <c r="J706" s="18">
        <f t="shared" si="73"/>
        <v>0</v>
      </c>
      <c r="K706" s="14">
        <v>14.200000000000001</v>
      </c>
      <c r="L706" s="18">
        <f t="shared" si="74"/>
        <v>14.200000000000001</v>
      </c>
      <c r="M706" s="18">
        <f t="shared" si="75"/>
        <v>0</v>
      </c>
      <c r="N706" s="15">
        <f t="shared" si="76"/>
        <v>151.04</v>
      </c>
      <c r="O706" s="15">
        <f>+N706-P706</f>
        <v>151.04</v>
      </c>
      <c r="P706" s="15">
        <f>+IF(N706&gt;D706,N706-D706,0)</f>
        <v>0</v>
      </c>
      <c r="Q706" s="5">
        <f>+IF(P706=0,P706,P706/N706)</f>
        <v>0</v>
      </c>
    </row>
    <row r="707" spans="1:17" x14ac:dyDescent="0.25">
      <c r="A707" s="7">
        <v>46264.375</v>
      </c>
      <c r="B707" s="6">
        <v>1187.55</v>
      </c>
      <c r="C707" s="13">
        <v>3.72</v>
      </c>
      <c r="D707" s="18">
        <f>+B707+C707</f>
        <v>1191.27</v>
      </c>
      <c r="E707" s="14">
        <v>0</v>
      </c>
      <c r="F707" s="18">
        <f t="shared" ref="F707:F745" si="77">+E707-G707</f>
        <v>0</v>
      </c>
      <c r="G707" s="18">
        <f t="shared" ref="G707:G745" si="78">+E707*Q707</f>
        <v>0</v>
      </c>
      <c r="H707" s="14">
        <v>67.599999999999994</v>
      </c>
      <c r="I707" s="18">
        <f t="shared" ref="I707:I745" si="79">+H707-J707</f>
        <v>67.599999999999994</v>
      </c>
      <c r="J707" s="18">
        <f t="shared" ref="J707:J745" si="80">+H707*Q707</f>
        <v>0</v>
      </c>
      <c r="K707" s="14">
        <v>12.88</v>
      </c>
      <c r="L707" s="18">
        <f t="shared" ref="L707:L745" si="81">+K707-M707</f>
        <v>12.88</v>
      </c>
      <c r="M707" s="18">
        <f t="shared" ref="M707:M745" si="82">+K707*Q707</f>
        <v>0</v>
      </c>
      <c r="N707" s="15">
        <f t="shared" ref="N707:N745" si="83">+E707+H707+K707</f>
        <v>80.47999999999999</v>
      </c>
      <c r="O707" s="15">
        <f>+N707-P707</f>
        <v>80.47999999999999</v>
      </c>
      <c r="P707" s="15">
        <f>+IF(N707&gt;D707,N707-D707,0)</f>
        <v>0</v>
      </c>
      <c r="Q707" s="5">
        <f>+IF(P707=0,P707,P707/N707)</f>
        <v>0</v>
      </c>
    </row>
    <row r="708" spans="1:17" x14ac:dyDescent="0.25">
      <c r="A708" s="7">
        <v>46264.416666666664</v>
      </c>
      <c r="B708" s="6">
        <v>1080.45</v>
      </c>
      <c r="C708" s="13">
        <v>0</v>
      </c>
      <c r="D708" s="18">
        <f>+B708+C708</f>
        <v>1080.45</v>
      </c>
      <c r="E708" s="14">
        <v>0</v>
      </c>
      <c r="F708" s="18">
        <f t="shared" si="77"/>
        <v>0</v>
      </c>
      <c r="G708" s="18">
        <f t="shared" si="78"/>
        <v>0</v>
      </c>
      <c r="H708" s="14">
        <v>107.92</v>
      </c>
      <c r="I708" s="18">
        <f t="shared" si="79"/>
        <v>107.92</v>
      </c>
      <c r="J708" s="18">
        <f t="shared" si="80"/>
        <v>0</v>
      </c>
      <c r="K708" s="14">
        <v>11.92</v>
      </c>
      <c r="L708" s="18">
        <f t="shared" si="81"/>
        <v>11.92</v>
      </c>
      <c r="M708" s="18">
        <f t="shared" si="82"/>
        <v>0</v>
      </c>
      <c r="N708" s="15">
        <f t="shared" si="83"/>
        <v>119.84</v>
      </c>
      <c r="O708" s="15">
        <f>+N708-P708</f>
        <v>119.84</v>
      </c>
      <c r="P708" s="15">
        <f>+IF(N708&gt;D708,N708-D708,0)</f>
        <v>0</v>
      </c>
      <c r="Q708" s="5">
        <f>+IF(P708=0,P708,P708/N708)</f>
        <v>0</v>
      </c>
    </row>
    <row r="709" spans="1:17" x14ac:dyDescent="0.25">
      <c r="A709" s="7">
        <v>46264.458333333336</v>
      </c>
      <c r="B709" s="6">
        <v>1215.9000000000001</v>
      </c>
      <c r="C709" s="13">
        <v>23.28</v>
      </c>
      <c r="D709" s="18">
        <f>+B709+C709</f>
        <v>1239.18</v>
      </c>
      <c r="E709" s="14">
        <v>0</v>
      </c>
      <c r="F709" s="18">
        <f t="shared" si="77"/>
        <v>0</v>
      </c>
      <c r="G709" s="18">
        <f t="shared" si="78"/>
        <v>0</v>
      </c>
      <c r="H709" s="14">
        <v>71.08</v>
      </c>
      <c r="I709" s="18">
        <f t="shared" si="79"/>
        <v>71.08</v>
      </c>
      <c r="J709" s="18">
        <f t="shared" si="80"/>
        <v>0</v>
      </c>
      <c r="K709" s="14">
        <v>11.2</v>
      </c>
      <c r="L709" s="18">
        <f t="shared" si="81"/>
        <v>11.2</v>
      </c>
      <c r="M709" s="18">
        <f t="shared" si="82"/>
        <v>0</v>
      </c>
      <c r="N709" s="15">
        <f t="shared" si="83"/>
        <v>82.28</v>
      </c>
      <c r="O709" s="15">
        <f>+N709-P709</f>
        <v>82.28</v>
      </c>
      <c r="P709" s="15">
        <f>+IF(N709&gt;D709,N709-D709,0)</f>
        <v>0</v>
      </c>
      <c r="Q709" s="5">
        <f>+IF(P709=0,P709,P709/N709)</f>
        <v>0</v>
      </c>
    </row>
    <row r="710" spans="1:17" x14ac:dyDescent="0.25">
      <c r="A710" s="7">
        <v>46264.5</v>
      </c>
      <c r="B710" s="6">
        <v>1474.2</v>
      </c>
      <c r="C710" s="13">
        <v>15.36</v>
      </c>
      <c r="D710" s="18">
        <f>+B710+C710</f>
        <v>1489.56</v>
      </c>
      <c r="E710" s="14">
        <v>0</v>
      </c>
      <c r="F710" s="18">
        <f t="shared" si="77"/>
        <v>0</v>
      </c>
      <c r="G710" s="18">
        <f t="shared" si="78"/>
        <v>0</v>
      </c>
      <c r="H710" s="14">
        <v>38.92</v>
      </c>
      <c r="I710" s="18">
        <f t="shared" si="79"/>
        <v>38.92</v>
      </c>
      <c r="J710" s="18">
        <f t="shared" si="80"/>
        <v>0</v>
      </c>
      <c r="K710" s="14">
        <v>10.959999999999999</v>
      </c>
      <c r="L710" s="18">
        <f t="shared" si="81"/>
        <v>10.959999999999999</v>
      </c>
      <c r="M710" s="18">
        <f t="shared" si="82"/>
        <v>0</v>
      </c>
      <c r="N710" s="15">
        <f t="shared" si="83"/>
        <v>49.88</v>
      </c>
      <c r="O710" s="15">
        <f>+N710-P710</f>
        <v>49.88</v>
      </c>
      <c r="P710" s="15">
        <f>+IF(N710&gt;D710,N710-D710,0)</f>
        <v>0</v>
      </c>
      <c r="Q710" s="5">
        <f>+IF(P710=0,P710,P710/N710)</f>
        <v>0</v>
      </c>
    </row>
    <row r="711" spans="1:17" x14ac:dyDescent="0.25">
      <c r="A711" s="7">
        <v>46264.541666666664</v>
      </c>
      <c r="B711" s="6">
        <v>790.65</v>
      </c>
      <c r="C711" s="13">
        <v>1.2</v>
      </c>
      <c r="D711" s="18">
        <f>+B711+C711</f>
        <v>791.85</v>
      </c>
      <c r="E711" s="14">
        <v>0</v>
      </c>
      <c r="F711" s="18">
        <f t="shared" si="77"/>
        <v>0</v>
      </c>
      <c r="G711" s="18">
        <f t="shared" si="78"/>
        <v>0</v>
      </c>
      <c r="H711" s="14">
        <v>83.56</v>
      </c>
      <c r="I711" s="18">
        <f t="shared" si="79"/>
        <v>83.56</v>
      </c>
      <c r="J711" s="18">
        <f t="shared" si="80"/>
        <v>0</v>
      </c>
      <c r="K711" s="14">
        <v>10.72</v>
      </c>
      <c r="L711" s="18">
        <f t="shared" si="81"/>
        <v>10.72</v>
      </c>
      <c r="M711" s="18">
        <f t="shared" si="82"/>
        <v>0</v>
      </c>
      <c r="N711" s="15">
        <f t="shared" si="83"/>
        <v>94.28</v>
      </c>
      <c r="O711" s="15">
        <f>+N711-P711</f>
        <v>94.28</v>
      </c>
      <c r="P711" s="15">
        <f>+IF(N711&gt;D711,N711-D711,0)</f>
        <v>0</v>
      </c>
      <c r="Q711" s="5">
        <f>+IF(P711=0,P711,P711/N711)</f>
        <v>0</v>
      </c>
    </row>
    <row r="712" spans="1:17" x14ac:dyDescent="0.25">
      <c r="A712" s="7">
        <v>46264.583333333336</v>
      </c>
      <c r="B712" s="6">
        <v>1959.3</v>
      </c>
      <c r="C712" s="13">
        <v>14.28</v>
      </c>
      <c r="D712" s="18">
        <f>+B712+C712</f>
        <v>1973.58</v>
      </c>
      <c r="E712" s="14">
        <v>0</v>
      </c>
      <c r="F712" s="18">
        <f t="shared" si="77"/>
        <v>0</v>
      </c>
      <c r="G712" s="18">
        <f t="shared" si="78"/>
        <v>0</v>
      </c>
      <c r="H712" s="14">
        <v>43.96</v>
      </c>
      <c r="I712" s="18">
        <f t="shared" si="79"/>
        <v>43.96</v>
      </c>
      <c r="J712" s="18">
        <f t="shared" si="80"/>
        <v>0</v>
      </c>
      <c r="K712" s="14">
        <v>11.08</v>
      </c>
      <c r="L712" s="18">
        <f t="shared" si="81"/>
        <v>11.08</v>
      </c>
      <c r="M712" s="18">
        <f t="shared" si="82"/>
        <v>0</v>
      </c>
      <c r="N712" s="15">
        <f t="shared" si="83"/>
        <v>55.04</v>
      </c>
      <c r="O712" s="15">
        <f>+N712-P712</f>
        <v>55.04</v>
      </c>
      <c r="P712" s="15">
        <f>+IF(N712&gt;D712,N712-D712,0)</f>
        <v>0</v>
      </c>
      <c r="Q712" s="5">
        <f>+IF(P712=0,P712,P712/N712)</f>
        <v>0</v>
      </c>
    </row>
    <row r="713" spans="1:17" x14ac:dyDescent="0.25">
      <c r="A713" s="7">
        <v>46264.625</v>
      </c>
      <c r="B713" s="6">
        <v>2274.3000000000002</v>
      </c>
      <c r="C713" s="13">
        <v>47.28</v>
      </c>
      <c r="D713" s="18">
        <f>+B713+C713</f>
        <v>2321.5800000000004</v>
      </c>
      <c r="E713" s="14">
        <v>0</v>
      </c>
      <c r="F713" s="18">
        <f t="shared" si="77"/>
        <v>0</v>
      </c>
      <c r="G713" s="18">
        <f t="shared" si="78"/>
        <v>0</v>
      </c>
      <c r="H713" s="14">
        <v>4.96</v>
      </c>
      <c r="I713" s="18">
        <f t="shared" si="79"/>
        <v>4.96</v>
      </c>
      <c r="J713" s="18">
        <f t="shared" si="80"/>
        <v>0</v>
      </c>
      <c r="K713" s="14">
        <v>10.24</v>
      </c>
      <c r="L713" s="18">
        <f t="shared" si="81"/>
        <v>10.24</v>
      </c>
      <c r="M713" s="18">
        <f t="shared" si="82"/>
        <v>0</v>
      </c>
      <c r="N713" s="15">
        <f t="shared" si="83"/>
        <v>15.2</v>
      </c>
      <c r="O713" s="15">
        <f>+N713-P713</f>
        <v>15.2</v>
      </c>
      <c r="P713" s="15">
        <f>+IF(N713&gt;D713,N713-D713,0)</f>
        <v>0</v>
      </c>
      <c r="Q713" s="5">
        <f>+IF(P713=0,P713,P713/N713)</f>
        <v>0</v>
      </c>
    </row>
    <row r="714" spans="1:17" x14ac:dyDescent="0.25">
      <c r="A714" s="7">
        <v>46264.666666666664</v>
      </c>
      <c r="B714" s="6">
        <v>667.8</v>
      </c>
      <c r="C714" s="13">
        <v>0.24</v>
      </c>
      <c r="D714" s="18">
        <f>+B714+C714</f>
        <v>668.04</v>
      </c>
      <c r="E714" s="14">
        <v>0</v>
      </c>
      <c r="F714" s="18">
        <f t="shared" si="77"/>
        <v>0</v>
      </c>
      <c r="G714" s="18">
        <f t="shared" si="78"/>
        <v>0</v>
      </c>
      <c r="H714" s="14">
        <v>80.44</v>
      </c>
      <c r="I714" s="18">
        <f t="shared" si="79"/>
        <v>80.44</v>
      </c>
      <c r="J714" s="18">
        <f t="shared" si="80"/>
        <v>0</v>
      </c>
      <c r="K714" s="14">
        <v>10.6</v>
      </c>
      <c r="L714" s="18">
        <f t="shared" si="81"/>
        <v>10.6</v>
      </c>
      <c r="M714" s="18">
        <f t="shared" si="82"/>
        <v>0</v>
      </c>
      <c r="N714" s="15">
        <f t="shared" si="83"/>
        <v>91.039999999999992</v>
      </c>
      <c r="O714" s="15">
        <f>+N714-P714</f>
        <v>91.039999999999992</v>
      </c>
      <c r="P714" s="15">
        <f>+IF(N714&gt;D714,N714-D714,0)</f>
        <v>0</v>
      </c>
      <c r="Q714" s="5">
        <f>+IF(P714=0,P714,P714/N714)</f>
        <v>0</v>
      </c>
    </row>
    <row r="715" spans="1:17" x14ac:dyDescent="0.25">
      <c r="A715" s="7">
        <v>46264.708333333336</v>
      </c>
      <c r="B715" s="6">
        <v>214.2</v>
      </c>
      <c r="C715" s="13">
        <v>0</v>
      </c>
      <c r="D715" s="18">
        <f>+B715+C715</f>
        <v>214.2</v>
      </c>
      <c r="E715" s="14">
        <v>0</v>
      </c>
      <c r="F715" s="18">
        <f t="shared" si="77"/>
        <v>0</v>
      </c>
      <c r="G715" s="18">
        <f t="shared" si="78"/>
        <v>0</v>
      </c>
      <c r="H715" s="14">
        <v>51.76</v>
      </c>
      <c r="I715" s="18">
        <f t="shared" si="79"/>
        <v>51.76</v>
      </c>
      <c r="J715" s="18">
        <f t="shared" si="80"/>
        <v>0</v>
      </c>
      <c r="K715" s="14">
        <v>10.24</v>
      </c>
      <c r="L715" s="18">
        <f t="shared" si="81"/>
        <v>10.24</v>
      </c>
      <c r="M715" s="18">
        <f t="shared" si="82"/>
        <v>0</v>
      </c>
      <c r="N715" s="15">
        <f t="shared" si="83"/>
        <v>62</v>
      </c>
      <c r="O715" s="15">
        <f>+N715-P715</f>
        <v>62</v>
      </c>
      <c r="P715" s="15">
        <f>+IF(N715&gt;D715,N715-D715,0)</f>
        <v>0</v>
      </c>
      <c r="Q715" s="5">
        <f>+IF(P715=0,P715,P715/N715)</f>
        <v>0</v>
      </c>
    </row>
    <row r="716" spans="1:17" x14ac:dyDescent="0.25">
      <c r="A716" s="7">
        <v>46264.75</v>
      </c>
      <c r="B716" s="6">
        <v>25.2</v>
      </c>
      <c r="C716" s="13">
        <v>0</v>
      </c>
      <c r="D716" s="18">
        <f>+B716+C716</f>
        <v>25.2</v>
      </c>
      <c r="E716" s="14">
        <v>6.2989999999999995</v>
      </c>
      <c r="F716" s="18">
        <f t="shared" si="77"/>
        <v>2.6185651363433906</v>
      </c>
      <c r="G716" s="18">
        <f t="shared" si="78"/>
        <v>3.6804348636566089</v>
      </c>
      <c r="H716" s="14">
        <v>43.6</v>
      </c>
      <c r="I716" s="18">
        <f t="shared" si="79"/>
        <v>18.125010310298752</v>
      </c>
      <c r="J716" s="18">
        <f t="shared" si="80"/>
        <v>25.47498968970125</v>
      </c>
      <c r="K716" s="14">
        <v>10.72</v>
      </c>
      <c r="L716" s="18">
        <f t="shared" si="81"/>
        <v>4.4564245533578584</v>
      </c>
      <c r="M716" s="18">
        <f t="shared" si="82"/>
        <v>6.2635754466421423</v>
      </c>
      <c r="N716" s="15">
        <f t="shared" si="83"/>
        <v>60.619</v>
      </c>
      <c r="O716" s="15">
        <f>+N716-P716</f>
        <v>25.200000000000003</v>
      </c>
      <c r="P716" s="15">
        <f>+IF(N716&gt;D716,N716-D716,0)</f>
        <v>35.418999999999997</v>
      </c>
      <c r="Q716" s="5">
        <f>+IF(P716=0,P716,P716/N716)</f>
        <v>0.58428875435094607</v>
      </c>
    </row>
    <row r="717" spans="1:17" x14ac:dyDescent="0.25">
      <c r="A717" s="7">
        <v>46264.791666666664</v>
      </c>
      <c r="B717" s="6">
        <v>0</v>
      </c>
      <c r="C717" s="13">
        <v>0</v>
      </c>
      <c r="D717" s="18">
        <f>+B717+C717</f>
        <v>0</v>
      </c>
      <c r="E717" s="14">
        <v>31.496999999999996</v>
      </c>
      <c r="F717" s="18">
        <f t="shared" si="77"/>
        <v>0</v>
      </c>
      <c r="G717" s="18">
        <f t="shared" si="78"/>
        <v>31.496999999999996</v>
      </c>
      <c r="H717" s="14">
        <v>41.8</v>
      </c>
      <c r="I717" s="18">
        <f t="shared" si="79"/>
        <v>0</v>
      </c>
      <c r="J717" s="18">
        <f t="shared" si="80"/>
        <v>41.8</v>
      </c>
      <c r="K717" s="14">
        <v>10.36</v>
      </c>
      <c r="L717" s="18">
        <f t="shared" si="81"/>
        <v>0</v>
      </c>
      <c r="M717" s="18">
        <f t="shared" si="82"/>
        <v>10.36</v>
      </c>
      <c r="N717" s="15">
        <f t="shared" si="83"/>
        <v>83.656999999999996</v>
      </c>
      <c r="O717" s="15">
        <f>+N717-P717</f>
        <v>0</v>
      </c>
      <c r="P717" s="15">
        <f>+IF(N717&gt;D717,N717-D717,0)</f>
        <v>83.656999999999996</v>
      </c>
      <c r="Q717" s="5">
        <f>+IF(P717=0,P717,P717/N717)</f>
        <v>1</v>
      </c>
    </row>
    <row r="718" spans="1:17" x14ac:dyDescent="0.25">
      <c r="A718" s="7">
        <v>46264.833333333336</v>
      </c>
      <c r="B718" s="6">
        <v>0</v>
      </c>
      <c r="C718" s="13">
        <v>0</v>
      </c>
      <c r="D718" s="18">
        <f>+B718+C718</f>
        <v>0</v>
      </c>
      <c r="E718" s="14">
        <v>31.496999999999996</v>
      </c>
      <c r="F718" s="18">
        <f t="shared" si="77"/>
        <v>0</v>
      </c>
      <c r="G718" s="18">
        <f t="shared" si="78"/>
        <v>31.496999999999996</v>
      </c>
      <c r="H718" s="14">
        <v>34.72</v>
      </c>
      <c r="I718" s="18">
        <f t="shared" si="79"/>
        <v>0</v>
      </c>
      <c r="J718" s="18">
        <f t="shared" si="80"/>
        <v>34.72</v>
      </c>
      <c r="K718" s="14">
        <v>10.959999999999999</v>
      </c>
      <c r="L718" s="18">
        <f t="shared" si="81"/>
        <v>0</v>
      </c>
      <c r="M718" s="18">
        <f t="shared" si="82"/>
        <v>10.959999999999999</v>
      </c>
      <c r="N718" s="15">
        <f t="shared" si="83"/>
        <v>77.176999999999992</v>
      </c>
      <c r="O718" s="15">
        <f>+N718-P718</f>
        <v>0</v>
      </c>
      <c r="P718" s="15">
        <f>+IF(N718&gt;D718,N718-D718,0)</f>
        <v>77.176999999999992</v>
      </c>
      <c r="Q718" s="5">
        <f>+IF(P718=0,P718,P718/N718)</f>
        <v>1</v>
      </c>
    </row>
    <row r="719" spans="1:17" x14ac:dyDescent="0.25">
      <c r="A719" s="7">
        <v>46264.875</v>
      </c>
      <c r="B719" s="6">
        <v>0</v>
      </c>
      <c r="C719" s="13">
        <v>0</v>
      </c>
      <c r="D719" s="18">
        <f>+B719+C719</f>
        <v>0</v>
      </c>
      <c r="E719" s="14">
        <v>31.496999999999996</v>
      </c>
      <c r="F719" s="18">
        <f t="shared" si="77"/>
        <v>0</v>
      </c>
      <c r="G719" s="18">
        <f t="shared" si="78"/>
        <v>31.496999999999996</v>
      </c>
      <c r="H719" s="14">
        <v>31.48</v>
      </c>
      <c r="I719" s="18">
        <f t="shared" si="79"/>
        <v>0</v>
      </c>
      <c r="J719" s="18">
        <f t="shared" si="80"/>
        <v>31.48</v>
      </c>
      <c r="K719" s="14">
        <v>11.08</v>
      </c>
      <c r="L719" s="18">
        <f t="shared" si="81"/>
        <v>0</v>
      </c>
      <c r="M719" s="18">
        <f t="shared" si="82"/>
        <v>11.08</v>
      </c>
      <c r="N719" s="15">
        <f t="shared" si="83"/>
        <v>74.057000000000002</v>
      </c>
      <c r="O719" s="15">
        <f>+N719-P719</f>
        <v>0</v>
      </c>
      <c r="P719" s="15">
        <f>+IF(N719&gt;D719,N719-D719,0)</f>
        <v>74.057000000000002</v>
      </c>
      <c r="Q719" s="5">
        <f>+IF(P719=0,P719,P719/N719)</f>
        <v>1</v>
      </c>
    </row>
    <row r="720" spans="1:17" x14ac:dyDescent="0.25">
      <c r="A720" s="7">
        <v>46264.916666666664</v>
      </c>
      <c r="B720" s="6">
        <v>0</v>
      </c>
      <c r="C720" s="13">
        <v>0</v>
      </c>
      <c r="D720" s="18">
        <f>+B720+C720</f>
        <v>0</v>
      </c>
      <c r="E720" s="14">
        <v>31.501000000000001</v>
      </c>
      <c r="F720" s="18">
        <f t="shared" si="77"/>
        <v>0</v>
      </c>
      <c r="G720" s="18">
        <f t="shared" si="78"/>
        <v>31.501000000000001</v>
      </c>
      <c r="H720" s="14">
        <v>31.96</v>
      </c>
      <c r="I720" s="18">
        <f t="shared" si="79"/>
        <v>0</v>
      </c>
      <c r="J720" s="18">
        <f t="shared" si="80"/>
        <v>31.96</v>
      </c>
      <c r="K720" s="14">
        <v>11.08</v>
      </c>
      <c r="L720" s="18">
        <f t="shared" si="81"/>
        <v>0</v>
      </c>
      <c r="M720" s="18">
        <f t="shared" si="82"/>
        <v>11.08</v>
      </c>
      <c r="N720" s="15">
        <f t="shared" si="83"/>
        <v>74.540999999999997</v>
      </c>
      <c r="O720" s="15">
        <f>+N720-P720</f>
        <v>0</v>
      </c>
      <c r="P720" s="15">
        <f>+IF(N720&gt;D720,N720-D720,0)</f>
        <v>74.540999999999997</v>
      </c>
      <c r="Q720" s="5">
        <f>+IF(P720=0,P720,P720/N720)</f>
        <v>1</v>
      </c>
    </row>
    <row r="721" spans="1:17" x14ac:dyDescent="0.25">
      <c r="A721" s="7">
        <v>46264.958333333336</v>
      </c>
      <c r="B721" s="6">
        <v>0</v>
      </c>
      <c r="C721" s="13">
        <v>0</v>
      </c>
      <c r="D721" s="18">
        <f>+B721+C721</f>
        <v>0</v>
      </c>
      <c r="E721" s="14">
        <v>25.2</v>
      </c>
      <c r="F721" s="18">
        <f t="shared" si="77"/>
        <v>0</v>
      </c>
      <c r="G721" s="18">
        <f t="shared" si="78"/>
        <v>25.2</v>
      </c>
      <c r="H721" s="14">
        <v>35.799999999999997</v>
      </c>
      <c r="I721" s="18">
        <f t="shared" si="79"/>
        <v>0</v>
      </c>
      <c r="J721" s="18">
        <f t="shared" si="80"/>
        <v>35.799999999999997</v>
      </c>
      <c r="K721" s="14">
        <v>11.32</v>
      </c>
      <c r="L721" s="18">
        <f t="shared" si="81"/>
        <v>0</v>
      </c>
      <c r="M721" s="18">
        <f t="shared" si="82"/>
        <v>11.32</v>
      </c>
      <c r="N721" s="15">
        <f t="shared" si="83"/>
        <v>72.319999999999993</v>
      </c>
      <c r="O721" s="15">
        <f>+N721-P721</f>
        <v>0</v>
      </c>
      <c r="P721" s="15">
        <f>+IF(N721&gt;D721,N721-D721,0)</f>
        <v>72.319999999999993</v>
      </c>
      <c r="Q721" s="5">
        <f>+IF(P721=0,P721,P721/N721)</f>
        <v>1</v>
      </c>
    </row>
    <row r="722" spans="1:17" x14ac:dyDescent="0.25">
      <c r="A722" s="7">
        <v>46265</v>
      </c>
      <c r="B722" s="6">
        <v>0</v>
      </c>
      <c r="C722" s="13">
        <v>0</v>
      </c>
      <c r="D722" s="18">
        <f>+B722+C722</f>
        <v>0</v>
      </c>
      <c r="E722" s="14">
        <v>28.35</v>
      </c>
      <c r="F722" s="18">
        <f t="shared" si="77"/>
        <v>0</v>
      </c>
      <c r="G722" s="18">
        <f t="shared" si="78"/>
        <v>28.35</v>
      </c>
      <c r="H722" s="14">
        <v>30.759999999999998</v>
      </c>
      <c r="I722" s="18">
        <f t="shared" si="79"/>
        <v>0</v>
      </c>
      <c r="J722" s="18">
        <f t="shared" si="80"/>
        <v>30.759999999999998</v>
      </c>
      <c r="K722" s="14">
        <v>11.08</v>
      </c>
      <c r="L722" s="18">
        <f t="shared" si="81"/>
        <v>0</v>
      </c>
      <c r="M722" s="18">
        <f t="shared" si="82"/>
        <v>11.08</v>
      </c>
      <c r="N722" s="15">
        <f t="shared" si="83"/>
        <v>70.19</v>
      </c>
      <c r="O722" s="15">
        <f>+N722-P722</f>
        <v>0</v>
      </c>
      <c r="P722" s="15">
        <f>+IF(N722&gt;D722,N722-D722,0)</f>
        <v>70.19</v>
      </c>
      <c r="Q722" s="5">
        <f>+IF(P722=0,P722,P722/N722)</f>
        <v>1</v>
      </c>
    </row>
    <row r="723" spans="1:17" x14ac:dyDescent="0.25">
      <c r="A723" s="7">
        <v>46265.041666666664</v>
      </c>
      <c r="B723" s="6">
        <v>0</v>
      </c>
      <c r="C723" s="13">
        <v>0</v>
      </c>
      <c r="D723" s="18">
        <f>+B723+C723</f>
        <v>0</v>
      </c>
      <c r="E723" s="14">
        <v>25.2</v>
      </c>
      <c r="F723" s="18">
        <f t="shared" si="77"/>
        <v>0</v>
      </c>
      <c r="G723" s="18">
        <f t="shared" si="78"/>
        <v>25.2</v>
      </c>
      <c r="H723" s="14">
        <v>36.64</v>
      </c>
      <c r="I723" s="18">
        <f t="shared" si="79"/>
        <v>0</v>
      </c>
      <c r="J723" s="18">
        <f t="shared" si="80"/>
        <v>36.64</v>
      </c>
      <c r="K723" s="14">
        <v>12.4</v>
      </c>
      <c r="L723" s="18">
        <f t="shared" si="81"/>
        <v>0</v>
      </c>
      <c r="M723" s="18">
        <f t="shared" si="82"/>
        <v>12.4</v>
      </c>
      <c r="N723" s="15">
        <f t="shared" si="83"/>
        <v>74.240000000000009</v>
      </c>
      <c r="O723" s="15">
        <f>+N723-P723</f>
        <v>0</v>
      </c>
      <c r="P723" s="15">
        <f>+IF(N723&gt;D723,N723-D723,0)</f>
        <v>74.240000000000009</v>
      </c>
      <c r="Q723" s="5">
        <f>+IF(P723=0,P723,P723/N723)</f>
        <v>1</v>
      </c>
    </row>
    <row r="724" spans="1:17" x14ac:dyDescent="0.25">
      <c r="A724" s="7">
        <v>46265.083333333336</v>
      </c>
      <c r="B724" s="6">
        <v>0</v>
      </c>
      <c r="C724" s="13">
        <v>0</v>
      </c>
      <c r="D724" s="18">
        <f>+B724+C724</f>
        <v>0</v>
      </c>
      <c r="E724" s="14">
        <v>28.35</v>
      </c>
      <c r="F724" s="18">
        <f t="shared" si="77"/>
        <v>0</v>
      </c>
      <c r="G724" s="18">
        <f t="shared" si="78"/>
        <v>28.35</v>
      </c>
      <c r="H724" s="14">
        <v>33.4</v>
      </c>
      <c r="I724" s="18">
        <f t="shared" si="79"/>
        <v>0</v>
      </c>
      <c r="J724" s="18">
        <f t="shared" si="80"/>
        <v>33.4</v>
      </c>
      <c r="K724" s="14">
        <v>11.2</v>
      </c>
      <c r="L724" s="18">
        <f t="shared" si="81"/>
        <v>0</v>
      </c>
      <c r="M724" s="18">
        <f t="shared" si="82"/>
        <v>11.2</v>
      </c>
      <c r="N724" s="15">
        <f t="shared" si="83"/>
        <v>72.95</v>
      </c>
      <c r="O724" s="15">
        <f>+N724-P724</f>
        <v>0</v>
      </c>
      <c r="P724" s="15">
        <f>+IF(N724&gt;D724,N724-D724,0)</f>
        <v>72.95</v>
      </c>
      <c r="Q724" s="5">
        <f>+IF(P724=0,P724,P724/N724)</f>
        <v>1</v>
      </c>
    </row>
    <row r="725" spans="1:17" x14ac:dyDescent="0.25">
      <c r="A725" s="7">
        <v>46265.125</v>
      </c>
      <c r="B725" s="6">
        <v>0</v>
      </c>
      <c r="C725" s="13">
        <v>0</v>
      </c>
      <c r="D725" s="18">
        <f>+B725+C725</f>
        <v>0</v>
      </c>
      <c r="E725" s="14">
        <v>25.2</v>
      </c>
      <c r="F725" s="18">
        <f t="shared" si="77"/>
        <v>0</v>
      </c>
      <c r="G725" s="18">
        <f t="shared" si="78"/>
        <v>25.2</v>
      </c>
      <c r="H725" s="14">
        <v>33.76</v>
      </c>
      <c r="I725" s="18">
        <f t="shared" si="79"/>
        <v>0</v>
      </c>
      <c r="J725" s="18">
        <f t="shared" si="80"/>
        <v>33.76</v>
      </c>
      <c r="K725" s="14">
        <v>11.32</v>
      </c>
      <c r="L725" s="18">
        <f t="shared" si="81"/>
        <v>0</v>
      </c>
      <c r="M725" s="18">
        <f t="shared" si="82"/>
        <v>11.32</v>
      </c>
      <c r="N725" s="15">
        <f t="shared" si="83"/>
        <v>70.28</v>
      </c>
      <c r="O725" s="15">
        <f>+N725-P725</f>
        <v>0</v>
      </c>
      <c r="P725" s="15">
        <f>+IF(N725&gt;D725,N725-D725,0)</f>
        <v>70.28</v>
      </c>
      <c r="Q725" s="5">
        <f>+IF(P725=0,P725,P725/N725)</f>
        <v>1</v>
      </c>
    </row>
    <row r="726" spans="1:17" x14ac:dyDescent="0.25">
      <c r="A726" s="7">
        <v>46265.166666666664</v>
      </c>
      <c r="B726" s="6">
        <v>0</v>
      </c>
      <c r="C726" s="13">
        <v>0</v>
      </c>
      <c r="D726" s="18">
        <f>+B726+C726</f>
        <v>0</v>
      </c>
      <c r="E726" s="14">
        <v>28.35</v>
      </c>
      <c r="F726" s="18">
        <f t="shared" si="77"/>
        <v>0</v>
      </c>
      <c r="G726" s="18">
        <f t="shared" si="78"/>
        <v>28.35</v>
      </c>
      <c r="H726" s="14">
        <v>32.800000000000004</v>
      </c>
      <c r="I726" s="18">
        <f t="shared" si="79"/>
        <v>0</v>
      </c>
      <c r="J726" s="18">
        <f t="shared" si="80"/>
        <v>32.800000000000004</v>
      </c>
      <c r="K726" s="14">
        <v>11.2</v>
      </c>
      <c r="L726" s="18">
        <f t="shared" si="81"/>
        <v>0</v>
      </c>
      <c r="M726" s="18">
        <f t="shared" si="82"/>
        <v>11.2</v>
      </c>
      <c r="N726" s="15">
        <f t="shared" si="83"/>
        <v>72.350000000000009</v>
      </c>
      <c r="O726" s="15">
        <f>+N726-P726</f>
        <v>0</v>
      </c>
      <c r="P726" s="15">
        <f>+IF(N726&gt;D726,N726-D726,0)</f>
        <v>72.350000000000009</v>
      </c>
      <c r="Q726" s="5">
        <f>+IF(P726=0,P726,P726/N726)</f>
        <v>1</v>
      </c>
    </row>
    <row r="727" spans="1:17" x14ac:dyDescent="0.25">
      <c r="A727" s="7">
        <v>46265.208333333336</v>
      </c>
      <c r="B727" s="6">
        <v>0</v>
      </c>
      <c r="C727" s="13">
        <v>0</v>
      </c>
      <c r="D727" s="18">
        <f>+B727+C727</f>
        <v>0</v>
      </c>
      <c r="E727" s="14">
        <v>31.501000000000001</v>
      </c>
      <c r="F727" s="18">
        <f t="shared" si="77"/>
        <v>0</v>
      </c>
      <c r="G727" s="18">
        <f t="shared" si="78"/>
        <v>31.501000000000001</v>
      </c>
      <c r="H727" s="14">
        <v>39.4</v>
      </c>
      <c r="I727" s="18">
        <f t="shared" si="79"/>
        <v>0</v>
      </c>
      <c r="J727" s="18">
        <f t="shared" si="80"/>
        <v>39.4</v>
      </c>
      <c r="K727" s="14">
        <v>11.2</v>
      </c>
      <c r="L727" s="18">
        <f t="shared" si="81"/>
        <v>0</v>
      </c>
      <c r="M727" s="18">
        <f t="shared" si="82"/>
        <v>11.2</v>
      </c>
      <c r="N727" s="15">
        <f t="shared" si="83"/>
        <v>82.100999999999999</v>
      </c>
      <c r="O727" s="15">
        <f>+N727-P727</f>
        <v>0</v>
      </c>
      <c r="P727" s="15">
        <f>+IF(N727&gt;D727,N727-D727,0)</f>
        <v>82.100999999999999</v>
      </c>
      <c r="Q727" s="5">
        <f>+IF(P727=0,P727,P727/N727)</f>
        <v>1</v>
      </c>
    </row>
    <row r="728" spans="1:17" x14ac:dyDescent="0.25">
      <c r="A728" s="7">
        <v>46265.25</v>
      </c>
      <c r="B728" s="6">
        <v>22.05</v>
      </c>
      <c r="C728" s="13">
        <v>0</v>
      </c>
      <c r="D728" s="18">
        <f>+B728+C728</f>
        <v>22.05</v>
      </c>
      <c r="E728" s="14">
        <v>9.4499999999999993</v>
      </c>
      <c r="F728" s="18">
        <f t="shared" si="77"/>
        <v>3.8551803885291394</v>
      </c>
      <c r="G728" s="18">
        <f t="shared" si="78"/>
        <v>5.5948196114708599</v>
      </c>
      <c r="H728" s="14">
        <v>34.119999999999997</v>
      </c>
      <c r="I728" s="18">
        <f t="shared" si="79"/>
        <v>13.919444958371876</v>
      </c>
      <c r="J728" s="18">
        <f t="shared" si="80"/>
        <v>20.200555041628121</v>
      </c>
      <c r="K728" s="14">
        <v>10.48</v>
      </c>
      <c r="L728" s="18">
        <f t="shared" si="81"/>
        <v>4.2753746530989822</v>
      </c>
      <c r="M728" s="18">
        <f t="shared" si="82"/>
        <v>6.2046253469010182</v>
      </c>
      <c r="N728" s="15">
        <f t="shared" si="83"/>
        <v>54.05</v>
      </c>
      <c r="O728" s="15">
        <f>+N728-P728</f>
        <v>22.05</v>
      </c>
      <c r="P728" s="15">
        <f>+IF(N728&gt;D728,N728-D728,0)</f>
        <v>31.999999999999996</v>
      </c>
      <c r="Q728" s="5">
        <f>+IF(P728=0,P728,P728/N728)</f>
        <v>0.59204440333024977</v>
      </c>
    </row>
    <row r="729" spans="1:17" x14ac:dyDescent="0.25">
      <c r="A729" s="7">
        <v>46265.291666666664</v>
      </c>
      <c r="B729" s="6">
        <v>138.6</v>
      </c>
      <c r="C729" s="13">
        <v>0</v>
      </c>
      <c r="D729" s="18">
        <f>+B729+C729</f>
        <v>138.6</v>
      </c>
      <c r="E729" s="14">
        <v>0</v>
      </c>
      <c r="F729" s="18">
        <f t="shared" si="77"/>
        <v>0</v>
      </c>
      <c r="G729" s="18">
        <f t="shared" si="78"/>
        <v>0</v>
      </c>
      <c r="H729" s="14">
        <v>50.68</v>
      </c>
      <c r="I729" s="18">
        <f t="shared" si="79"/>
        <v>50.68</v>
      </c>
      <c r="J729" s="18">
        <f t="shared" si="80"/>
        <v>0</v>
      </c>
      <c r="K729" s="14">
        <v>2.2000000000000002</v>
      </c>
      <c r="L729" s="18">
        <f t="shared" si="81"/>
        <v>2.2000000000000002</v>
      </c>
      <c r="M729" s="18">
        <f t="shared" si="82"/>
        <v>0</v>
      </c>
      <c r="N729" s="15">
        <f t="shared" si="83"/>
        <v>52.88</v>
      </c>
      <c r="O729" s="15">
        <f>+N729-P729</f>
        <v>52.88</v>
      </c>
      <c r="P729" s="15">
        <f>+IF(N729&gt;D729,N729-D729,0)</f>
        <v>0</v>
      </c>
      <c r="Q729" s="5">
        <f>+IF(P729=0,P729,P729/N729)</f>
        <v>0</v>
      </c>
    </row>
    <row r="730" spans="1:17" x14ac:dyDescent="0.25">
      <c r="A730" s="7">
        <v>46265.333333333336</v>
      </c>
      <c r="B730" s="6">
        <v>81.900000000000006</v>
      </c>
      <c r="C730" s="13">
        <v>0</v>
      </c>
      <c r="D730" s="18">
        <f>+B730+C730</f>
        <v>81.900000000000006</v>
      </c>
      <c r="E730" s="14">
        <v>182.7</v>
      </c>
      <c r="F730" s="18">
        <f t="shared" si="77"/>
        <v>44.738174968606103</v>
      </c>
      <c r="G730" s="18">
        <f t="shared" si="78"/>
        <v>137.96182503139389</v>
      </c>
      <c r="H730" s="14">
        <v>141.52000000000001</v>
      </c>
      <c r="I730" s="18">
        <f t="shared" si="79"/>
        <v>34.654332356634569</v>
      </c>
      <c r="J730" s="18">
        <f t="shared" si="80"/>
        <v>106.86566764336544</v>
      </c>
      <c r="K730" s="14">
        <v>10.24</v>
      </c>
      <c r="L730" s="18">
        <f t="shared" si="81"/>
        <v>2.5074926747593134</v>
      </c>
      <c r="M730" s="18">
        <f t="shared" si="82"/>
        <v>7.7325073252406868</v>
      </c>
      <c r="N730" s="15">
        <f t="shared" si="83"/>
        <v>334.46000000000004</v>
      </c>
      <c r="O730" s="15">
        <f>+N730-P730</f>
        <v>81.900000000000006</v>
      </c>
      <c r="P730" s="15">
        <f>+IF(N730&gt;D730,N730-D730,0)</f>
        <v>252.56000000000003</v>
      </c>
      <c r="Q730" s="5">
        <f>+IF(P730=0,P730,P730/N730)</f>
        <v>0.75512766848053581</v>
      </c>
    </row>
    <row r="731" spans="1:17" x14ac:dyDescent="0.25">
      <c r="A731" s="7">
        <v>46265.375</v>
      </c>
      <c r="B731" s="6">
        <v>9.4499999999999993</v>
      </c>
      <c r="C731" s="13">
        <v>0</v>
      </c>
      <c r="D731" s="18">
        <f>+B731+C731</f>
        <v>9.4499999999999993</v>
      </c>
      <c r="E731" s="14">
        <v>75.599999999999994</v>
      </c>
      <c r="F731" s="18">
        <f t="shared" si="77"/>
        <v>2.4934385034203501</v>
      </c>
      <c r="G731" s="18">
        <f t="shared" si="78"/>
        <v>73.106561496579644</v>
      </c>
      <c r="H731" s="14">
        <v>142.24</v>
      </c>
      <c r="I731" s="18">
        <f t="shared" si="79"/>
        <v>4.6913583693983014</v>
      </c>
      <c r="J731" s="18">
        <f t="shared" si="80"/>
        <v>137.54864163060171</v>
      </c>
      <c r="K731" s="14">
        <v>68.680000000000007</v>
      </c>
      <c r="L731" s="18">
        <f t="shared" si="81"/>
        <v>2.2652031271813513</v>
      </c>
      <c r="M731" s="18">
        <f t="shared" si="82"/>
        <v>66.414796872818656</v>
      </c>
      <c r="N731" s="15">
        <f t="shared" si="83"/>
        <v>286.52</v>
      </c>
      <c r="O731" s="15">
        <f>+N731-P731</f>
        <v>9.4499999999999886</v>
      </c>
      <c r="P731" s="15">
        <f>+IF(N731&gt;D731,N731-D731,0)</f>
        <v>277.07</v>
      </c>
      <c r="Q731" s="5">
        <f>+IF(P731=0,P731,P731/N731)</f>
        <v>0.96701800921401648</v>
      </c>
    </row>
    <row r="732" spans="1:17" x14ac:dyDescent="0.25">
      <c r="A732" s="7">
        <v>46265.416666666664</v>
      </c>
      <c r="B732" s="6">
        <v>166.95</v>
      </c>
      <c r="C732" s="13">
        <v>0</v>
      </c>
      <c r="D732" s="18">
        <f>+B732+C732</f>
        <v>166.95</v>
      </c>
      <c r="E732" s="14">
        <v>31.5</v>
      </c>
      <c r="F732" s="18">
        <f t="shared" si="77"/>
        <v>24.618130324875946</v>
      </c>
      <c r="G732" s="18">
        <f t="shared" si="78"/>
        <v>6.8818696751240545</v>
      </c>
      <c r="H732" s="14">
        <v>134.20000000000002</v>
      </c>
      <c r="I732" s="18">
        <f t="shared" si="79"/>
        <v>104.88105046343975</v>
      </c>
      <c r="J732" s="18">
        <f t="shared" si="80"/>
        <v>29.318949536560261</v>
      </c>
      <c r="K732" s="14">
        <v>47.919999999999995</v>
      </c>
      <c r="L732" s="18">
        <f t="shared" si="81"/>
        <v>37.450819211684291</v>
      </c>
      <c r="M732" s="18">
        <f t="shared" si="82"/>
        <v>10.469180788315702</v>
      </c>
      <c r="N732" s="15">
        <f t="shared" si="83"/>
        <v>213.62</v>
      </c>
      <c r="O732" s="15">
        <f>+N732-P732</f>
        <v>166.95</v>
      </c>
      <c r="P732" s="15">
        <f>+IF(N732&gt;D732,N732-D732,0)</f>
        <v>46.670000000000016</v>
      </c>
      <c r="Q732" s="5">
        <f>+IF(P732=0,P732,P732/N732)</f>
        <v>0.2184720531785414</v>
      </c>
    </row>
    <row r="733" spans="1:17" x14ac:dyDescent="0.25">
      <c r="A733" s="7">
        <v>46265.458333333336</v>
      </c>
      <c r="B733" s="6">
        <v>1004.85</v>
      </c>
      <c r="C733" s="13">
        <v>3.48</v>
      </c>
      <c r="D733" s="18">
        <f>+B733+C733</f>
        <v>1008.33</v>
      </c>
      <c r="E733" s="14">
        <v>15.75</v>
      </c>
      <c r="F733" s="18">
        <f t="shared" si="77"/>
        <v>15.75</v>
      </c>
      <c r="G733" s="18">
        <f t="shared" si="78"/>
        <v>0</v>
      </c>
      <c r="H733" s="14">
        <v>64.960000000000008</v>
      </c>
      <c r="I733" s="18">
        <f t="shared" si="79"/>
        <v>64.960000000000008</v>
      </c>
      <c r="J733" s="18">
        <f t="shared" si="80"/>
        <v>0</v>
      </c>
      <c r="K733" s="14">
        <v>37.6</v>
      </c>
      <c r="L733" s="18">
        <f t="shared" si="81"/>
        <v>37.6</v>
      </c>
      <c r="M733" s="18">
        <f t="shared" si="82"/>
        <v>0</v>
      </c>
      <c r="N733" s="15">
        <f t="shared" si="83"/>
        <v>118.31</v>
      </c>
      <c r="O733" s="15">
        <f>+N733-P733</f>
        <v>118.31</v>
      </c>
      <c r="P733" s="15">
        <f>+IF(N733&gt;D733,N733-D733,0)</f>
        <v>0</v>
      </c>
      <c r="Q733" s="5">
        <f>+IF(P733=0,P733,P733/N733)</f>
        <v>0</v>
      </c>
    </row>
    <row r="734" spans="1:17" x14ac:dyDescent="0.25">
      <c r="A734" s="7">
        <v>46265.5</v>
      </c>
      <c r="B734" s="6">
        <v>1203.3</v>
      </c>
      <c r="C734" s="13">
        <v>6.6</v>
      </c>
      <c r="D734" s="18">
        <f>+B734+C734</f>
        <v>1209.8999999999999</v>
      </c>
      <c r="E734" s="14">
        <v>0</v>
      </c>
      <c r="F734" s="18">
        <f t="shared" si="77"/>
        <v>0</v>
      </c>
      <c r="G734" s="18">
        <f t="shared" si="78"/>
        <v>0</v>
      </c>
      <c r="H734" s="14">
        <v>59.92</v>
      </c>
      <c r="I734" s="18">
        <f t="shared" si="79"/>
        <v>59.92</v>
      </c>
      <c r="J734" s="18">
        <f t="shared" si="80"/>
        <v>0</v>
      </c>
      <c r="K734" s="14">
        <v>19.12</v>
      </c>
      <c r="L734" s="18">
        <f t="shared" si="81"/>
        <v>19.12</v>
      </c>
      <c r="M734" s="18">
        <f t="shared" si="82"/>
        <v>0</v>
      </c>
      <c r="N734" s="15">
        <f t="shared" si="83"/>
        <v>79.040000000000006</v>
      </c>
      <c r="O734" s="15">
        <f>+N734-P734</f>
        <v>79.040000000000006</v>
      </c>
      <c r="P734" s="15">
        <f>+IF(N734&gt;D734,N734-D734,0)</f>
        <v>0</v>
      </c>
      <c r="Q734" s="5">
        <f>+IF(P734=0,P734,P734/N734)</f>
        <v>0</v>
      </c>
    </row>
    <row r="735" spans="1:17" x14ac:dyDescent="0.25">
      <c r="A735" s="7">
        <v>46265.541666666664</v>
      </c>
      <c r="B735" s="6">
        <v>1423.8</v>
      </c>
      <c r="C735" s="13">
        <v>11.4</v>
      </c>
      <c r="D735" s="18">
        <f>+B735+C735</f>
        <v>1435.2</v>
      </c>
      <c r="E735" s="14">
        <v>0</v>
      </c>
      <c r="F735" s="18">
        <f t="shared" si="77"/>
        <v>0</v>
      </c>
      <c r="G735" s="18">
        <f t="shared" si="78"/>
        <v>0</v>
      </c>
      <c r="H735" s="14">
        <v>55.96</v>
      </c>
      <c r="I735" s="18">
        <f t="shared" si="79"/>
        <v>55.96</v>
      </c>
      <c r="J735" s="18">
        <f t="shared" si="80"/>
        <v>0</v>
      </c>
      <c r="K735" s="14">
        <v>18.04</v>
      </c>
      <c r="L735" s="18">
        <f t="shared" si="81"/>
        <v>18.04</v>
      </c>
      <c r="M735" s="18">
        <f t="shared" si="82"/>
        <v>0</v>
      </c>
      <c r="N735" s="15">
        <f t="shared" si="83"/>
        <v>74</v>
      </c>
      <c r="O735" s="15">
        <f>+N735-P735</f>
        <v>74</v>
      </c>
      <c r="P735" s="15">
        <f>+IF(N735&gt;D735,N735-D735,0)</f>
        <v>0</v>
      </c>
      <c r="Q735" s="5">
        <f>+IF(P735=0,P735,P735/N735)</f>
        <v>0</v>
      </c>
    </row>
    <row r="736" spans="1:17" x14ac:dyDescent="0.25">
      <c r="A736" s="7">
        <v>46265.583333333336</v>
      </c>
      <c r="B736" s="6">
        <v>315</v>
      </c>
      <c r="C736" s="13">
        <v>0.72</v>
      </c>
      <c r="D736" s="18">
        <f>+B736+C736</f>
        <v>315.72000000000003</v>
      </c>
      <c r="E736" s="14">
        <v>53.55</v>
      </c>
      <c r="F736" s="18">
        <f t="shared" si="77"/>
        <v>53.55</v>
      </c>
      <c r="G736" s="18">
        <f t="shared" si="78"/>
        <v>0</v>
      </c>
      <c r="H736" s="14">
        <v>98.44</v>
      </c>
      <c r="I736" s="18">
        <f t="shared" si="79"/>
        <v>98.44</v>
      </c>
      <c r="J736" s="18">
        <f t="shared" si="80"/>
        <v>0</v>
      </c>
      <c r="K736" s="14">
        <v>36.76</v>
      </c>
      <c r="L736" s="18">
        <f t="shared" si="81"/>
        <v>36.76</v>
      </c>
      <c r="M736" s="18">
        <f t="shared" si="82"/>
        <v>0</v>
      </c>
      <c r="N736" s="15">
        <f t="shared" si="83"/>
        <v>188.75</v>
      </c>
      <c r="O736" s="15">
        <f>+N736-P736</f>
        <v>188.75</v>
      </c>
      <c r="P736" s="15">
        <f>+IF(N736&gt;D736,N736-D736,0)</f>
        <v>0</v>
      </c>
      <c r="Q736" s="5">
        <f>+IF(P736=0,P736,P736/N736)</f>
        <v>0</v>
      </c>
    </row>
    <row r="737" spans="1:17" x14ac:dyDescent="0.25">
      <c r="A737" s="7">
        <v>46265.625</v>
      </c>
      <c r="B737" s="6">
        <v>708.75</v>
      </c>
      <c r="C737" s="13">
        <v>5.52</v>
      </c>
      <c r="D737" s="18">
        <f>+B737+C737</f>
        <v>714.27</v>
      </c>
      <c r="E737" s="14">
        <v>78.75</v>
      </c>
      <c r="F737" s="18">
        <f t="shared" si="77"/>
        <v>78.75</v>
      </c>
      <c r="G737" s="18">
        <f t="shared" si="78"/>
        <v>0</v>
      </c>
      <c r="H737" s="14">
        <v>70.36</v>
      </c>
      <c r="I737" s="18">
        <f t="shared" si="79"/>
        <v>70.36</v>
      </c>
      <c r="J737" s="18">
        <f t="shared" si="80"/>
        <v>0</v>
      </c>
      <c r="K737" s="14">
        <v>27.64</v>
      </c>
      <c r="L737" s="18">
        <f t="shared" si="81"/>
        <v>27.64</v>
      </c>
      <c r="M737" s="18">
        <f t="shared" si="82"/>
        <v>0</v>
      </c>
      <c r="N737" s="15">
        <f t="shared" si="83"/>
        <v>176.75</v>
      </c>
      <c r="O737" s="15">
        <f>+N737-P737</f>
        <v>176.75</v>
      </c>
      <c r="P737" s="15">
        <f>+IF(N737&gt;D737,N737-D737,0)</f>
        <v>0</v>
      </c>
      <c r="Q737" s="5">
        <f>+IF(P737=0,P737,P737/N737)</f>
        <v>0</v>
      </c>
    </row>
    <row r="738" spans="1:17" x14ac:dyDescent="0.25">
      <c r="A738" s="7">
        <v>46265.666666666664</v>
      </c>
      <c r="B738" s="6">
        <v>711.9</v>
      </c>
      <c r="C738" s="13">
        <v>0.24</v>
      </c>
      <c r="D738" s="18">
        <f>+B738+C738</f>
        <v>712.14</v>
      </c>
      <c r="E738" s="14">
        <v>15.75</v>
      </c>
      <c r="F738" s="18">
        <f t="shared" si="77"/>
        <v>15.75</v>
      </c>
      <c r="G738" s="18">
        <f t="shared" si="78"/>
        <v>0</v>
      </c>
      <c r="H738" s="14">
        <v>80.92</v>
      </c>
      <c r="I738" s="18">
        <f t="shared" si="79"/>
        <v>80.92</v>
      </c>
      <c r="J738" s="18">
        <f t="shared" si="80"/>
        <v>0</v>
      </c>
      <c r="K738" s="14">
        <v>17.32</v>
      </c>
      <c r="L738" s="18">
        <f t="shared" si="81"/>
        <v>17.32</v>
      </c>
      <c r="M738" s="18">
        <f t="shared" si="82"/>
        <v>0</v>
      </c>
      <c r="N738" s="15">
        <f t="shared" si="83"/>
        <v>113.99000000000001</v>
      </c>
      <c r="O738" s="15">
        <f>+N738-P738</f>
        <v>113.99000000000001</v>
      </c>
      <c r="P738" s="15">
        <f>+IF(N738&gt;D738,N738-D738,0)</f>
        <v>0</v>
      </c>
      <c r="Q738" s="5">
        <f>+IF(P738=0,P738,P738/N738)</f>
        <v>0</v>
      </c>
    </row>
    <row r="739" spans="1:17" x14ac:dyDescent="0.25">
      <c r="A739" s="7">
        <v>46265.708333333336</v>
      </c>
      <c r="B739" s="6">
        <v>66.150000000000006</v>
      </c>
      <c r="C739" s="13">
        <v>0</v>
      </c>
      <c r="D739" s="18">
        <f>+B739+C739</f>
        <v>66.150000000000006</v>
      </c>
      <c r="E739" s="14">
        <v>214.17699999999999</v>
      </c>
      <c r="F739" s="18">
        <f t="shared" si="77"/>
        <v>40.08354212817963</v>
      </c>
      <c r="G739" s="18">
        <f t="shared" si="78"/>
        <v>174.09345787182036</v>
      </c>
      <c r="H739" s="14">
        <v>122.56</v>
      </c>
      <c r="I739" s="18">
        <f t="shared" si="79"/>
        <v>22.937285157741954</v>
      </c>
      <c r="J739" s="18">
        <f t="shared" si="80"/>
        <v>99.622714842258048</v>
      </c>
      <c r="K739" s="14">
        <v>16.72</v>
      </c>
      <c r="L739" s="18">
        <f t="shared" si="81"/>
        <v>3.1291727140783721</v>
      </c>
      <c r="M739" s="18">
        <f t="shared" si="82"/>
        <v>13.590827285921627</v>
      </c>
      <c r="N739" s="15">
        <f t="shared" si="83"/>
        <v>353.45699999999999</v>
      </c>
      <c r="O739" s="15">
        <f>+N739-P739</f>
        <v>66.149999999999977</v>
      </c>
      <c r="P739" s="15">
        <f>+IF(N739&gt;D739,N739-D739,0)</f>
        <v>287.30700000000002</v>
      </c>
      <c r="Q739" s="5">
        <f>+IF(P739=0,P739,P739/N739)</f>
        <v>0.8128485218852648</v>
      </c>
    </row>
    <row r="740" spans="1:17" x14ac:dyDescent="0.25">
      <c r="A740" s="7">
        <v>46265.75</v>
      </c>
      <c r="B740" s="6">
        <v>78.75</v>
      </c>
      <c r="C740" s="13">
        <v>0</v>
      </c>
      <c r="D740" s="18">
        <f>+B740+C740</f>
        <v>78.75</v>
      </c>
      <c r="E740" s="14">
        <v>72.442000000000007</v>
      </c>
      <c r="F740" s="18">
        <f t="shared" si="77"/>
        <v>29.81783328629222</v>
      </c>
      <c r="G740" s="18">
        <f t="shared" si="78"/>
        <v>42.624166713707787</v>
      </c>
      <c r="H740" s="14">
        <v>97.24</v>
      </c>
      <c r="I740" s="18">
        <f t="shared" si="79"/>
        <v>40.024931790384791</v>
      </c>
      <c r="J740" s="18">
        <f t="shared" si="80"/>
        <v>57.215068209615204</v>
      </c>
      <c r="K740" s="14">
        <v>21.64</v>
      </c>
      <c r="L740" s="18">
        <f t="shared" si="81"/>
        <v>8.9072349233229851</v>
      </c>
      <c r="M740" s="18">
        <f t="shared" si="82"/>
        <v>12.732765076677016</v>
      </c>
      <c r="N740" s="15">
        <f t="shared" si="83"/>
        <v>191.322</v>
      </c>
      <c r="O740" s="15">
        <f>+N740-P740</f>
        <v>78.75</v>
      </c>
      <c r="P740" s="15">
        <f>+IF(N740&gt;D740,N740-D740,0)</f>
        <v>112.572</v>
      </c>
      <c r="Q740" s="5">
        <f>+IF(P740=0,P740,P740/N740)</f>
        <v>0.58839025308119297</v>
      </c>
    </row>
    <row r="741" spans="1:17" x14ac:dyDescent="0.25">
      <c r="A741" s="7">
        <v>46265.791666666664</v>
      </c>
      <c r="B741" s="6">
        <v>0</v>
      </c>
      <c r="C741" s="13">
        <v>0</v>
      </c>
      <c r="D741" s="18">
        <f>+B741+C741</f>
        <v>0</v>
      </c>
      <c r="E741" s="14">
        <v>261.42199999999997</v>
      </c>
      <c r="F741" s="18">
        <f t="shared" si="77"/>
        <v>0</v>
      </c>
      <c r="G741" s="18">
        <f t="shared" si="78"/>
        <v>261.42199999999997</v>
      </c>
      <c r="H741" s="14">
        <v>104.32</v>
      </c>
      <c r="I741" s="18">
        <f t="shared" si="79"/>
        <v>0</v>
      </c>
      <c r="J741" s="18">
        <f t="shared" si="80"/>
        <v>104.32</v>
      </c>
      <c r="K741" s="14">
        <v>2.44</v>
      </c>
      <c r="L741" s="18">
        <f t="shared" si="81"/>
        <v>0</v>
      </c>
      <c r="M741" s="18">
        <f t="shared" si="82"/>
        <v>2.44</v>
      </c>
      <c r="N741" s="15">
        <f t="shared" si="83"/>
        <v>368.18199999999996</v>
      </c>
      <c r="O741" s="15">
        <f>+N741-P741</f>
        <v>0</v>
      </c>
      <c r="P741" s="15">
        <f>+IF(N741&gt;D741,N741-D741,0)</f>
        <v>368.18199999999996</v>
      </c>
      <c r="Q741" s="5">
        <f>+IF(P741=0,P741,P741/N741)</f>
        <v>1</v>
      </c>
    </row>
    <row r="742" spans="1:17" x14ac:dyDescent="0.25">
      <c r="A742" s="7">
        <v>46265.833333333336</v>
      </c>
      <c r="B742" s="6">
        <v>0</v>
      </c>
      <c r="C742" s="13">
        <v>0</v>
      </c>
      <c r="D742" s="18">
        <f>+B742+C742</f>
        <v>0</v>
      </c>
      <c r="E742" s="14">
        <v>343.31299999999999</v>
      </c>
      <c r="F742" s="18">
        <f t="shared" si="77"/>
        <v>0</v>
      </c>
      <c r="G742" s="18">
        <f t="shared" si="78"/>
        <v>343.31299999999999</v>
      </c>
      <c r="H742" s="14">
        <v>135.52000000000001</v>
      </c>
      <c r="I742" s="18">
        <f t="shared" si="79"/>
        <v>0</v>
      </c>
      <c r="J742" s="18">
        <f t="shared" si="80"/>
        <v>135.52000000000001</v>
      </c>
      <c r="K742" s="14">
        <v>3.52</v>
      </c>
      <c r="L742" s="18">
        <f t="shared" si="81"/>
        <v>0</v>
      </c>
      <c r="M742" s="18">
        <f t="shared" si="82"/>
        <v>3.52</v>
      </c>
      <c r="N742" s="15">
        <f t="shared" si="83"/>
        <v>482.35299999999995</v>
      </c>
      <c r="O742" s="15">
        <f>+N742-P742</f>
        <v>0</v>
      </c>
      <c r="P742" s="15">
        <f>+IF(N742&gt;D742,N742-D742,0)</f>
        <v>482.35299999999995</v>
      </c>
      <c r="Q742" s="5">
        <f>+IF(P742=0,P742,P742/N742)</f>
        <v>1</v>
      </c>
    </row>
    <row r="743" spans="1:17" x14ac:dyDescent="0.25">
      <c r="A743" s="7">
        <v>46265.875</v>
      </c>
      <c r="B743" s="6">
        <v>0</v>
      </c>
      <c r="C743" s="13">
        <v>0</v>
      </c>
      <c r="D743" s="18">
        <f>+B743+C743</f>
        <v>0</v>
      </c>
      <c r="E743" s="14">
        <v>337.01399999999995</v>
      </c>
      <c r="F743" s="18">
        <f t="shared" si="77"/>
        <v>0</v>
      </c>
      <c r="G743" s="18">
        <f t="shared" si="78"/>
        <v>337.01399999999995</v>
      </c>
      <c r="H743" s="14">
        <v>111.4</v>
      </c>
      <c r="I743" s="18">
        <f t="shared" si="79"/>
        <v>0</v>
      </c>
      <c r="J743" s="18">
        <f t="shared" si="80"/>
        <v>111.4</v>
      </c>
      <c r="K743" s="14">
        <v>4.12</v>
      </c>
      <c r="L743" s="18">
        <f t="shared" si="81"/>
        <v>0</v>
      </c>
      <c r="M743" s="18">
        <f t="shared" si="82"/>
        <v>4.12</v>
      </c>
      <c r="N743" s="15">
        <f t="shared" si="83"/>
        <v>452.53399999999999</v>
      </c>
      <c r="O743" s="15">
        <f>+N743-P743</f>
        <v>0</v>
      </c>
      <c r="P743" s="15">
        <f>+IF(N743&gt;D743,N743-D743,0)</f>
        <v>452.53399999999999</v>
      </c>
      <c r="Q743" s="5">
        <f>+IF(P743=0,P743,P743/N743)</f>
        <v>1</v>
      </c>
    </row>
    <row r="744" spans="1:17" x14ac:dyDescent="0.25">
      <c r="A744" s="7">
        <v>46265.916666666664</v>
      </c>
      <c r="B744" s="6">
        <v>0</v>
      </c>
      <c r="C744" s="13">
        <v>0</v>
      </c>
      <c r="D744" s="18">
        <f>+B744+C744</f>
        <v>0</v>
      </c>
      <c r="E744" s="14">
        <v>355.95600000000002</v>
      </c>
      <c r="F744" s="18">
        <f t="shared" si="77"/>
        <v>0</v>
      </c>
      <c r="G744" s="18">
        <f t="shared" si="78"/>
        <v>355.95600000000002</v>
      </c>
      <c r="H744" s="14">
        <v>105.52</v>
      </c>
      <c r="I744" s="18">
        <f t="shared" si="79"/>
        <v>0</v>
      </c>
      <c r="J744" s="18">
        <f t="shared" si="80"/>
        <v>105.52</v>
      </c>
      <c r="K744" s="14">
        <v>4.96</v>
      </c>
      <c r="L744" s="18">
        <f t="shared" si="81"/>
        <v>0</v>
      </c>
      <c r="M744" s="18">
        <f t="shared" si="82"/>
        <v>4.96</v>
      </c>
      <c r="N744" s="15">
        <f t="shared" si="83"/>
        <v>466.43599999999998</v>
      </c>
      <c r="O744" s="15">
        <f>+N744-P744</f>
        <v>0</v>
      </c>
      <c r="P744" s="15">
        <f>+IF(N744&gt;D744,N744-D744,0)</f>
        <v>466.43599999999998</v>
      </c>
      <c r="Q744" s="5">
        <f>+IF(P744=0,P744,P744/N744)</f>
        <v>1</v>
      </c>
    </row>
    <row r="745" spans="1:17" x14ac:dyDescent="0.25">
      <c r="A745" s="7">
        <v>46265.958333333336</v>
      </c>
      <c r="B745" s="6">
        <v>0</v>
      </c>
      <c r="C745" s="13">
        <v>0</v>
      </c>
      <c r="D745" s="18">
        <f>+B745+C745</f>
        <v>0</v>
      </c>
      <c r="E745" s="14">
        <v>311.85500000000002</v>
      </c>
      <c r="F745" s="18">
        <f t="shared" si="77"/>
        <v>0</v>
      </c>
      <c r="G745" s="18">
        <f t="shared" si="78"/>
        <v>311.85500000000002</v>
      </c>
      <c r="H745" s="14">
        <v>100.12</v>
      </c>
      <c r="I745" s="18">
        <f t="shared" si="79"/>
        <v>0</v>
      </c>
      <c r="J745" s="18">
        <f t="shared" si="80"/>
        <v>100.12</v>
      </c>
      <c r="K745" s="14">
        <v>4.12</v>
      </c>
      <c r="L745" s="18">
        <f t="shared" si="81"/>
        <v>0</v>
      </c>
      <c r="M745" s="18">
        <f t="shared" si="82"/>
        <v>4.12</v>
      </c>
      <c r="N745" s="15">
        <f t="shared" si="83"/>
        <v>416.09500000000003</v>
      </c>
      <c r="O745" s="15">
        <f>+N745-P745</f>
        <v>0</v>
      </c>
      <c r="P745" s="15">
        <f>+IF(N745&gt;D745,N745-D745,0)</f>
        <v>416.09500000000003</v>
      </c>
      <c r="Q745" s="5">
        <f>+IF(P745=0,P745,P745/N745)</f>
        <v>1</v>
      </c>
    </row>
    <row r="746" spans="1:17" x14ac:dyDescent="0.25">
      <c r="A746" s="4"/>
      <c r="B746" s="16">
        <f>SUM(B2:B745)</f>
        <v>452604.60000000003</v>
      </c>
      <c r="C746" s="16">
        <f>SUM(C2:C745)</f>
        <v>4967.5199999999923</v>
      </c>
      <c r="D746" s="15">
        <f>SUM(D2:D745)</f>
        <v>457572.12000000058</v>
      </c>
      <c r="E746" s="16">
        <f t="shared" ref="E746:K746" si="84">SUM(E2:E745)</f>
        <v>243564.29999999976</v>
      </c>
      <c r="F746" s="15">
        <f t="shared" ref="F746" si="85">SUM(F2:F745)</f>
        <v>3060.0590316591233</v>
      </c>
      <c r="G746" s="15">
        <f t="shared" ref="G746" si="86">SUM(G2:G745)</f>
        <v>240504.24096834089</v>
      </c>
      <c r="H746" s="16">
        <f t="shared" si="84"/>
        <v>46225.199999999961</v>
      </c>
      <c r="I746" s="15">
        <f t="shared" ref="I746" si="87">SUM(I2:I745)</f>
        <v>15715.876030218935</v>
      </c>
      <c r="J746" s="15">
        <f t="shared" ref="J746" si="88">SUM(J2:J745)</f>
        <v>30509.323969781064</v>
      </c>
      <c r="K746" s="16">
        <f t="shared" ref="K746" si="89">SUM(K2:K745)</f>
        <v>13160.520000000002</v>
      </c>
      <c r="L746" s="15">
        <f t="shared" ref="L746" si="90">SUM(L2:L745)</f>
        <v>10014.847938121948</v>
      </c>
      <c r="M746" s="15">
        <f t="shared" ref="M746" si="91">SUM(M2:M745)</f>
        <v>3145.6720618780555</v>
      </c>
      <c r="N746" s="15">
        <f>SUM(N2:N745)</f>
        <v>302950.02000000019</v>
      </c>
      <c r="O746" s="15">
        <f>SUM(O2:O745)</f>
        <v>28790.78300000001</v>
      </c>
      <c r="P746" s="15">
        <f>SUM(P2:P745)</f>
        <v>274159.23700000002</v>
      </c>
      <c r="Q746" s="3">
        <f>SUM(Q2:Q745)</f>
        <v>380.91360405123601</v>
      </c>
    </row>
    <row r="747" spans="1:17" x14ac:dyDescent="0.25">
      <c r="O747" s="2"/>
    </row>
    <row r="750" spans="1:17" x14ac:dyDescent="0.25">
      <c r="O750" s="20"/>
    </row>
    <row r="751" spans="1:17" x14ac:dyDescent="0.25">
      <c r="O751" s="20"/>
    </row>
    <row r="752" spans="1:17" x14ac:dyDescent="0.25">
      <c r="O752" s="20"/>
    </row>
    <row r="753" spans="15:16" x14ac:dyDescent="0.25">
      <c r="O753" s="21"/>
      <c r="P753" s="21"/>
    </row>
  </sheetData>
  <autoFilter ref="A1:Q746" xr:uid="{8CC65E0F-C2C1-4373-AD6E-5B5D47F47BD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3202-685C-49A6-8B97-F0D3C3FC75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NİĞDE AS BETON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Sağdıç</dc:creator>
  <cp:lastModifiedBy>Fatih Sağdıç</cp:lastModifiedBy>
  <dcterms:created xsi:type="dcterms:W3CDTF">2026-09-30T10:54:44Z</dcterms:created>
  <dcterms:modified xsi:type="dcterms:W3CDTF">2026-09-30T11:36:22Z</dcterms:modified>
</cp:coreProperties>
</file>