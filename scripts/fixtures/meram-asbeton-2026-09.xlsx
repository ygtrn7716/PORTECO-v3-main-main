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skln1479\Desktop\"/>
    </mc:Choice>
  </mc:AlternateContent>
  <xr:revisionPtr revIDLastSave="0" documentId="8_{1A4CBED2-F68C-4320-8EB0-FCB9331500B1}" xr6:coauthVersionLast="47" xr6:coauthVersionMax="47" xr10:uidLastSave="{00000000-0000-0000-0000-000000000000}"/>
  <bookViews>
    <workbookView xWindow="-120" yWindow="-120" windowWidth="29040" windowHeight="15720" activeTab="2" xr2:uid="{6131A3F4-FD0E-4731-B466-547DA50B16E6}"/>
  </bookViews>
  <sheets>
    <sheet name="NİĞDE AS BETON" sheetId="2" r:id="rId1"/>
    <sheet name="Sayfa1" sheetId="1" r:id="rId2"/>
    <sheet name="Eylül Olması Gereken" sheetId="3" r:id="rId3"/>
  </sheets>
  <definedNames>
    <definedName name="_xlnm._FilterDatabase" localSheetId="2" hidden="1">'Eylül Olması Gereken'!$A$1:$Q$746</definedName>
    <definedName name="_xlnm._FilterDatabase" localSheetId="0" hidden="1">'NİĞDE AS BETON'!$A$1:$Q$746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46" i="3" l="1"/>
  <c r="H746" i="3"/>
  <c r="E746" i="3"/>
  <c r="C746" i="3"/>
  <c r="B746" i="3"/>
  <c r="N745" i="3"/>
  <c r="D745" i="3"/>
  <c r="N744" i="3"/>
  <c r="D744" i="3"/>
  <c r="N743" i="3"/>
  <c r="D743" i="3"/>
  <c r="N742" i="3"/>
  <c r="D742" i="3"/>
  <c r="N741" i="3"/>
  <c r="D741" i="3"/>
  <c r="N740" i="3"/>
  <c r="D740" i="3"/>
  <c r="N739" i="3"/>
  <c r="D739" i="3"/>
  <c r="N738" i="3"/>
  <c r="D738" i="3"/>
  <c r="N737" i="3"/>
  <c r="D737" i="3"/>
  <c r="N736" i="3"/>
  <c r="D736" i="3"/>
  <c r="N735" i="3"/>
  <c r="D735" i="3"/>
  <c r="N734" i="3"/>
  <c r="D734" i="3"/>
  <c r="N733" i="3"/>
  <c r="D733" i="3"/>
  <c r="N732" i="3"/>
  <c r="D732" i="3"/>
  <c r="N731" i="3"/>
  <c r="D731" i="3"/>
  <c r="N730" i="3"/>
  <c r="D730" i="3"/>
  <c r="N729" i="3"/>
  <c r="D729" i="3"/>
  <c r="N728" i="3"/>
  <c r="D728" i="3"/>
  <c r="N727" i="3"/>
  <c r="D727" i="3"/>
  <c r="N726" i="3"/>
  <c r="D726" i="3"/>
  <c r="N725" i="3"/>
  <c r="D725" i="3"/>
  <c r="N724" i="3"/>
  <c r="D724" i="3"/>
  <c r="N723" i="3"/>
  <c r="D723" i="3"/>
  <c r="N722" i="3"/>
  <c r="D722" i="3"/>
  <c r="N721" i="3"/>
  <c r="D721" i="3"/>
  <c r="N720" i="3"/>
  <c r="D720" i="3"/>
  <c r="N719" i="3"/>
  <c r="D719" i="3"/>
  <c r="N718" i="3"/>
  <c r="D718" i="3"/>
  <c r="N717" i="3"/>
  <c r="D717" i="3"/>
  <c r="N716" i="3"/>
  <c r="D716" i="3"/>
  <c r="N715" i="3"/>
  <c r="D715" i="3"/>
  <c r="N714" i="3"/>
  <c r="D714" i="3"/>
  <c r="N713" i="3"/>
  <c r="D713" i="3"/>
  <c r="N712" i="3"/>
  <c r="D712" i="3"/>
  <c r="N711" i="3"/>
  <c r="D711" i="3"/>
  <c r="N710" i="3"/>
  <c r="D710" i="3"/>
  <c r="N709" i="3"/>
  <c r="D709" i="3"/>
  <c r="N708" i="3"/>
  <c r="D708" i="3"/>
  <c r="N707" i="3"/>
  <c r="D707" i="3"/>
  <c r="N706" i="3"/>
  <c r="D706" i="3"/>
  <c r="N705" i="3"/>
  <c r="D705" i="3"/>
  <c r="N704" i="3"/>
  <c r="D704" i="3"/>
  <c r="N703" i="3"/>
  <c r="D703" i="3"/>
  <c r="N702" i="3"/>
  <c r="D702" i="3"/>
  <c r="N701" i="3"/>
  <c r="D701" i="3"/>
  <c r="N700" i="3"/>
  <c r="D700" i="3"/>
  <c r="N699" i="3"/>
  <c r="D699" i="3"/>
  <c r="N698" i="3"/>
  <c r="D698" i="3"/>
  <c r="N697" i="3"/>
  <c r="D697" i="3"/>
  <c r="N696" i="3"/>
  <c r="D696" i="3"/>
  <c r="N695" i="3"/>
  <c r="D695" i="3"/>
  <c r="N694" i="3"/>
  <c r="D694" i="3"/>
  <c r="N693" i="3"/>
  <c r="D693" i="3"/>
  <c r="N692" i="3"/>
  <c r="D692" i="3"/>
  <c r="N691" i="3"/>
  <c r="D691" i="3"/>
  <c r="N690" i="3"/>
  <c r="D690" i="3"/>
  <c r="N689" i="3"/>
  <c r="D689" i="3"/>
  <c r="N688" i="3"/>
  <c r="D688" i="3"/>
  <c r="N687" i="3"/>
  <c r="D687" i="3"/>
  <c r="N686" i="3"/>
  <c r="D686" i="3"/>
  <c r="N685" i="3"/>
  <c r="D685" i="3"/>
  <c r="N684" i="3"/>
  <c r="D684" i="3"/>
  <c r="N683" i="3"/>
  <c r="D683" i="3"/>
  <c r="N682" i="3"/>
  <c r="D682" i="3"/>
  <c r="N681" i="3"/>
  <c r="D681" i="3"/>
  <c r="N680" i="3"/>
  <c r="D680" i="3"/>
  <c r="N679" i="3"/>
  <c r="D679" i="3"/>
  <c r="N678" i="3"/>
  <c r="D678" i="3"/>
  <c r="N677" i="3"/>
  <c r="D677" i="3"/>
  <c r="N676" i="3"/>
  <c r="D676" i="3"/>
  <c r="N675" i="3"/>
  <c r="D675" i="3"/>
  <c r="N674" i="3"/>
  <c r="D674" i="3"/>
  <c r="N673" i="3"/>
  <c r="D673" i="3"/>
  <c r="N672" i="3"/>
  <c r="D672" i="3"/>
  <c r="N671" i="3"/>
  <c r="D671" i="3"/>
  <c r="N670" i="3"/>
  <c r="D670" i="3"/>
  <c r="N669" i="3"/>
  <c r="D669" i="3"/>
  <c r="N668" i="3"/>
  <c r="D668" i="3"/>
  <c r="N667" i="3"/>
  <c r="D667" i="3"/>
  <c r="N666" i="3"/>
  <c r="D666" i="3"/>
  <c r="N665" i="3"/>
  <c r="D665" i="3"/>
  <c r="N664" i="3"/>
  <c r="D664" i="3"/>
  <c r="N663" i="3"/>
  <c r="D663" i="3"/>
  <c r="N662" i="3"/>
  <c r="D662" i="3"/>
  <c r="N661" i="3"/>
  <c r="D661" i="3"/>
  <c r="N660" i="3"/>
  <c r="D660" i="3"/>
  <c r="N659" i="3"/>
  <c r="D659" i="3"/>
  <c r="N658" i="3"/>
  <c r="D658" i="3"/>
  <c r="N657" i="3"/>
  <c r="D657" i="3"/>
  <c r="N656" i="3"/>
  <c r="D656" i="3"/>
  <c r="N655" i="3"/>
  <c r="D655" i="3"/>
  <c r="N654" i="3"/>
  <c r="D654" i="3"/>
  <c r="N653" i="3"/>
  <c r="D653" i="3"/>
  <c r="N652" i="3"/>
  <c r="D652" i="3"/>
  <c r="N651" i="3"/>
  <c r="D651" i="3"/>
  <c r="N650" i="3"/>
  <c r="D650" i="3"/>
  <c r="N649" i="3"/>
  <c r="D649" i="3"/>
  <c r="N648" i="3"/>
  <c r="D648" i="3"/>
  <c r="N647" i="3"/>
  <c r="D647" i="3"/>
  <c r="N646" i="3"/>
  <c r="D646" i="3"/>
  <c r="N645" i="3"/>
  <c r="D645" i="3"/>
  <c r="N644" i="3"/>
  <c r="D644" i="3"/>
  <c r="N643" i="3"/>
  <c r="D643" i="3"/>
  <c r="N642" i="3"/>
  <c r="D642" i="3"/>
  <c r="N641" i="3"/>
  <c r="D641" i="3"/>
  <c r="N640" i="3"/>
  <c r="D640" i="3"/>
  <c r="N639" i="3"/>
  <c r="D639" i="3"/>
  <c r="N638" i="3"/>
  <c r="D638" i="3"/>
  <c r="N637" i="3"/>
  <c r="D637" i="3"/>
  <c r="N636" i="3"/>
  <c r="D636" i="3"/>
  <c r="N635" i="3"/>
  <c r="D635" i="3"/>
  <c r="N634" i="3"/>
  <c r="D634" i="3"/>
  <c r="N633" i="3"/>
  <c r="D633" i="3"/>
  <c r="N632" i="3"/>
  <c r="D632" i="3"/>
  <c r="N631" i="3"/>
  <c r="D631" i="3"/>
  <c r="N630" i="3"/>
  <c r="D630" i="3"/>
  <c r="N629" i="3"/>
  <c r="D629" i="3"/>
  <c r="N628" i="3"/>
  <c r="D628" i="3"/>
  <c r="N627" i="3"/>
  <c r="D627" i="3"/>
  <c r="N626" i="3"/>
  <c r="D626" i="3"/>
  <c r="N625" i="3"/>
  <c r="D625" i="3"/>
  <c r="N624" i="3"/>
  <c r="D624" i="3"/>
  <c r="N623" i="3"/>
  <c r="D623" i="3"/>
  <c r="N622" i="3"/>
  <c r="D622" i="3"/>
  <c r="N621" i="3"/>
  <c r="D621" i="3"/>
  <c r="N620" i="3"/>
  <c r="D620" i="3"/>
  <c r="N619" i="3"/>
  <c r="D619" i="3"/>
  <c r="N618" i="3"/>
  <c r="D618" i="3"/>
  <c r="N617" i="3"/>
  <c r="D617" i="3"/>
  <c r="N616" i="3"/>
  <c r="D616" i="3"/>
  <c r="N615" i="3"/>
  <c r="D615" i="3"/>
  <c r="N614" i="3"/>
  <c r="D614" i="3"/>
  <c r="N613" i="3"/>
  <c r="D613" i="3"/>
  <c r="N612" i="3"/>
  <c r="D612" i="3"/>
  <c r="N611" i="3"/>
  <c r="D611" i="3"/>
  <c r="N610" i="3"/>
  <c r="D610" i="3"/>
  <c r="N609" i="3"/>
  <c r="D609" i="3"/>
  <c r="N608" i="3"/>
  <c r="D608" i="3"/>
  <c r="N607" i="3"/>
  <c r="D607" i="3"/>
  <c r="N606" i="3"/>
  <c r="D606" i="3"/>
  <c r="N605" i="3"/>
  <c r="D605" i="3"/>
  <c r="N604" i="3"/>
  <c r="D604" i="3"/>
  <c r="N603" i="3"/>
  <c r="D603" i="3"/>
  <c r="N602" i="3"/>
  <c r="D602" i="3"/>
  <c r="N601" i="3"/>
  <c r="D601" i="3"/>
  <c r="N600" i="3"/>
  <c r="D600" i="3"/>
  <c r="N599" i="3"/>
  <c r="D599" i="3"/>
  <c r="N598" i="3"/>
  <c r="D598" i="3"/>
  <c r="N597" i="3"/>
  <c r="D597" i="3"/>
  <c r="N596" i="3"/>
  <c r="D596" i="3"/>
  <c r="N595" i="3"/>
  <c r="D595" i="3"/>
  <c r="N594" i="3"/>
  <c r="D594" i="3"/>
  <c r="N593" i="3"/>
  <c r="D593" i="3"/>
  <c r="N592" i="3"/>
  <c r="D592" i="3"/>
  <c r="N591" i="3"/>
  <c r="D591" i="3"/>
  <c r="N590" i="3"/>
  <c r="D590" i="3"/>
  <c r="N589" i="3"/>
  <c r="D589" i="3"/>
  <c r="N588" i="3"/>
  <c r="D588" i="3"/>
  <c r="N587" i="3"/>
  <c r="D587" i="3"/>
  <c r="N586" i="3"/>
  <c r="D586" i="3"/>
  <c r="N585" i="3"/>
  <c r="D585" i="3"/>
  <c r="N584" i="3"/>
  <c r="D584" i="3"/>
  <c r="N583" i="3"/>
  <c r="D583" i="3"/>
  <c r="N582" i="3"/>
  <c r="D582" i="3"/>
  <c r="N581" i="3"/>
  <c r="D581" i="3"/>
  <c r="N580" i="3"/>
  <c r="D580" i="3"/>
  <c r="N579" i="3"/>
  <c r="D579" i="3"/>
  <c r="N578" i="3"/>
  <c r="D578" i="3"/>
  <c r="N577" i="3"/>
  <c r="D577" i="3"/>
  <c r="N576" i="3"/>
  <c r="D576" i="3"/>
  <c r="N575" i="3"/>
  <c r="D575" i="3"/>
  <c r="N574" i="3"/>
  <c r="D574" i="3"/>
  <c r="N573" i="3"/>
  <c r="D573" i="3"/>
  <c r="N572" i="3"/>
  <c r="D572" i="3"/>
  <c r="N571" i="3"/>
  <c r="D571" i="3"/>
  <c r="N570" i="3"/>
  <c r="D570" i="3"/>
  <c r="N569" i="3"/>
  <c r="D569" i="3"/>
  <c r="N568" i="3"/>
  <c r="D568" i="3"/>
  <c r="N567" i="3"/>
  <c r="D567" i="3"/>
  <c r="N566" i="3"/>
  <c r="D566" i="3"/>
  <c r="N565" i="3"/>
  <c r="D565" i="3"/>
  <c r="N564" i="3"/>
  <c r="D564" i="3"/>
  <c r="N563" i="3"/>
  <c r="D563" i="3"/>
  <c r="N562" i="3"/>
  <c r="D562" i="3"/>
  <c r="N561" i="3"/>
  <c r="D561" i="3"/>
  <c r="N560" i="3"/>
  <c r="D560" i="3"/>
  <c r="N559" i="3"/>
  <c r="D559" i="3"/>
  <c r="N558" i="3"/>
  <c r="D558" i="3"/>
  <c r="N557" i="3"/>
  <c r="D557" i="3"/>
  <c r="N556" i="3"/>
  <c r="D556" i="3"/>
  <c r="N555" i="3"/>
  <c r="D555" i="3"/>
  <c r="N554" i="3"/>
  <c r="D554" i="3"/>
  <c r="N553" i="3"/>
  <c r="D553" i="3"/>
  <c r="N552" i="3"/>
  <c r="D552" i="3"/>
  <c r="N551" i="3"/>
  <c r="D551" i="3"/>
  <c r="N550" i="3"/>
  <c r="D550" i="3"/>
  <c r="N549" i="3"/>
  <c r="D549" i="3"/>
  <c r="N548" i="3"/>
  <c r="D548" i="3"/>
  <c r="N547" i="3"/>
  <c r="D547" i="3"/>
  <c r="N546" i="3"/>
  <c r="D546" i="3"/>
  <c r="N545" i="3"/>
  <c r="D545" i="3"/>
  <c r="N544" i="3"/>
  <c r="D544" i="3"/>
  <c r="N543" i="3"/>
  <c r="D543" i="3"/>
  <c r="N542" i="3"/>
  <c r="D542" i="3"/>
  <c r="N541" i="3"/>
  <c r="D541" i="3"/>
  <c r="N540" i="3"/>
  <c r="D540" i="3"/>
  <c r="N539" i="3"/>
  <c r="D539" i="3"/>
  <c r="N538" i="3"/>
  <c r="D538" i="3"/>
  <c r="N537" i="3"/>
  <c r="D537" i="3"/>
  <c r="N536" i="3"/>
  <c r="D536" i="3"/>
  <c r="N535" i="3"/>
  <c r="D535" i="3"/>
  <c r="N534" i="3"/>
  <c r="D534" i="3"/>
  <c r="N533" i="3"/>
  <c r="D533" i="3"/>
  <c r="N532" i="3"/>
  <c r="D532" i="3"/>
  <c r="N531" i="3"/>
  <c r="D531" i="3"/>
  <c r="N530" i="3"/>
  <c r="D530" i="3"/>
  <c r="N529" i="3"/>
  <c r="D529" i="3"/>
  <c r="N528" i="3"/>
  <c r="D528" i="3"/>
  <c r="N527" i="3"/>
  <c r="D527" i="3"/>
  <c r="N526" i="3"/>
  <c r="D526" i="3"/>
  <c r="N525" i="3"/>
  <c r="D525" i="3"/>
  <c r="N524" i="3"/>
  <c r="D524" i="3"/>
  <c r="N523" i="3"/>
  <c r="D523" i="3"/>
  <c r="N522" i="3"/>
  <c r="D522" i="3"/>
  <c r="N521" i="3"/>
  <c r="D521" i="3"/>
  <c r="N520" i="3"/>
  <c r="D520" i="3"/>
  <c r="N519" i="3"/>
  <c r="D519" i="3"/>
  <c r="N518" i="3"/>
  <c r="D518" i="3"/>
  <c r="N517" i="3"/>
  <c r="D517" i="3"/>
  <c r="N516" i="3"/>
  <c r="D516" i="3"/>
  <c r="N515" i="3"/>
  <c r="D515" i="3"/>
  <c r="N514" i="3"/>
  <c r="D514" i="3"/>
  <c r="N513" i="3"/>
  <c r="D513" i="3"/>
  <c r="N512" i="3"/>
  <c r="D512" i="3"/>
  <c r="N511" i="3"/>
  <c r="D511" i="3"/>
  <c r="N510" i="3"/>
  <c r="D510" i="3"/>
  <c r="N509" i="3"/>
  <c r="D509" i="3"/>
  <c r="N508" i="3"/>
  <c r="D508" i="3"/>
  <c r="N507" i="3"/>
  <c r="D507" i="3"/>
  <c r="N506" i="3"/>
  <c r="D506" i="3"/>
  <c r="N505" i="3"/>
  <c r="D505" i="3"/>
  <c r="N504" i="3"/>
  <c r="D504" i="3"/>
  <c r="N503" i="3"/>
  <c r="D503" i="3"/>
  <c r="N502" i="3"/>
  <c r="D502" i="3"/>
  <c r="N501" i="3"/>
  <c r="D501" i="3"/>
  <c r="N500" i="3"/>
  <c r="D500" i="3"/>
  <c r="N499" i="3"/>
  <c r="D499" i="3"/>
  <c r="N498" i="3"/>
  <c r="D498" i="3"/>
  <c r="N497" i="3"/>
  <c r="D497" i="3"/>
  <c r="N496" i="3"/>
  <c r="D496" i="3"/>
  <c r="N495" i="3"/>
  <c r="D495" i="3"/>
  <c r="N494" i="3"/>
  <c r="D494" i="3"/>
  <c r="P494" i="3" s="1"/>
  <c r="N493" i="3"/>
  <c r="D493" i="3"/>
  <c r="N492" i="3"/>
  <c r="D492" i="3"/>
  <c r="N491" i="3"/>
  <c r="D491" i="3"/>
  <c r="N490" i="3"/>
  <c r="D490" i="3"/>
  <c r="N489" i="3"/>
  <c r="D489" i="3"/>
  <c r="N488" i="3"/>
  <c r="D488" i="3"/>
  <c r="N487" i="3"/>
  <c r="D487" i="3"/>
  <c r="N486" i="3"/>
  <c r="D486" i="3"/>
  <c r="N485" i="3"/>
  <c r="D485" i="3"/>
  <c r="N484" i="3"/>
  <c r="D484" i="3"/>
  <c r="N483" i="3"/>
  <c r="D483" i="3"/>
  <c r="N482" i="3"/>
  <c r="D482" i="3"/>
  <c r="N481" i="3"/>
  <c r="D481" i="3"/>
  <c r="N480" i="3"/>
  <c r="D480" i="3"/>
  <c r="N479" i="3"/>
  <c r="D479" i="3"/>
  <c r="N478" i="3"/>
  <c r="D478" i="3"/>
  <c r="N477" i="3"/>
  <c r="D477" i="3"/>
  <c r="N476" i="3"/>
  <c r="D476" i="3"/>
  <c r="N475" i="3"/>
  <c r="D475" i="3"/>
  <c r="N474" i="3"/>
  <c r="D474" i="3"/>
  <c r="N473" i="3"/>
  <c r="D473" i="3"/>
  <c r="N472" i="3"/>
  <c r="D472" i="3"/>
  <c r="N471" i="3"/>
  <c r="D471" i="3"/>
  <c r="N470" i="3"/>
  <c r="D470" i="3"/>
  <c r="N469" i="3"/>
  <c r="D469" i="3"/>
  <c r="N468" i="3"/>
  <c r="D468" i="3"/>
  <c r="N467" i="3"/>
  <c r="D467" i="3"/>
  <c r="N466" i="3"/>
  <c r="D466" i="3"/>
  <c r="N465" i="3"/>
  <c r="D465" i="3"/>
  <c r="N464" i="3"/>
  <c r="D464" i="3"/>
  <c r="N463" i="3"/>
  <c r="D463" i="3"/>
  <c r="N462" i="3"/>
  <c r="D462" i="3"/>
  <c r="N461" i="3"/>
  <c r="D461" i="3"/>
  <c r="N460" i="3"/>
  <c r="D460" i="3"/>
  <c r="N459" i="3"/>
  <c r="D459" i="3"/>
  <c r="N458" i="3"/>
  <c r="D458" i="3"/>
  <c r="N457" i="3"/>
  <c r="D457" i="3"/>
  <c r="N456" i="3"/>
  <c r="D456" i="3"/>
  <c r="N455" i="3"/>
  <c r="D455" i="3"/>
  <c r="N454" i="3"/>
  <c r="D454" i="3"/>
  <c r="N453" i="3"/>
  <c r="D453" i="3"/>
  <c r="N452" i="3"/>
  <c r="D452" i="3"/>
  <c r="N451" i="3"/>
  <c r="D451" i="3"/>
  <c r="N450" i="3"/>
  <c r="D450" i="3"/>
  <c r="N449" i="3"/>
  <c r="D449" i="3"/>
  <c r="N448" i="3"/>
  <c r="D448" i="3"/>
  <c r="N447" i="3"/>
  <c r="D447" i="3"/>
  <c r="N446" i="3"/>
  <c r="D446" i="3"/>
  <c r="N445" i="3"/>
  <c r="D445" i="3"/>
  <c r="N444" i="3"/>
  <c r="D444" i="3"/>
  <c r="N443" i="3"/>
  <c r="D443" i="3"/>
  <c r="N442" i="3"/>
  <c r="D442" i="3"/>
  <c r="N441" i="3"/>
  <c r="D441" i="3"/>
  <c r="N440" i="3"/>
  <c r="D440" i="3"/>
  <c r="N439" i="3"/>
  <c r="D439" i="3"/>
  <c r="N438" i="3"/>
  <c r="D438" i="3"/>
  <c r="N437" i="3"/>
  <c r="D437" i="3"/>
  <c r="N436" i="3"/>
  <c r="D436" i="3"/>
  <c r="N435" i="3"/>
  <c r="D435" i="3"/>
  <c r="N434" i="3"/>
  <c r="D434" i="3"/>
  <c r="N433" i="3"/>
  <c r="D433" i="3"/>
  <c r="N432" i="3"/>
  <c r="D432" i="3"/>
  <c r="N431" i="3"/>
  <c r="D431" i="3"/>
  <c r="N430" i="3"/>
  <c r="D430" i="3"/>
  <c r="N429" i="3"/>
  <c r="D429" i="3"/>
  <c r="N428" i="3"/>
  <c r="D428" i="3"/>
  <c r="N427" i="3"/>
  <c r="D427" i="3"/>
  <c r="N426" i="3"/>
  <c r="D426" i="3"/>
  <c r="N425" i="3"/>
  <c r="D425" i="3"/>
  <c r="N424" i="3"/>
  <c r="D424" i="3"/>
  <c r="N423" i="3"/>
  <c r="D423" i="3"/>
  <c r="N422" i="3"/>
  <c r="D422" i="3"/>
  <c r="N421" i="3"/>
  <c r="D421" i="3"/>
  <c r="N420" i="3"/>
  <c r="D420" i="3"/>
  <c r="N419" i="3"/>
  <c r="D419" i="3"/>
  <c r="N418" i="3"/>
  <c r="D418" i="3"/>
  <c r="N417" i="3"/>
  <c r="D417" i="3"/>
  <c r="N416" i="3"/>
  <c r="D416" i="3"/>
  <c r="N415" i="3"/>
  <c r="D415" i="3"/>
  <c r="N414" i="3"/>
  <c r="D414" i="3"/>
  <c r="N413" i="3"/>
  <c r="D413" i="3"/>
  <c r="N412" i="3"/>
  <c r="D412" i="3"/>
  <c r="N411" i="3"/>
  <c r="D411" i="3"/>
  <c r="N410" i="3"/>
  <c r="D410" i="3"/>
  <c r="N409" i="3"/>
  <c r="D409" i="3"/>
  <c r="N408" i="3"/>
  <c r="D408" i="3"/>
  <c r="N407" i="3"/>
  <c r="D407" i="3"/>
  <c r="N406" i="3"/>
  <c r="D406" i="3"/>
  <c r="N405" i="3"/>
  <c r="D405" i="3"/>
  <c r="N404" i="3"/>
  <c r="D404" i="3"/>
  <c r="N403" i="3"/>
  <c r="D403" i="3"/>
  <c r="N402" i="3"/>
  <c r="D402" i="3"/>
  <c r="N401" i="3"/>
  <c r="D401" i="3"/>
  <c r="N400" i="3"/>
  <c r="D400" i="3"/>
  <c r="N399" i="3"/>
  <c r="D399" i="3"/>
  <c r="N398" i="3"/>
  <c r="D398" i="3"/>
  <c r="N397" i="3"/>
  <c r="D397" i="3"/>
  <c r="N396" i="3"/>
  <c r="D396" i="3"/>
  <c r="N395" i="3"/>
  <c r="D395" i="3"/>
  <c r="N394" i="3"/>
  <c r="D394" i="3"/>
  <c r="N393" i="3"/>
  <c r="D393" i="3"/>
  <c r="N392" i="3"/>
  <c r="D392" i="3"/>
  <c r="N391" i="3"/>
  <c r="D391" i="3"/>
  <c r="N390" i="3"/>
  <c r="D390" i="3"/>
  <c r="N389" i="3"/>
  <c r="D389" i="3"/>
  <c r="N388" i="3"/>
  <c r="D388" i="3"/>
  <c r="N387" i="3"/>
  <c r="D387" i="3"/>
  <c r="N386" i="3"/>
  <c r="D386" i="3"/>
  <c r="N385" i="3"/>
  <c r="D385" i="3"/>
  <c r="N384" i="3"/>
  <c r="D384" i="3"/>
  <c r="N383" i="3"/>
  <c r="D383" i="3"/>
  <c r="N382" i="3"/>
  <c r="D382" i="3"/>
  <c r="N381" i="3"/>
  <c r="D381" i="3"/>
  <c r="N380" i="3"/>
  <c r="D380" i="3"/>
  <c r="N379" i="3"/>
  <c r="D379" i="3"/>
  <c r="N378" i="3"/>
  <c r="D378" i="3"/>
  <c r="N377" i="3"/>
  <c r="D377" i="3"/>
  <c r="N376" i="3"/>
  <c r="D376" i="3"/>
  <c r="N375" i="3"/>
  <c r="D375" i="3"/>
  <c r="N374" i="3"/>
  <c r="D374" i="3"/>
  <c r="N373" i="3"/>
  <c r="D373" i="3"/>
  <c r="N372" i="3"/>
  <c r="D372" i="3"/>
  <c r="N371" i="3"/>
  <c r="D371" i="3"/>
  <c r="N370" i="3"/>
  <c r="D370" i="3"/>
  <c r="N369" i="3"/>
  <c r="D369" i="3"/>
  <c r="N368" i="3"/>
  <c r="D368" i="3"/>
  <c r="N367" i="3"/>
  <c r="D367" i="3"/>
  <c r="N366" i="3"/>
  <c r="D366" i="3"/>
  <c r="N365" i="3"/>
  <c r="D365" i="3"/>
  <c r="N364" i="3"/>
  <c r="D364" i="3"/>
  <c r="N363" i="3"/>
  <c r="D363" i="3"/>
  <c r="N362" i="3"/>
  <c r="D362" i="3"/>
  <c r="N361" i="3"/>
  <c r="D361" i="3"/>
  <c r="N360" i="3"/>
  <c r="D360" i="3"/>
  <c r="N359" i="3"/>
  <c r="D359" i="3"/>
  <c r="N358" i="3"/>
  <c r="D358" i="3"/>
  <c r="N357" i="3"/>
  <c r="D357" i="3"/>
  <c r="N356" i="3"/>
  <c r="D356" i="3"/>
  <c r="N355" i="3"/>
  <c r="D355" i="3"/>
  <c r="N354" i="3"/>
  <c r="D354" i="3"/>
  <c r="N353" i="3"/>
  <c r="D353" i="3"/>
  <c r="N352" i="3"/>
  <c r="D352" i="3"/>
  <c r="N351" i="3"/>
  <c r="D351" i="3"/>
  <c r="N350" i="3"/>
  <c r="D350" i="3"/>
  <c r="N349" i="3"/>
  <c r="D349" i="3"/>
  <c r="N348" i="3"/>
  <c r="D348" i="3"/>
  <c r="N347" i="3"/>
  <c r="D347" i="3"/>
  <c r="N346" i="3"/>
  <c r="D346" i="3"/>
  <c r="N345" i="3"/>
  <c r="D345" i="3"/>
  <c r="N344" i="3"/>
  <c r="D344" i="3"/>
  <c r="N343" i="3"/>
  <c r="D343" i="3"/>
  <c r="N342" i="3"/>
  <c r="D342" i="3"/>
  <c r="N341" i="3"/>
  <c r="D341" i="3"/>
  <c r="N340" i="3"/>
  <c r="D340" i="3"/>
  <c r="N339" i="3"/>
  <c r="D339" i="3"/>
  <c r="N338" i="3"/>
  <c r="D338" i="3"/>
  <c r="N337" i="3"/>
  <c r="D337" i="3"/>
  <c r="N336" i="3"/>
  <c r="D336" i="3"/>
  <c r="N335" i="3"/>
  <c r="D335" i="3"/>
  <c r="N334" i="3"/>
  <c r="D334" i="3"/>
  <c r="N333" i="3"/>
  <c r="D333" i="3"/>
  <c r="N332" i="3"/>
  <c r="D332" i="3"/>
  <c r="N331" i="3"/>
  <c r="D331" i="3"/>
  <c r="N330" i="3"/>
  <c r="D330" i="3"/>
  <c r="N329" i="3"/>
  <c r="D329" i="3"/>
  <c r="N328" i="3"/>
  <c r="D328" i="3"/>
  <c r="N327" i="3"/>
  <c r="D327" i="3"/>
  <c r="N326" i="3"/>
  <c r="D326" i="3"/>
  <c r="N325" i="3"/>
  <c r="D325" i="3"/>
  <c r="N324" i="3"/>
  <c r="D324" i="3"/>
  <c r="N323" i="3"/>
  <c r="D323" i="3"/>
  <c r="N322" i="3"/>
  <c r="D322" i="3"/>
  <c r="N321" i="3"/>
  <c r="D321" i="3"/>
  <c r="N320" i="3"/>
  <c r="D320" i="3"/>
  <c r="N319" i="3"/>
  <c r="D319" i="3"/>
  <c r="N318" i="3"/>
  <c r="D318" i="3"/>
  <c r="N317" i="3"/>
  <c r="D317" i="3"/>
  <c r="N316" i="3"/>
  <c r="D316" i="3"/>
  <c r="N315" i="3"/>
  <c r="D315" i="3"/>
  <c r="N314" i="3"/>
  <c r="D314" i="3"/>
  <c r="N313" i="3"/>
  <c r="D313" i="3"/>
  <c r="N312" i="3"/>
  <c r="D312" i="3"/>
  <c r="N311" i="3"/>
  <c r="D311" i="3"/>
  <c r="N310" i="3"/>
  <c r="D310" i="3"/>
  <c r="N309" i="3"/>
  <c r="D309" i="3"/>
  <c r="N308" i="3"/>
  <c r="D308" i="3"/>
  <c r="N307" i="3"/>
  <c r="D307" i="3"/>
  <c r="N306" i="3"/>
  <c r="D306" i="3"/>
  <c r="N305" i="3"/>
  <c r="D305" i="3"/>
  <c r="N304" i="3"/>
  <c r="D304" i="3"/>
  <c r="N303" i="3"/>
  <c r="D303" i="3"/>
  <c r="N302" i="3"/>
  <c r="D302" i="3"/>
  <c r="N301" i="3"/>
  <c r="D301" i="3"/>
  <c r="N300" i="3"/>
  <c r="D300" i="3"/>
  <c r="N299" i="3"/>
  <c r="D299" i="3"/>
  <c r="N298" i="3"/>
  <c r="D298" i="3"/>
  <c r="N297" i="3"/>
  <c r="D297" i="3"/>
  <c r="N296" i="3"/>
  <c r="D296" i="3"/>
  <c r="N295" i="3"/>
  <c r="D295" i="3"/>
  <c r="N294" i="3"/>
  <c r="D294" i="3"/>
  <c r="N293" i="3"/>
  <c r="D293" i="3"/>
  <c r="N292" i="3"/>
  <c r="D292" i="3"/>
  <c r="N291" i="3"/>
  <c r="D291" i="3"/>
  <c r="N290" i="3"/>
  <c r="D290" i="3"/>
  <c r="N289" i="3"/>
  <c r="D289" i="3"/>
  <c r="N288" i="3"/>
  <c r="D288" i="3"/>
  <c r="N287" i="3"/>
  <c r="D287" i="3"/>
  <c r="N286" i="3"/>
  <c r="D286" i="3"/>
  <c r="N285" i="3"/>
  <c r="D285" i="3"/>
  <c r="N284" i="3"/>
  <c r="D284" i="3"/>
  <c r="N283" i="3"/>
  <c r="D283" i="3"/>
  <c r="N282" i="3"/>
  <c r="D282" i="3"/>
  <c r="N281" i="3"/>
  <c r="D281" i="3"/>
  <c r="N280" i="3"/>
  <c r="D280" i="3"/>
  <c r="N279" i="3"/>
  <c r="D279" i="3"/>
  <c r="N278" i="3"/>
  <c r="D278" i="3"/>
  <c r="N277" i="3"/>
  <c r="D277" i="3"/>
  <c r="N276" i="3"/>
  <c r="D276" i="3"/>
  <c r="N275" i="3"/>
  <c r="D275" i="3"/>
  <c r="N274" i="3"/>
  <c r="D274" i="3"/>
  <c r="N273" i="3"/>
  <c r="D273" i="3"/>
  <c r="N272" i="3"/>
  <c r="D272" i="3"/>
  <c r="N271" i="3"/>
  <c r="D271" i="3"/>
  <c r="N270" i="3"/>
  <c r="D270" i="3"/>
  <c r="N269" i="3"/>
  <c r="D269" i="3"/>
  <c r="N268" i="3"/>
  <c r="D268" i="3"/>
  <c r="P268" i="3" s="1"/>
  <c r="Q268" i="3" s="1"/>
  <c r="N267" i="3"/>
  <c r="D267" i="3"/>
  <c r="N266" i="3"/>
  <c r="D266" i="3"/>
  <c r="N265" i="3"/>
  <c r="D265" i="3"/>
  <c r="N264" i="3"/>
  <c r="D264" i="3"/>
  <c r="N263" i="3"/>
  <c r="D263" i="3"/>
  <c r="N262" i="3"/>
  <c r="D262" i="3"/>
  <c r="P262" i="3" s="1"/>
  <c r="Q262" i="3" s="1"/>
  <c r="N261" i="3"/>
  <c r="D261" i="3"/>
  <c r="N260" i="3"/>
  <c r="D260" i="3"/>
  <c r="N259" i="3"/>
  <c r="D259" i="3"/>
  <c r="N258" i="3"/>
  <c r="D258" i="3"/>
  <c r="N257" i="3"/>
  <c r="D257" i="3"/>
  <c r="N256" i="3"/>
  <c r="D256" i="3"/>
  <c r="N255" i="3"/>
  <c r="D255" i="3"/>
  <c r="N254" i="3"/>
  <c r="D254" i="3"/>
  <c r="N253" i="3"/>
  <c r="D253" i="3"/>
  <c r="N252" i="3"/>
  <c r="D252" i="3"/>
  <c r="N251" i="3"/>
  <c r="D251" i="3"/>
  <c r="N250" i="3"/>
  <c r="D250" i="3"/>
  <c r="N249" i="3"/>
  <c r="D249" i="3"/>
  <c r="N248" i="3"/>
  <c r="D248" i="3"/>
  <c r="N247" i="3"/>
  <c r="D247" i="3"/>
  <c r="N246" i="3"/>
  <c r="D246" i="3"/>
  <c r="N245" i="3"/>
  <c r="D245" i="3"/>
  <c r="N244" i="3"/>
  <c r="D244" i="3"/>
  <c r="N243" i="3"/>
  <c r="D243" i="3"/>
  <c r="N242" i="3"/>
  <c r="D242" i="3"/>
  <c r="N241" i="3"/>
  <c r="D241" i="3"/>
  <c r="N240" i="3"/>
  <c r="D240" i="3"/>
  <c r="N239" i="3"/>
  <c r="D239" i="3"/>
  <c r="N238" i="3"/>
  <c r="D238" i="3"/>
  <c r="N237" i="3"/>
  <c r="D237" i="3"/>
  <c r="N236" i="3"/>
  <c r="D236" i="3"/>
  <c r="N235" i="3"/>
  <c r="D235" i="3"/>
  <c r="N234" i="3"/>
  <c r="D234" i="3"/>
  <c r="N233" i="3"/>
  <c r="D233" i="3"/>
  <c r="N232" i="3"/>
  <c r="D232" i="3"/>
  <c r="N231" i="3"/>
  <c r="D231" i="3"/>
  <c r="N230" i="3"/>
  <c r="D230" i="3"/>
  <c r="N229" i="3"/>
  <c r="D229" i="3"/>
  <c r="N228" i="3"/>
  <c r="D228" i="3"/>
  <c r="N227" i="3"/>
  <c r="D227" i="3"/>
  <c r="N226" i="3"/>
  <c r="D226" i="3"/>
  <c r="N225" i="3"/>
  <c r="D225" i="3"/>
  <c r="N224" i="3"/>
  <c r="D224" i="3"/>
  <c r="N223" i="3"/>
  <c r="D223" i="3"/>
  <c r="N222" i="3"/>
  <c r="D222" i="3"/>
  <c r="N221" i="3"/>
  <c r="D221" i="3"/>
  <c r="N220" i="3"/>
  <c r="D220" i="3"/>
  <c r="N219" i="3"/>
  <c r="D219" i="3"/>
  <c r="N218" i="3"/>
  <c r="D218" i="3"/>
  <c r="N217" i="3"/>
  <c r="D217" i="3"/>
  <c r="N216" i="3"/>
  <c r="D216" i="3"/>
  <c r="N215" i="3"/>
  <c r="D215" i="3"/>
  <c r="N214" i="3"/>
  <c r="D214" i="3"/>
  <c r="N213" i="3"/>
  <c r="D213" i="3"/>
  <c r="N212" i="3"/>
  <c r="D212" i="3"/>
  <c r="N211" i="3"/>
  <c r="D211" i="3"/>
  <c r="N210" i="3"/>
  <c r="D210" i="3"/>
  <c r="N209" i="3"/>
  <c r="D209" i="3"/>
  <c r="N208" i="3"/>
  <c r="D208" i="3"/>
  <c r="N207" i="3"/>
  <c r="D207" i="3"/>
  <c r="N206" i="3"/>
  <c r="D206" i="3"/>
  <c r="N205" i="3"/>
  <c r="D205" i="3"/>
  <c r="N204" i="3"/>
  <c r="D204" i="3"/>
  <c r="N203" i="3"/>
  <c r="D203" i="3"/>
  <c r="N202" i="3"/>
  <c r="D202" i="3"/>
  <c r="N201" i="3"/>
  <c r="D201" i="3"/>
  <c r="N200" i="3"/>
  <c r="D200" i="3"/>
  <c r="N199" i="3"/>
  <c r="D199" i="3"/>
  <c r="N198" i="3"/>
  <c r="D198" i="3"/>
  <c r="N197" i="3"/>
  <c r="D197" i="3"/>
  <c r="N196" i="3"/>
  <c r="D196" i="3"/>
  <c r="N195" i="3"/>
  <c r="D195" i="3"/>
  <c r="N194" i="3"/>
  <c r="D194" i="3"/>
  <c r="N193" i="3"/>
  <c r="D193" i="3"/>
  <c r="N192" i="3"/>
  <c r="D192" i="3"/>
  <c r="N191" i="3"/>
  <c r="D191" i="3"/>
  <c r="N190" i="3"/>
  <c r="D190" i="3"/>
  <c r="N189" i="3"/>
  <c r="D189" i="3"/>
  <c r="N188" i="3"/>
  <c r="D188" i="3"/>
  <c r="N187" i="3"/>
  <c r="D187" i="3"/>
  <c r="N186" i="3"/>
  <c r="D186" i="3"/>
  <c r="N185" i="3"/>
  <c r="D185" i="3"/>
  <c r="N184" i="3"/>
  <c r="D184" i="3"/>
  <c r="N183" i="3"/>
  <c r="D183" i="3"/>
  <c r="N182" i="3"/>
  <c r="D182" i="3"/>
  <c r="N181" i="3"/>
  <c r="D181" i="3"/>
  <c r="N180" i="3"/>
  <c r="D180" i="3"/>
  <c r="N179" i="3"/>
  <c r="D179" i="3"/>
  <c r="N178" i="3"/>
  <c r="D178" i="3"/>
  <c r="P178" i="3" s="1"/>
  <c r="N177" i="3"/>
  <c r="D177" i="3"/>
  <c r="N176" i="3"/>
  <c r="D176" i="3"/>
  <c r="N175" i="3"/>
  <c r="D175" i="3"/>
  <c r="N174" i="3"/>
  <c r="D174" i="3"/>
  <c r="N173" i="3"/>
  <c r="D173" i="3"/>
  <c r="N172" i="3"/>
  <c r="D172" i="3"/>
  <c r="N171" i="3"/>
  <c r="D171" i="3"/>
  <c r="N170" i="3"/>
  <c r="D170" i="3"/>
  <c r="N169" i="3"/>
  <c r="D169" i="3"/>
  <c r="N168" i="3"/>
  <c r="D168" i="3"/>
  <c r="N167" i="3"/>
  <c r="D167" i="3"/>
  <c r="N166" i="3"/>
  <c r="D166" i="3"/>
  <c r="N165" i="3"/>
  <c r="D165" i="3"/>
  <c r="N164" i="3"/>
  <c r="D164" i="3"/>
  <c r="N163" i="3"/>
  <c r="D163" i="3"/>
  <c r="N162" i="3"/>
  <c r="D162" i="3"/>
  <c r="N161" i="3"/>
  <c r="D161" i="3"/>
  <c r="N160" i="3"/>
  <c r="D160" i="3"/>
  <c r="N159" i="3"/>
  <c r="D159" i="3"/>
  <c r="N158" i="3"/>
  <c r="D158" i="3"/>
  <c r="N157" i="3"/>
  <c r="D157" i="3"/>
  <c r="N156" i="3"/>
  <c r="D156" i="3"/>
  <c r="N155" i="3"/>
  <c r="D155" i="3"/>
  <c r="N154" i="3"/>
  <c r="D154" i="3"/>
  <c r="N153" i="3"/>
  <c r="D153" i="3"/>
  <c r="N152" i="3"/>
  <c r="D152" i="3"/>
  <c r="N151" i="3"/>
  <c r="D151" i="3"/>
  <c r="N150" i="3"/>
  <c r="D150" i="3"/>
  <c r="N149" i="3"/>
  <c r="D149" i="3"/>
  <c r="N148" i="3"/>
  <c r="D148" i="3"/>
  <c r="N147" i="3"/>
  <c r="D147" i="3"/>
  <c r="N146" i="3"/>
  <c r="D146" i="3"/>
  <c r="N145" i="3"/>
  <c r="D145" i="3"/>
  <c r="N144" i="3"/>
  <c r="D144" i="3"/>
  <c r="N143" i="3"/>
  <c r="D143" i="3"/>
  <c r="N142" i="3"/>
  <c r="D142" i="3"/>
  <c r="N141" i="3"/>
  <c r="D141" i="3"/>
  <c r="N140" i="3"/>
  <c r="D140" i="3"/>
  <c r="N139" i="3"/>
  <c r="D139" i="3"/>
  <c r="N138" i="3"/>
  <c r="D138" i="3"/>
  <c r="N137" i="3"/>
  <c r="D137" i="3"/>
  <c r="N136" i="3"/>
  <c r="D136" i="3"/>
  <c r="N135" i="3"/>
  <c r="D135" i="3"/>
  <c r="N134" i="3"/>
  <c r="D134" i="3"/>
  <c r="N133" i="3"/>
  <c r="D133" i="3"/>
  <c r="N132" i="3"/>
  <c r="D132" i="3"/>
  <c r="N131" i="3"/>
  <c r="D131" i="3"/>
  <c r="N130" i="3"/>
  <c r="D130" i="3"/>
  <c r="N129" i="3"/>
  <c r="D129" i="3"/>
  <c r="N128" i="3"/>
  <c r="D128" i="3"/>
  <c r="N127" i="3"/>
  <c r="D127" i="3"/>
  <c r="N126" i="3"/>
  <c r="D126" i="3"/>
  <c r="N125" i="3"/>
  <c r="D125" i="3"/>
  <c r="N124" i="3"/>
  <c r="D124" i="3"/>
  <c r="N123" i="3"/>
  <c r="D123" i="3"/>
  <c r="N122" i="3"/>
  <c r="D122" i="3"/>
  <c r="N121" i="3"/>
  <c r="D121" i="3"/>
  <c r="N120" i="3"/>
  <c r="D120" i="3"/>
  <c r="N119" i="3"/>
  <c r="D119" i="3"/>
  <c r="N118" i="3"/>
  <c r="D118" i="3"/>
  <c r="N117" i="3"/>
  <c r="D117" i="3"/>
  <c r="N116" i="3"/>
  <c r="D116" i="3"/>
  <c r="N115" i="3"/>
  <c r="D115" i="3"/>
  <c r="N114" i="3"/>
  <c r="D114" i="3"/>
  <c r="N113" i="3"/>
  <c r="D113" i="3"/>
  <c r="N112" i="3"/>
  <c r="D112" i="3"/>
  <c r="N111" i="3"/>
  <c r="D111" i="3"/>
  <c r="N110" i="3"/>
  <c r="D110" i="3"/>
  <c r="N109" i="3"/>
  <c r="D109" i="3"/>
  <c r="N108" i="3"/>
  <c r="D108" i="3"/>
  <c r="N107" i="3"/>
  <c r="D107" i="3"/>
  <c r="N106" i="3"/>
  <c r="D106" i="3"/>
  <c r="P106" i="3" s="1"/>
  <c r="Q106" i="3" s="1"/>
  <c r="N105" i="3"/>
  <c r="D105" i="3"/>
  <c r="P105" i="3" s="1"/>
  <c r="Q105" i="3" s="1"/>
  <c r="N104" i="3"/>
  <c r="D104" i="3"/>
  <c r="N103" i="3"/>
  <c r="D103" i="3"/>
  <c r="N102" i="3"/>
  <c r="D102" i="3"/>
  <c r="N101" i="3"/>
  <c r="D101" i="3"/>
  <c r="N100" i="3"/>
  <c r="D100" i="3"/>
  <c r="N99" i="3"/>
  <c r="D99" i="3"/>
  <c r="N98" i="3"/>
  <c r="D98" i="3"/>
  <c r="N97" i="3"/>
  <c r="D97" i="3"/>
  <c r="N96" i="3"/>
  <c r="D96" i="3"/>
  <c r="N95" i="3"/>
  <c r="D95" i="3"/>
  <c r="N94" i="3"/>
  <c r="D94" i="3"/>
  <c r="N93" i="3"/>
  <c r="D93" i="3"/>
  <c r="N92" i="3"/>
  <c r="D92" i="3"/>
  <c r="N91" i="3"/>
  <c r="D91" i="3"/>
  <c r="N90" i="3"/>
  <c r="D90" i="3"/>
  <c r="N89" i="3"/>
  <c r="D89" i="3"/>
  <c r="N88" i="3"/>
  <c r="D88" i="3"/>
  <c r="N87" i="3"/>
  <c r="D87" i="3"/>
  <c r="N86" i="3"/>
  <c r="D86" i="3"/>
  <c r="N85" i="3"/>
  <c r="D85" i="3"/>
  <c r="N84" i="3"/>
  <c r="D84" i="3"/>
  <c r="N83" i="3"/>
  <c r="D83" i="3"/>
  <c r="N82" i="3"/>
  <c r="D82" i="3"/>
  <c r="N81" i="3"/>
  <c r="D81" i="3"/>
  <c r="N80" i="3"/>
  <c r="D80" i="3"/>
  <c r="N79" i="3"/>
  <c r="D79" i="3"/>
  <c r="N78" i="3"/>
  <c r="D78" i="3"/>
  <c r="N77" i="3"/>
  <c r="D77" i="3"/>
  <c r="N76" i="3"/>
  <c r="D76" i="3"/>
  <c r="N75" i="3"/>
  <c r="D75" i="3"/>
  <c r="N74" i="3"/>
  <c r="D74" i="3"/>
  <c r="N73" i="3"/>
  <c r="D73" i="3"/>
  <c r="N72" i="3"/>
  <c r="D72" i="3"/>
  <c r="N71" i="3"/>
  <c r="D71" i="3"/>
  <c r="N70" i="3"/>
  <c r="D70" i="3"/>
  <c r="N69" i="3"/>
  <c r="D69" i="3"/>
  <c r="N68" i="3"/>
  <c r="D68" i="3"/>
  <c r="N67" i="3"/>
  <c r="D67" i="3"/>
  <c r="N66" i="3"/>
  <c r="D66" i="3"/>
  <c r="N65" i="3"/>
  <c r="D65" i="3"/>
  <c r="P65" i="3" s="1"/>
  <c r="N64" i="3"/>
  <c r="D64" i="3"/>
  <c r="N63" i="3"/>
  <c r="D63" i="3"/>
  <c r="N62" i="3"/>
  <c r="D62" i="3"/>
  <c r="N61" i="3"/>
  <c r="D61" i="3"/>
  <c r="P61" i="3" s="1"/>
  <c r="Q61" i="3" s="1"/>
  <c r="N60" i="3"/>
  <c r="D60" i="3"/>
  <c r="N59" i="3"/>
  <c r="D59" i="3"/>
  <c r="N58" i="3"/>
  <c r="D58" i="3"/>
  <c r="N57" i="3"/>
  <c r="D57" i="3"/>
  <c r="P57" i="3" s="1"/>
  <c r="Q57" i="3" s="1"/>
  <c r="N56" i="3"/>
  <c r="D56" i="3"/>
  <c r="N55" i="3"/>
  <c r="D55" i="3"/>
  <c r="N54" i="3"/>
  <c r="D54" i="3"/>
  <c r="N53" i="3"/>
  <c r="D53" i="3"/>
  <c r="N52" i="3"/>
  <c r="D52" i="3"/>
  <c r="N51" i="3"/>
  <c r="D51" i="3"/>
  <c r="N50" i="3"/>
  <c r="D50" i="3"/>
  <c r="N49" i="3"/>
  <c r="D49" i="3"/>
  <c r="N48" i="3"/>
  <c r="D48" i="3"/>
  <c r="N47" i="3"/>
  <c r="D47" i="3"/>
  <c r="N46" i="3"/>
  <c r="D46" i="3"/>
  <c r="N45" i="3"/>
  <c r="D45" i="3"/>
  <c r="N44" i="3"/>
  <c r="D44" i="3"/>
  <c r="N43" i="3"/>
  <c r="D43" i="3"/>
  <c r="N42" i="3"/>
  <c r="D42" i="3"/>
  <c r="N41" i="3"/>
  <c r="D41" i="3"/>
  <c r="N40" i="3"/>
  <c r="D40" i="3"/>
  <c r="N39" i="3"/>
  <c r="D39" i="3"/>
  <c r="N38" i="3"/>
  <c r="D38" i="3"/>
  <c r="N37" i="3"/>
  <c r="D37" i="3"/>
  <c r="N36" i="3"/>
  <c r="D36" i="3"/>
  <c r="N35" i="3"/>
  <c r="D35" i="3"/>
  <c r="N34" i="3"/>
  <c r="D34" i="3"/>
  <c r="N33" i="3"/>
  <c r="D33" i="3"/>
  <c r="N32" i="3"/>
  <c r="D32" i="3"/>
  <c r="N31" i="3"/>
  <c r="D31" i="3"/>
  <c r="N30" i="3"/>
  <c r="D30" i="3"/>
  <c r="N29" i="3"/>
  <c r="D29" i="3"/>
  <c r="N28" i="3"/>
  <c r="D28" i="3"/>
  <c r="N27" i="3"/>
  <c r="D27" i="3"/>
  <c r="N26" i="3"/>
  <c r="D26" i="3"/>
  <c r="N25" i="3"/>
  <c r="D25" i="3"/>
  <c r="N24" i="3"/>
  <c r="D24" i="3"/>
  <c r="N23" i="3"/>
  <c r="D23" i="3"/>
  <c r="N22" i="3"/>
  <c r="D22" i="3"/>
  <c r="N21" i="3"/>
  <c r="D21" i="3"/>
  <c r="N20" i="3"/>
  <c r="D20" i="3"/>
  <c r="N19" i="3"/>
  <c r="D19" i="3"/>
  <c r="N18" i="3"/>
  <c r="D18" i="3"/>
  <c r="N17" i="3"/>
  <c r="D17" i="3"/>
  <c r="N16" i="3"/>
  <c r="D16" i="3"/>
  <c r="N15" i="3"/>
  <c r="D15" i="3"/>
  <c r="N14" i="3"/>
  <c r="D14" i="3"/>
  <c r="N13" i="3"/>
  <c r="D13" i="3"/>
  <c r="N12" i="3"/>
  <c r="D12" i="3"/>
  <c r="N11" i="3"/>
  <c r="D11" i="3"/>
  <c r="N10" i="3"/>
  <c r="D10" i="3"/>
  <c r="N9" i="3"/>
  <c r="D9" i="3"/>
  <c r="N8" i="3"/>
  <c r="D8" i="3"/>
  <c r="N7" i="3"/>
  <c r="D7" i="3"/>
  <c r="N6" i="3"/>
  <c r="D6" i="3"/>
  <c r="N5" i="3"/>
  <c r="D5" i="3"/>
  <c r="N4" i="3"/>
  <c r="D4" i="3"/>
  <c r="N3" i="3"/>
  <c r="D3" i="3"/>
  <c r="P3" i="3" s="1"/>
  <c r="Q3" i="3" s="1"/>
  <c r="N2" i="3"/>
  <c r="D2" i="3"/>
  <c r="K746" i="2"/>
  <c r="E746" i="2"/>
  <c r="H746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P475" i="2" s="1"/>
  <c r="N476" i="2"/>
  <c r="N477" i="2"/>
  <c r="N478" i="2"/>
  <c r="N479" i="2"/>
  <c r="P479" i="2" s="1"/>
  <c r="N480" i="2"/>
  <c r="N481" i="2"/>
  <c r="N482" i="2"/>
  <c r="N483" i="2"/>
  <c r="N484" i="2"/>
  <c r="P484" i="2" s="1"/>
  <c r="N485" i="2"/>
  <c r="P485" i="2" s="1"/>
  <c r="N486" i="2"/>
  <c r="P486" i="2" s="1"/>
  <c r="N487" i="2"/>
  <c r="N488" i="2"/>
  <c r="P488" i="2" s="1"/>
  <c r="N489" i="2"/>
  <c r="P489" i="2" s="1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P533" i="2" s="1"/>
  <c r="N534" i="2"/>
  <c r="N535" i="2"/>
  <c r="N536" i="2"/>
  <c r="N537" i="2"/>
  <c r="P537" i="2" s="1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P557" i="2" s="1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P708" i="2" s="1"/>
  <c r="N709" i="2"/>
  <c r="N710" i="2"/>
  <c r="N711" i="2"/>
  <c r="N712" i="2"/>
  <c r="N713" i="2"/>
  <c r="N714" i="2"/>
  <c r="N715" i="2"/>
  <c r="N716" i="2"/>
  <c r="N717" i="2"/>
  <c r="N718" i="2"/>
  <c r="N719" i="2"/>
  <c r="P719" i="2" s="1"/>
  <c r="Q719" i="2" s="1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P733" i="2" s="1"/>
  <c r="Q733" i="2" s="1"/>
  <c r="N734" i="2"/>
  <c r="P734" i="2" s="1"/>
  <c r="Q734" i="2" s="1"/>
  <c r="N735" i="2"/>
  <c r="N736" i="2"/>
  <c r="N737" i="2"/>
  <c r="P737" i="2" s="1"/>
  <c r="N738" i="2"/>
  <c r="N739" i="2"/>
  <c r="N740" i="2"/>
  <c r="N741" i="2"/>
  <c r="N742" i="2"/>
  <c r="N743" i="2"/>
  <c r="N744" i="2"/>
  <c r="P744" i="2" s="1"/>
  <c r="N745" i="2"/>
  <c r="N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P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P498" i="2" s="1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P512" i="2" s="1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P529" i="2" s="1"/>
  <c r="D530" i="2"/>
  <c r="P530" i="2" s="1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P544" i="2" s="1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P705" i="2" s="1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P723" i="2"/>
  <c r="Q723" i="2" s="1"/>
  <c r="D724" i="2"/>
  <c r="P724" i="2"/>
  <c r="Q724" i="2" s="1"/>
  <c r="D725" i="2"/>
  <c r="D726" i="2"/>
  <c r="P726" i="2" s="1"/>
  <c r="Q726" i="2" s="1"/>
  <c r="D727" i="2"/>
  <c r="P727" i="2" s="1"/>
  <c r="Q727" i="2" s="1"/>
  <c r="D728" i="2"/>
  <c r="D729" i="2"/>
  <c r="D730" i="2"/>
  <c r="D731" i="2"/>
  <c r="D732" i="2"/>
  <c r="D733" i="2"/>
  <c r="D734" i="2"/>
  <c r="D735" i="2"/>
  <c r="D736" i="2"/>
  <c r="P736" i="2" s="1"/>
  <c r="Q736" i="2" s="1"/>
  <c r="D737" i="2"/>
  <c r="D738" i="2"/>
  <c r="D739" i="2"/>
  <c r="D740" i="2"/>
  <c r="P740" i="2" s="1"/>
  <c r="D741" i="2"/>
  <c r="D742" i="2"/>
  <c r="P742" i="2" s="1"/>
  <c r="Q742" i="2" s="1"/>
  <c r="D743" i="2"/>
  <c r="D744" i="2"/>
  <c r="D745" i="2"/>
  <c r="B746" i="2"/>
  <c r="C746" i="2"/>
  <c r="P104" i="3" l="1"/>
  <c r="P51" i="3"/>
  <c r="Q51" i="3" s="1"/>
  <c r="P112" i="3"/>
  <c r="D746" i="3"/>
  <c r="P29" i="3"/>
  <c r="P109" i="3"/>
  <c r="P71" i="3"/>
  <c r="P43" i="3"/>
  <c r="P33" i="3"/>
  <c r="O33" i="3" s="1"/>
  <c r="P95" i="3"/>
  <c r="P93" i="3"/>
  <c r="P67" i="3"/>
  <c r="P60" i="3"/>
  <c r="O178" i="3"/>
  <c r="Q178" i="3"/>
  <c r="O104" i="3"/>
  <c r="Q104" i="3"/>
  <c r="P745" i="3"/>
  <c r="Q745" i="3" s="1"/>
  <c r="O745" i="3"/>
  <c r="P744" i="3"/>
  <c r="Q744" i="3" s="1"/>
  <c r="O744" i="3"/>
  <c r="P743" i="3"/>
  <c r="P742" i="3"/>
  <c r="Q742" i="3" s="1"/>
  <c r="O742" i="3"/>
  <c r="P741" i="3"/>
  <c r="Q741" i="3" s="1"/>
  <c r="O741" i="3"/>
  <c r="P740" i="3"/>
  <c r="Q740" i="3" s="1"/>
  <c r="O740" i="3"/>
  <c r="P739" i="3"/>
  <c r="Q739" i="3" s="1"/>
  <c r="O739" i="3"/>
  <c r="P738" i="3"/>
  <c r="Q738" i="3" s="1"/>
  <c r="O738" i="3"/>
  <c r="P737" i="3"/>
  <c r="Q737" i="3" s="1"/>
  <c r="O737" i="3"/>
  <c r="P736" i="3"/>
  <c r="Q736" i="3" s="1"/>
  <c r="O736" i="3"/>
  <c r="P735" i="3"/>
  <c r="Q735" i="3" s="1"/>
  <c r="O735" i="3"/>
  <c r="P734" i="3"/>
  <c r="Q734" i="3" s="1"/>
  <c r="O734" i="3"/>
  <c r="P733" i="3"/>
  <c r="Q733" i="3" s="1"/>
  <c r="O733" i="3"/>
  <c r="P732" i="3"/>
  <c r="P731" i="3"/>
  <c r="Q731" i="3" s="1"/>
  <c r="O731" i="3"/>
  <c r="P730" i="3"/>
  <c r="Q730" i="3" s="1"/>
  <c r="O730" i="3"/>
  <c r="P729" i="3"/>
  <c r="Q729" i="3" s="1"/>
  <c r="O729" i="3"/>
  <c r="P728" i="3"/>
  <c r="Q728" i="3" s="1"/>
  <c r="O728" i="3"/>
  <c r="P727" i="3"/>
  <c r="Q727" i="3" s="1"/>
  <c r="O727" i="3"/>
  <c r="P726" i="3"/>
  <c r="Q726" i="3" s="1"/>
  <c r="O726" i="3"/>
  <c r="P725" i="3"/>
  <c r="Q725" i="3" s="1"/>
  <c r="O725" i="3"/>
  <c r="P724" i="3"/>
  <c r="Q724" i="3" s="1"/>
  <c r="O724" i="3"/>
  <c r="P723" i="3"/>
  <c r="Q723" i="3" s="1"/>
  <c r="O723" i="3"/>
  <c r="P722" i="3"/>
  <c r="Q722" i="3" s="1"/>
  <c r="O722" i="3"/>
  <c r="P721" i="3"/>
  <c r="P720" i="3"/>
  <c r="Q720" i="3" s="1"/>
  <c r="O720" i="3"/>
  <c r="P719" i="3"/>
  <c r="Q719" i="3" s="1"/>
  <c r="O719" i="3"/>
  <c r="P718" i="3"/>
  <c r="P717" i="3"/>
  <c r="Q717" i="3" s="1"/>
  <c r="O717" i="3"/>
  <c r="P716" i="3"/>
  <c r="P715" i="3"/>
  <c r="Q715" i="3" s="1"/>
  <c r="O715" i="3"/>
  <c r="P714" i="3"/>
  <c r="P713" i="3"/>
  <c r="Q713" i="3" s="1"/>
  <c r="O713" i="3"/>
  <c r="P712" i="3"/>
  <c r="P711" i="3"/>
  <c r="P710" i="3"/>
  <c r="P709" i="3"/>
  <c r="P708" i="3"/>
  <c r="Q708" i="3" s="1"/>
  <c r="O708" i="3"/>
  <c r="P707" i="3"/>
  <c r="P706" i="3"/>
  <c r="P705" i="3"/>
  <c r="P704" i="3"/>
  <c r="Q704" i="3" s="1"/>
  <c r="O704" i="3"/>
  <c r="P703" i="3"/>
  <c r="Q703" i="3" s="1"/>
  <c r="O703" i="3"/>
  <c r="P702" i="3"/>
  <c r="P701" i="3"/>
  <c r="P700" i="3"/>
  <c r="Q700" i="3" s="1"/>
  <c r="O700" i="3"/>
  <c r="P699" i="3"/>
  <c r="P698" i="3"/>
  <c r="Q698" i="3" s="1"/>
  <c r="O698" i="3"/>
  <c r="P697" i="3"/>
  <c r="P696" i="3"/>
  <c r="Q696" i="3" s="1"/>
  <c r="O696" i="3"/>
  <c r="P695" i="3"/>
  <c r="Q695" i="3" s="1"/>
  <c r="O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Q648" i="3" s="1"/>
  <c r="O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Q560" i="3" s="1"/>
  <c r="O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Q526" i="3" s="1"/>
  <c r="O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O494" i="3"/>
  <c r="Q494" i="3"/>
  <c r="P493" i="3"/>
  <c r="P492" i="3"/>
  <c r="P491" i="3"/>
  <c r="Q491" i="3" s="1"/>
  <c r="O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Q475" i="3" s="1"/>
  <c r="O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Q460" i="3" s="1"/>
  <c r="O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Q444" i="3" s="1"/>
  <c r="O444" i="3"/>
  <c r="P443" i="3"/>
  <c r="P442" i="3"/>
  <c r="P441" i="3"/>
  <c r="P440" i="3"/>
  <c r="P439" i="3"/>
  <c r="Q439" i="3" s="1"/>
  <c r="O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Q416" i="3" s="1"/>
  <c r="O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Q399" i="3" s="1"/>
  <c r="O399" i="3"/>
  <c r="P398" i="3"/>
  <c r="P397" i="3"/>
  <c r="Q397" i="3" s="1"/>
  <c r="O397" i="3"/>
  <c r="P396" i="3"/>
  <c r="Q396" i="3" s="1"/>
  <c r="O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Q353" i="3" s="1"/>
  <c r="O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Q328" i="3" s="1"/>
  <c r="O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Q307" i="3" s="1"/>
  <c r="O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Q280" i="3" s="1"/>
  <c r="O280" i="3"/>
  <c r="P279" i="3"/>
  <c r="P278" i="3"/>
  <c r="P277" i="3"/>
  <c r="P276" i="3"/>
  <c r="P275" i="3"/>
  <c r="P274" i="3"/>
  <c r="P273" i="3"/>
  <c r="P272" i="3"/>
  <c r="P271" i="3"/>
  <c r="Q271" i="3" s="1"/>
  <c r="O271" i="3"/>
  <c r="P270" i="3"/>
  <c r="P269" i="3"/>
  <c r="J268" i="3"/>
  <c r="I268" i="3" s="1"/>
  <c r="M268" i="3"/>
  <c r="L268" i="3" s="1"/>
  <c r="G268" i="3"/>
  <c r="F268" i="3" s="1"/>
  <c r="P267" i="3"/>
  <c r="P266" i="3"/>
  <c r="P265" i="3"/>
  <c r="P264" i="3"/>
  <c r="P263" i="3"/>
  <c r="G262" i="3"/>
  <c r="F262" i="3" s="1"/>
  <c r="M262" i="3"/>
  <c r="L262" i="3" s="1"/>
  <c r="J262" i="3"/>
  <c r="I262" i="3" s="1"/>
  <c r="P261" i="3"/>
  <c r="P260" i="3"/>
  <c r="P259" i="3"/>
  <c r="P258" i="3"/>
  <c r="P257" i="3"/>
  <c r="P256" i="3"/>
  <c r="P255" i="3"/>
  <c r="P254" i="3"/>
  <c r="P253" i="3"/>
  <c r="P252" i="3"/>
  <c r="Q252" i="3" s="1"/>
  <c r="O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Q232" i="3" s="1"/>
  <c r="O232" i="3"/>
  <c r="P231" i="3"/>
  <c r="P230" i="3"/>
  <c r="Q230" i="3" s="1"/>
  <c r="O230" i="3"/>
  <c r="P229" i="3"/>
  <c r="P228" i="3"/>
  <c r="P227" i="3"/>
  <c r="P226" i="3"/>
  <c r="P225" i="3"/>
  <c r="P224" i="3"/>
  <c r="Q224" i="3" s="1"/>
  <c r="O224" i="3"/>
  <c r="P223" i="3"/>
  <c r="P222" i="3"/>
  <c r="P221" i="3"/>
  <c r="P220" i="3"/>
  <c r="P219" i="3"/>
  <c r="P218" i="3"/>
  <c r="P217" i="3"/>
  <c r="Q217" i="3" s="1"/>
  <c r="O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Q202" i="3" s="1"/>
  <c r="O202" i="3"/>
  <c r="P201" i="3"/>
  <c r="P200" i="3"/>
  <c r="P199" i="3"/>
  <c r="Q199" i="3" s="1"/>
  <c r="O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Q184" i="3" s="1"/>
  <c r="O184" i="3"/>
  <c r="P183" i="3"/>
  <c r="P182" i="3"/>
  <c r="P181" i="3"/>
  <c r="Q181" i="3" s="1"/>
  <c r="O181" i="3"/>
  <c r="P180" i="3"/>
  <c r="Q180" i="3" s="1"/>
  <c r="O180" i="3"/>
  <c r="P179" i="3"/>
  <c r="P177" i="3"/>
  <c r="Q177" i="3" s="1"/>
  <c r="O177" i="3"/>
  <c r="P176" i="3"/>
  <c r="Q176" i="3" s="1"/>
  <c r="O176" i="3"/>
  <c r="P175" i="3"/>
  <c r="P174" i="3"/>
  <c r="P173" i="3"/>
  <c r="Q173" i="3" s="1"/>
  <c r="O173" i="3"/>
  <c r="P172" i="3"/>
  <c r="P171" i="3"/>
  <c r="Q171" i="3" s="1"/>
  <c r="O171" i="3"/>
  <c r="P170" i="3"/>
  <c r="P169" i="3"/>
  <c r="P168" i="3"/>
  <c r="Q168" i="3" s="1"/>
  <c r="O168" i="3"/>
  <c r="P167" i="3"/>
  <c r="P166" i="3"/>
  <c r="Q166" i="3" s="1"/>
  <c r="O166" i="3"/>
  <c r="P165" i="3"/>
  <c r="P164" i="3"/>
  <c r="P163" i="3"/>
  <c r="P162" i="3"/>
  <c r="P161" i="3"/>
  <c r="P160" i="3"/>
  <c r="P159" i="3"/>
  <c r="P158" i="3"/>
  <c r="P157" i="3"/>
  <c r="Q157" i="3" s="1"/>
  <c r="O157" i="3"/>
  <c r="P156" i="3"/>
  <c r="P155" i="3"/>
  <c r="P154" i="3"/>
  <c r="P153" i="3"/>
  <c r="P152" i="3"/>
  <c r="P151" i="3"/>
  <c r="P150" i="3"/>
  <c r="Q150" i="3" s="1"/>
  <c r="O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Q137" i="3" s="1"/>
  <c r="O137" i="3"/>
  <c r="P136" i="3"/>
  <c r="P135" i="3"/>
  <c r="Q135" i="3" s="1"/>
  <c r="O135" i="3"/>
  <c r="P134" i="3"/>
  <c r="P133" i="3"/>
  <c r="Q133" i="3" s="1"/>
  <c r="O133" i="3"/>
  <c r="P132" i="3"/>
  <c r="P131" i="3"/>
  <c r="P130" i="3"/>
  <c r="P129" i="3"/>
  <c r="P128" i="3"/>
  <c r="P127" i="3"/>
  <c r="P126" i="3"/>
  <c r="P125" i="3"/>
  <c r="P124" i="3"/>
  <c r="Q124" i="3" s="1"/>
  <c r="O124" i="3"/>
  <c r="P123" i="3"/>
  <c r="P122" i="3"/>
  <c r="P121" i="3"/>
  <c r="P120" i="3"/>
  <c r="P119" i="3"/>
  <c r="Q119" i="3" s="1"/>
  <c r="O119" i="3"/>
  <c r="P118" i="3"/>
  <c r="P117" i="3"/>
  <c r="Q117" i="3" s="1"/>
  <c r="O117" i="3"/>
  <c r="P116" i="3"/>
  <c r="P115" i="3"/>
  <c r="P114" i="3"/>
  <c r="P113" i="3"/>
  <c r="Q112" i="3"/>
  <c r="O112" i="3"/>
  <c r="P111" i="3"/>
  <c r="P110" i="3"/>
  <c r="Q109" i="3"/>
  <c r="O109" i="3"/>
  <c r="P108" i="3"/>
  <c r="P107" i="3"/>
  <c r="M106" i="3"/>
  <c r="L106" i="3" s="1"/>
  <c r="G106" i="3"/>
  <c r="F106" i="3" s="1"/>
  <c r="J106" i="3"/>
  <c r="I106" i="3" s="1"/>
  <c r="G105" i="3"/>
  <c r="F105" i="3" s="1"/>
  <c r="J105" i="3"/>
  <c r="I105" i="3" s="1"/>
  <c r="M105" i="3"/>
  <c r="L105" i="3" s="1"/>
  <c r="M104" i="3"/>
  <c r="L104" i="3" s="1"/>
  <c r="G104" i="3"/>
  <c r="F104" i="3" s="1"/>
  <c r="J104" i="3"/>
  <c r="I104" i="3" s="1"/>
  <c r="P103" i="3"/>
  <c r="P102" i="3"/>
  <c r="P101" i="3"/>
  <c r="P100" i="3"/>
  <c r="P99" i="3"/>
  <c r="P98" i="3"/>
  <c r="P97" i="3"/>
  <c r="P96" i="3"/>
  <c r="Q95" i="3"/>
  <c r="O95" i="3"/>
  <c r="P94" i="3"/>
  <c r="Q93" i="3"/>
  <c r="O93" i="3"/>
  <c r="P92" i="3"/>
  <c r="P91" i="3"/>
  <c r="P90" i="3"/>
  <c r="P89" i="3"/>
  <c r="P88" i="3"/>
  <c r="P87" i="3"/>
  <c r="P86" i="3"/>
  <c r="P85" i="3"/>
  <c r="P84" i="3"/>
  <c r="Q84" i="3" s="1"/>
  <c r="O84" i="3"/>
  <c r="P83" i="3"/>
  <c r="P82" i="3"/>
  <c r="P81" i="3"/>
  <c r="P80" i="3"/>
  <c r="P79" i="3"/>
  <c r="P78" i="3"/>
  <c r="P77" i="3"/>
  <c r="P76" i="3"/>
  <c r="P75" i="3"/>
  <c r="P74" i="3"/>
  <c r="P73" i="3"/>
  <c r="P72" i="3"/>
  <c r="Q71" i="3"/>
  <c r="O71" i="3"/>
  <c r="P70" i="3"/>
  <c r="P69" i="3"/>
  <c r="P68" i="3"/>
  <c r="O67" i="3"/>
  <c r="Q67" i="3"/>
  <c r="P66" i="3"/>
  <c r="Q65" i="3"/>
  <c r="O65" i="3"/>
  <c r="P64" i="3"/>
  <c r="P63" i="3"/>
  <c r="P62" i="3"/>
  <c r="J61" i="3"/>
  <c r="I61" i="3" s="1"/>
  <c r="M61" i="3"/>
  <c r="L61" i="3" s="1"/>
  <c r="G61" i="3"/>
  <c r="F61" i="3" s="1"/>
  <c r="Q60" i="3"/>
  <c r="O60" i="3"/>
  <c r="P59" i="3"/>
  <c r="P58" i="3"/>
  <c r="G57" i="3"/>
  <c r="F57" i="3" s="1"/>
  <c r="J57" i="3"/>
  <c r="I57" i="3" s="1"/>
  <c r="M57" i="3"/>
  <c r="L57" i="3" s="1"/>
  <c r="P56" i="3"/>
  <c r="P55" i="3"/>
  <c r="P54" i="3"/>
  <c r="Q54" i="3" s="1"/>
  <c r="O54" i="3"/>
  <c r="P53" i="3"/>
  <c r="P52" i="3"/>
  <c r="J51" i="3"/>
  <c r="I51" i="3" s="1"/>
  <c r="G51" i="3"/>
  <c r="F51" i="3" s="1"/>
  <c r="M51" i="3"/>
  <c r="L51" i="3" s="1"/>
  <c r="P50" i="3"/>
  <c r="P49" i="3"/>
  <c r="P48" i="3"/>
  <c r="P47" i="3"/>
  <c r="Q47" i="3" s="1"/>
  <c r="O47" i="3"/>
  <c r="P46" i="3"/>
  <c r="P45" i="3"/>
  <c r="Q45" i="3" s="1"/>
  <c r="O45" i="3"/>
  <c r="P44" i="3"/>
  <c r="O43" i="3"/>
  <c r="Q43" i="3"/>
  <c r="P42" i="3"/>
  <c r="P41" i="3"/>
  <c r="P40" i="3"/>
  <c r="P39" i="3"/>
  <c r="P38" i="3"/>
  <c r="P37" i="3"/>
  <c r="P36" i="3"/>
  <c r="P35" i="3"/>
  <c r="P34" i="3"/>
  <c r="Q33" i="3"/>
  <c r="P32" i="3"/>
  <c r="P31" i="3"/>
  <c r="P30" i="3"/>
  <c r="Q30" i="3" s="1"/>
  <c r="O30" i="3"/>
  <c r="Q29" i="3"/>
  <c r="O29" i="3"/>
  <c r="P28" i="3"/>
  <c r="P27" i="3"/>
  <c r="P26" i="3"/>
  <c r="P25" i="3"/>
  <c r="P24" i="3"/>
  <c r="P23" i="3"/>
  <c r="P22" i="3"/>
  <c r="P21" i="3"/>
  <c r="P20" i="3"/>
  <c r="P19" i="3"/>
  <c r="P18" i="3"/>
  <c r="Q18" i="3" s="1"/>
  <c r="O18" i="3"/>
  <c r="P17" i="3"/>
  <c r="P16" i="3"/>
  <c r="P15" i="3"/>
  <c r="Q15" i="3" s="1"/>
  <c r="O15" i="3"/>
  <c r="P14" i="3"/>
  <c r="Q14" i="3" s="1"/>
  <c r="O14" i="3"/>
  <c r="P13" i="3"/>
  <c r="P12" i="3"/>
  <c r="P11" i="3"/>
  <c r="Q11" i="3" s="1"/>
  <c r="O11" i="3"/>
  <c r="P10" i="3"/>
  <c r="P9" i="3"/>
  <c r="Q9" i="3" s="1"/>
  <c r="O9" i="3"/>
  <c r="P8" i="3"/>
  <c r="P7" i="3"/>
  <c r="P6" i="3"/>
  <c r="P5" i="3"/>
  <c r="P4" i="3"/>
  <c r="J3" i="3"/>
  <c r="I3" i="3" s="1"/>
  <c r="M3" i="3"/>
  <c r="L3" i="3" s="1"/>
  <c r="G3" i="3"/>
  <c r="F3" i="3" s="1"/>
  <c r="P2" i="3"/>
  <c r="N746" i="3"/>
  <c r="O2" i="3"/>
  <c r="O262" i="3"/>
  <c r="O106" i="3"/>
  <c r="O268" i="3"/>
  <c r="O105" i="3"/>
  <c r="O61" i="3"/>
  <c r="O57" i="3"/>
  <c r="O51" i="3"/>
  <c r="O3" i="3"/>
  <c r="P505" i="2"/>
  <c r="P504" i="2"/>
  <c r="P551" i="2"/>
  <c r="O551" i="2" s="1"/>
  <c r="P503" i="2"/>
  <c r="O503" i="2" s="1"/>
  <c r="P536" i="2"/>
  <c r="Q536" i="2" s="1"/>
  <c r="P519" i="2"/>
  <c r="P487" i="2"/>
  <c r="P552" i="2"/>
  <c r="P535" i="2"/>
  <c r="O535" i="2" s="1"/>
  <c r="P526" i="2"/>
  <c r="Q526" i="2" s="1"/>
  <c r="P494" i="2"/>
  <c r="O494" i="2" s="1"/>
  <c r="P556" i="2"/>
  <c r="P540" i="2"/>
  <c r="P555" i="2"/>
  <c r="O555" i="2" s="1"/>
  <c r="P539" i="2"/>
  <c r="O539" i="2" s="1"/>
  <c r="P508" i="2"/>
  <c r="O508" i="2" s="1"/>
  <c r="P492" i="2"/>
  <c r="P714" i="2"/>
  <c r="Q714" i="2" s="1"/>
  <c r="P698" i="2"/>
  <c r="O698" i="2" s="1"/>
  <c r="P554" i="2"/>
  <c r="O554" i="2" s="1"/>
  <c r="P538" i="2"/>
  <c r="Q538" i="2" s="1"/>
  <c r="P523" i="2"/>
  <c r="O523" i="2" s="1"/>
  <c r="P697" i="2"/>
  <c r="Q697" i="2" s="1"/>
  <c r="P553" i="2"/>
  <c r="O553" i="2" s="1"/>
  <c r="P522" i="2"/>
  <c r="O522" i="2" s="1"/>
  <c r="P506" i="2"/>
  <c r="Q506" i="2" s="1"/>
  <c r="P490" i="2"/>
  <c r="P532" i="2"/>
  <c r="O532" i="2" s="1"/>
  <c r="P516" i="2"/>
  <c r="O516" i="2" s="1"/>
  <c r="P501" i="2"/>
  <c r="O501" i="2" s="1"/>
  <c r="P547" i="2"/>
  <c r="Q547" i="2" s="1"/>
  <c r="P546" i="2"/>
  <c r="Q546" i="2" s="1"/>
  <c r="P531" i="2"/>
  <c r="P709" i="2"/>
  <c r="P550" i="2"/>
  <c r="O550" i="2" s="1"/>
  <c r="P549" i="2"/>
  <c r="P534" i="2"/>
  <c r="Q534" i="2" s="1"/>
  <c r="P478" i="2"/>
  <c r="Q478" i="2" s="1"/>
  <c r="P707" i="2"/>
  <c r="O707" i="2" s="1"/>
  <c r="P548" i="2"/>
  <c r="O548" i="2" s="1"/>
  <c r="P718" i="2"/>
  <c r="Q718" i="2" s="1"/>
  <c r="M718" i="2" s="1"/>
  <c r="L718" i="2" s="1"/>
  <c r="P703" i="2"/>
  <c r="O703" i="2" s="1"/>
  <c r="P558" i="2"/>
  <c r="O558" i="2" s="1"/>
  <c r="P543" i="2"/>
  <c r="O543" i="2" s="1"/>
  <c r="P701" i="2"/>
  <c r="Q701" i="2" s="1"/>
  <c r="P542" i="2"/>
  <c r="O542" i="2" s="1"/>
  <c r="P702" i="2"/>
  <c r="Q702" i="2" s="1"/>
  <c r="P715" i="2"/>
  <c r="Q715" i="2" s="1"/>
  <c r="M715" i="2" s="1"/>
  <c r="L715" i="2" s="1"/>
  <c r="P700" i="2"/>
  <c r="O700" i="2" s="1"/>
  <c r="P541" i="2"/>
  <c r="P527" i="2"/>
  <c r="O527" i="2" s="1"/>
  <c r="P729" i="2"/>
  <c r="Q729" i="2" s="1"/>
  <c r="P745" i="2"/>
  <c r="P732" i="2"/>
  <c r="O732" i="2" s="1"/>
  <c r="J714" i="2"/>
  <c r="I714" i="2" s="1"/>
  <c r="G714" i="2"/>
  <c r="F714" i="2" s="1"/>
  <c r="M714" i="2"/>
  <c r="L714" i="2" s="1"/>
  <c r="J719" i="2"/>
  <c r="I719" i="2" s="1"/>
  <c r="G719" i="2"/>
  <c r="F719" i="2" s="1"/>
  <c r="M719" i="2"/>
  <c r="L719" i="2" s="1"/>
  <c r="J723" i="2"/>
  <c r="I723" i="2" s="1"/>
  <c r="G723" i="2"/>
  <c r="F723" i="2" s="1"/>
  <c r="M723" i="2"/>
  <c r="L723" i="2" s="1"/>
  <c r="M724" i="2"/>
  <c r="L724" i="2" s="1"/>
  <c r="G724" i="2"/>
  <c r="F724" i="2" s="1"/>
  <c r="J724" i="2"/>
  <c r="I724" i="2" s="1"/>
  <c r="M726" i="2"/>
  <c r="L726" i="2" s="1"/>
  <c r="G726" i="2"/>
  <c r="F726" i="2" s="1"/>
  <c r="J726" i="2"/>
  <c r="I726" i="2" s="1"/>
  <c r="J727" i="2"/>
  <c r="I727" i="2" s="1"/>
  <c r="M727" i="2"/>
  <c r="L727" i="2" s="1"/>
  <c r="G727" i="2"/>
  <c r="F727" i="2" s="1"/>
  <c r="J729" i="2"/>
  <c r="I729" i="2" s="1"/>
  <c r="M729" i="2"/>
  <c r="L729" i="2" s="1"/>
  <c r="G729" i="2"/>
  <c r="F729" i="2" s="1"/>
  <c r="M733" i="2"/>
  <c r="L733" i="2" s="1"/>
  <c r="G733" i="2"/>
  <c r="F733" i="2" s="1"/>
  <c r="J733" i="2"/>
  <c r="I733" i="2" s="1"/>
  <c r="M734" i="2"/>
  <c r="L734" i="2" s="1"/>
  <c r="J734" i="2"/>
  <c r="I734" i="2" s="1"/>
  <c r="G734" i="2"/>
  <c r="F734" i="2" s="1"/>
  <c r="M736" i="2"/>
  <c r="L736" i="2" s="1"/>
  <c r="J736" i="2"/>
  <c r="I736" i="2" s="1"/>
  <c r="G736" i="2"/>
  <c r="F736" i="2" s="1"/>
  <c r="J742" i="2"/>
  <c r="I742" i="2" s="1"/>
  <c r="G742" i="2"/>
  <c r="F742" i="2" s="1"/>
  <c r="M742" i="2"/>
  <c r="L742" i="2" s="1"/>
  <c r="P612" i="2"/>
  <c r="P613" i="2"/>
  <c r="O613" i="2" s="1"/>
  <c r="P614" i="2"/>
  <c r="P615" i="2"/>
  <c r="P622" i="2"/>
  <c r="P624" i="2"/>
  <c r="P625" i="2"/>
  <c r="P626" i="2"/>
  <c r="P2" i="2"/>
  <c r="P617" i="2"/>
  <c r="P620" i="2"/>
  <c r="P627" i="2"/>
  <c r="P628" i="2"/>
  <c r="P629" i="2"/>
  <c r="P631" i="2"/>
  <c r="P3" i="2"/>
  <c r="P15" i="2"/>
  <c r="P20" i="2"/>
  <c r="P27" i="2"/>
  <c r="P28" i="2"/>
  <c r="P30" i="2"/>
  <c r="P40" i="2"/>
  <c r="P41" i="2"/>
  <c r="P48" i="2"/>
  <c r="P56" i="2"/>
  <c r="P58" i="2"/>
  <c r="P59" i="2"/>
  <c r="P73" i="2"/>
  <c r="P78" i="2"/>
  <c r="P84" i="2"/>
  <c r="P86" i="2"/>
  <c r="P89" i="2"/>
  <c r="P90" i="2"/>
  <c r="P92" i="2"/>
  <c r="P95" i="2"/>
  <c r="P96" i="2"/>
  <c r="P100" i="2"/>
  <c r="P103" i="2"/>
  <c r="P104" i="2"/>
  <c r="P105" i="2"/>
  <c r="P106" i="2"/>
  <c r="P110" i="2"/>
  <c r="P120" i="2"/>
  <c r="P122" i="2"/>
  <c r="Q122" i="2" s="1"/>
  <c r="P124" i="2"/>
  <c r="Q124" i="2" s="1"/>
  <c r="P125" i="2"/>
  <c r="P131" i="2"/>
  <c r="P132" i="2"/>
  <c r="P136" i="2"/>
  <c r="P137" i="2"/>
  <c r="P143" i="2"/>
  <c r="P153" i="2"/>
  <c r="P162" i="2"/>
  <c r="P163" i="2"/>
  <c r="P164" i="2"/>
  <c r="P166" i="2"/>
  <c r="P177" i="2"/>
  <c r="P178" i="2"/>
  <c r="P183" i="2"/>
  <c r="P191" i="2"/>
  <c r="P196" i="2"/>
  <c r="P199" i="2"/>
  <c r="P201" i="2"/>
  <c r="P204" i="2"/>
  <c r="P291" i="2"/>
  <c r="P370" i="2"/>
  <c r="P373" i="2"/>
  <c r="P647" i="2"/>
  <c r="P657" i="2"/>
  <c r="P666" i="2"/>
  <c r="P671" i="2"/>
  <c r="P675" i="2"/>
  <c r="P680" i="2"/>
  <c r="P688" i="2"/>
  <c r="P694" i="2"/>
  <c r="P213" i="2"/>
  <c r="P220" i="2"/>
  <c r="P222" i="2"/>
  <c r="P223" i="2"/>
  <c r="P224" i="2"/>
  <c r="P230" i="2"/>
  <c r="P231" i="2"/>
  <c r="P232" i="2"/>
  <c r="P233" i="2"/>
  <c r="P234" i="2"/>
  <c r="P235" i="2"/>
  <c r="P236" i="2"/>
  <c r="P237" i="2"/>
  <c r="P238" i="2"/>
  <c r="P239" i="2"/>
  <c r="P240" i="2"/>
  <c r="P242" i="2"/>
  <c r="P243" i="2"/>
  <c r="P244" i="2"/>
  <c r="P245" i="2"/>
  <c r="P247" i="2"/>
  <c r="P248" i="2"/>
  <c r="P249" i="2"/>
  <c r="P251" i="2"/>
  <c r="P253" i="2"/>
  <c r="P255" i="2"/>
  <c r="P256" i="2"/>
  <c r="P257" i="2"/>
  <c r="P260" i="2"/>
  <c r="P262" i="2"/>
  <c r="P263" i="2"/>
  <c r="P264" i="2"/>
  <c r="P265" i="2"/>
  <c r="P266" i="2"/>
  <c r="P267" i="2"/>
  <c r="P268" i="2"/>
  <c r="P269" i="2"/>
  <c r="P270" i="2"/>
  <c r="P271" i="2"/>
  <c r="P272" i="2"/>
  <c r="P274" i="2"/>
  <c r="P276" i="2"/>
  <c r="P279" i="2"/>
  <c r="P280" i="2"/>
  <c r="P283" i="2"/>
  <c r="P285" i="2"/>
  <c r="P292" i="2"/>
  <c r="P371" i="2"/>
  <c r="Q371" i="2" s="1"/>
  <c r="P646" i="2"/>
  <c r="P655" i="2"/>
  <c r="P660" i="2"/>
  <c r="P667" i="2"/>
  <c r="P673" i="2"/>
  <c r="P677" i="2"/>
  <c r="P685" i="2"/>
  <c r="P695" i="2"/>
  <c r="P298" i="2"/>
  <c r="P299" i="2"/>
  <c r="P301" i="2"/>
  <c r="P302" i="2"/>
  <c r="P304" i="2"/>
  <c r="P306" i="2"/>
  <c r="P307" i="2"/>
  <c r="P308" i="2"/>
  <c r="P309" i="2"/>
  <c r="P310" i="2"/>
  <c r="P311" i="2"/>
  <c r="P312" i="2"/>
  <c r="P314" i="2"/>
  <c r="P315" i="2"/>
  <c r="P316" i="2"/>
  <c r="P317" i="2"/>
  <c r="P318" i="2"/>
  <c r="P319" i="2"/>
  <c r="P320" i="2"/>
  <c r="P321" i="2"/>
  <c r="P322" i="2"/>
  <c r="P325" i="2"/>
  <c r="P327" i="2"/>
  <c r="P328" i="2"/>
  <c r="P329" i="2"/>
  <c r="P330" i="2"/>
  <c r="P331" i="2"/>
  <c r="P332" i="2"/>
  <c r="P333" i="2"/>
  <c r="P334" i="2"/>
  <c r="P336" i="2"/>
  <c r="P337" i="2"/>
  <c r="P338" i="2"/>
  <c r="P339" i="2"/>
  <c r="P340" i="2"/>
  <c r="P341" i="2"/>
  <c r="P342" i="2"/>
  <c r="P344" i="2"/>
  <c r="P345" i="2"/>
  <c r="P346" i="2"/>
  <c r="P351" i="2"/>
  <c r="P352" i="2"/>
  <c r="P356" i="2"/>
  <c r="P357" i="2"/>
  <c r="P367" i="2"/>
  <c r="P369" i="2"/>
  <c r="P372" i="2"/>
  <c r="P643" i="2"/>
  <c r="P649" i="2"/>
  <c r="P654" i="2"/>
  <c r="P661" i="2"/>
  <c r="P664" i="2"/>
  <c r="P669" i="2"/>
  <c r="P679" i="2"/>
  <c r="P686" i="2"/>
  <c r="P692" i="2"/>
  <c r="P374" i="2"/>
  <c r="P378" i="2"/>
  <c r="P380" i="2"/>
  <c r="P382" i="2"/>
  <c r="P391" i="2"/>
  <c r="P392" i="2"/>
  <c r="P393" i="2"/>
  <c r="P396" i="2"/>
  <c r="P397" i="2"/>
  <c r="P402" i="2"/>
  <c r="P405" i="2"/>
  <c r="P410" i="2"/>
  <c r="P411" i="2"/>
  <c r="P412" i="2"/>
  <c r="P415" i="2"/>
  <c r="P419" i="2"/>
  <c r="P421" i="2"/>
  <c r="P423" i="2"/>
  <c r="P424" i="2"/>
  <c r="P425" i="2"/>
  <c r="P427" i="2"/>
  <c r="P428" i="2"/>
  <c r="P435" i="2"/>
  <c r="P436" i="2"/>
  <c r="P439" i="2"/>
  <c r="P440" i="2"/>
  <c r="P441" i="2"/>
  <c r="P444" i="2"/>
  <c r="P445" i="2"/>
  <c r="P446" i="2"/>
  <c r="P447" i="2"/>
  <c r="P448" i="2"/>
  <c r="P451" i="2"/>
  <c r="P452" i="2"/>
  <c r="P453" i="2"/>
  <c r="P455" i="2"/>
  <c r="P456" i="2"/>
  <c r="P645" i="2"/>
  <c r="P653" i="2"/>
  <c r="P662" i="2"/>
  <c r="P670" i="2"/>
  <c r="P674" i="2"/>
  <c r="P678" i="2"/>
  <c r="P684" i="2"/>
  <c r="P690" i="2"/>
  <c r="P696" i="2"/>
  <c r="P458" i="2"/>
  <c r="P459" i="2"/>
  <c r="P460" i="2"/>
  <c r="P462" i="2"/>
  <c r="P465" i="2"/>
  <c r="P466" i="2"/>
  <c r="P468" i="2"/>
  <c r="P469" i="2"/>
  <c r="P470" i="2"/>
  <c r="P471" i="2"/>
  <c r="P560" i="2"/>
  <c r="P561" i="2"/>
  <c r="P562" i="2"/>
  <c r="P565" i="2"/>
  <c r="P566" i="2"/>
  <c r="P567" i="2"/>
  <c r="P569" i="2"/>
  <c r="P570" i="2"/>
  <c r="P571" i="2"/>
  <c r="P572" i="2"/>
  <c r="P575" i="2"/>
  <c r="P576" i="2"/>
  <c r="P577" i="2"/>
  <c r="P578" i="2"/>
  <c r="P579" i="2"/>
  <c r="P580" i="2"/>
  <c r="P581" i="2"/>
  <c r="P582" i="2"/>
  <c r="P584" i="2"/>
  <c r="P585" i="2"/>
  <c r="P586" i="2"/>
  <c r="P588" i="2"/>
  <c r="P589" i="2"/>
  <c r="P591" i="2"/>
  <c r="P592" i="2"/>
  <c r="P593" i="2"/>
  <c r="P598" i="2"/>
  <c r="P599" i="2"/>
  <c r="P600" i="2"/>
  <c r="P602" i="2"/>
  <c r="P605" i="2"/>
  <c r="P606" i="2"/>
  <c r="P608" i="2"/>
  <c r="P609" i="2"/>
  <c r="P610" i="2"/>
  <c r="P611" i="2"/>
  <c r="P633" i="2"/>
  <c r="P634" i="2"/>
  <c r="P635" i="2"/>
  <c r="P636" i="2"/>
  <c r="P637" i="2"/>
  <c r="P639" i="2"/>
  <c r="P640" i="2"/>
  <c r="P641" i="2"/>
  <c r="P644" i="2"/>
  <c r="P648" i="2"/>
  <c r="P650" i="2"/>
  <c r="P656" i="2"/>
  <c r="P663" i="2"/>
  <c r="P668" i="2"/>
  <c r="P672" i="2"/>
  <c r="P676" i="2"/>
  <c r="P681" i="2"/>
  <c r="P689" i="2"/>
  <c r="P693" i="2"/>
  <c r="P408" i="2"/>
  <c r="P167" i="2"/>
  <c r="P175" i="2"/>
  <c r="P188" i="2"/>
  <c r="P203" i="2"/>
  <c r="P205" i="2"/>
  <c r="P209" i="2"/>
  <c r="P710" i="2"/>
  <c r="P574" i="2"/>
  <c r="O533" i="2"/>
  <c r="Q533" i="2"/>
  <c r="P474" i="2"/>
  <c r="P616" i="2"/>
  <c r="P116" i="2"/>
  <c r="P51" i="2"/>
  <c r="P52" i="2"/>
  <c r="P83" i="2"/>
  <c r="P499" i="2"/>
  <c r="P659" i="2"/>
  <c r="P241" i="2"/>
  <c r="P250" i="2"/>
  <c r="P259" i="2"/>
  <c r="P261" i="2"/>
  <c r="P278" i="2"/>
  <c r="P296" i="2"/>
  <c r="P297" i="2"/>
  <c r="P511" i="2"/>
  <c r="P682" i="2"/>
  <c r="P517" i="2"/>
  <c r="P497" i="2"/>
  <c r="Q698" i="2"/>
  <c r="P699" i="2"/>
  <c r="P704" i="2"/>
  <c r="Q705" i="2"/>
  <c r="O705" i="2"/>
  <c r="P706" i="2"/>
  <c r="Q708" i="2"/>
  <c r="O708" i="2"/>
  <c r="Q709" i="2"/>
  <c r="O709" i="2"/>
  <c r="P711" i="2"/>
  <c r="P429" i="2"/>
  <c r="P502" i="2"/>
  <c r="P528" i="2"/>
  <c r="P480" i="2"/>
  <c r="P491" i="2"/>
  <c r="P495" i="2"/>
  <c r="P507" i="2"/>
  <c r="P518" i="2"/>
  <c r="P524" i="2"/>
  <c r="P76" i="2"/>
  <c r="P290" i="2"/>
  <c r="P300" i="2"/>
  <c r="P324" i="2"/>
  <c r="P493" i="2"/>
  <c r="P496" i="2"/>
  <c r="P500" i="2"/>
  <c r="P514" i="2"/>
  <c r="P515" i="2"/>
  <c r="P323" i="2"/>
  <c r="P282" i="2"/>
  <c r="P305" i="2"/>
  <c r="P303" i="2"/>
  <c r="P619" i="2"/>
  <c r="P623" i="2"/>
  <c r="P691" i="2"/>
  <c r="P618" i="2"/>
  <c r="P630" i="2"/>
  <c r="P638" i="2"/>
  <c r="P665" i="2"/>
  <c r="P687" i="2"/>
  <c r="P632" i="2"/>
  <c r="P651" i="2"/>
  <c r="P652" i="2"/>
  <c r="P683" i="2"/>
  <c r="P741" i="2"/>
  <c r="P739" i="2"/>
  <c r="P79" i="2"/>
  <c r="P277" i="2"/>
  <c r="P395" i="2"/>
  <c r="P403" i="2"/>
  <c r="O745" i="2"/>
  <c r="Q745" i="2"/>
  <c r="Q479" i="2"/>
  <c r="O479" i="2"/>
  <c r="Q482" i="2"/>
  <c r="O482" i="2"/>
  <c r="Q485" i="2"/>
  <c r="O485" i="2"/>
  <c r="Q744" i="2"/>
  <c r="O744" i="2"/>
  <c r="O526" i="2"/>
  <c r="Q535" i="2"/>
  <c r="O536" i="2"/>
  <c r="Q537" i="2"/>
  <c r="O537" i="2"/>
  <c r="O540" i="2"/>
  <c r="Q540" i="2"/>
  <c r="Q550" i="2"/>
  <c r="Q551" i="2"/>
  <c r="Q553" i="2"/>
  <c r="Q554" i="2"/>
  <c r="P621" i="2"/>
  <c r="P642" i="2"/>
  <c r="P44" i="2"/>
  <c r="P109" i="2"/>
  <c r="P119" i="2"/>
  <c r="P246" i="2"/>
  <c r="P254" i="2"/>
  <c r="P258" i="2"/>
  <c r="P313" i="2"/>
  <c r="P326" i="2"/>
  <c r="P368" i="2"/>
  <c r="P377" i="2"/>
  <c r="P509" i="2"/>
  <c r="P510" i="2"/>
  <c r="P513" i="2"/>
  <c r="P520" i="2"/>
  <c r="P521" i="2"/>
  <c r="P525" i="2"/>
  <c r="P545" i="2"/>
  <c r="P559" i="2"/>
  <c r="P563" i="2"/>
  <c r="P564" i="2"/>
  <c r="P568" i="2"/>
  <c r="P573" i="2"/>
  <c r="P658" i="2"/>
  <c r="P252" i="2"/>
  <c r="P273" i="2"/>
  <c r="P275" i="2"/>
  <c r="P281" i="2"/>
  <c r="P284" i="2"/>
  <c r="P286" i="2"/>
  <c r="P287" i="2"/>
  <c r="P288" i="2"/>
  <c r="P289" i="2"/>
  <c r="P293" i="2"/>
  <c r="P294" i="2"/>
  <c r="P295" i="2"/>
  <c r="P335" i="2"/>
  <c r="P390" i="2"/>
  <c r="P461" i="2"/>
  <c r="P463" i="2"/>
  <c r="P464" i="2"/>
  <c r="P467" i="2"/>
  <c r="P472" i="2"/>
  <c r="P473" i="2"/>
  <c r="Q475" i="2"/>
  <c r="O475" i="2"/>
  <c r="P476" i="2"/>
  <c r="P477" i="2"/>
  <c r="P481" i="2"/>
  <c r="P483" i="2"/>
  <c r="O484" i="2"/>
  <c r="Q484" i="2"/>
  <c r="Q486" i="2"/>
  <c r="O486" i="2"/>
  <c r="O487" i="2"/>
  <c r="Q487" i="2"/>
  <c r="O488" i="2"/>
  <c r="Q488" i="2"/>
  <c r="Q489" i="2"/>
  <c r="O489" i="2"/>
  <c r="P583" i="2"/>
  <c r="P587" i="2"/>
  <c r="P590" i="2"/>
  <c r="P594" i="2"/>
  <c r="P595" i="2"/>
  <c r="P596" i="2"/>
  <c r="P597" i="2"/>
  <c r="P601" i="2"/>
  <c r="P603" i="2"/>
  <c r="P604" i="2"/>
  <c r="P607" i="2"/>
  <c r="D746" i="2"/>
  <c r="O714" i="2"/>
  <c r="O718" i="2"/>
  <c r="O719" i="2"/>
  <c r="O723" i="2"/>
  <c r="O724" i="2"/>
  <c r="O726" i="2"/>
  <c r="O727" i="2"/>
  <c r="O729" i="2"/>
  <c r="O733" i="2"/>
  <c r="O734" i="2"/>
  <c r="O736" i="2"/>
  <c r="O742" i="2"/>
  <c r="O490" i="2"/>
  <c r="Q490" i="2"/>
  <c r="O492" i="2"/>
  <c r="Q492" i="2"/>
  <c r="O498" i="2"/>
  <c r="Q498" i="2"/>
  <c r="O504" i="2"/>
  <c r="Q504" i="2"/>
  <c r="O505" i="2"/>
  <c r="Q505" i="2"/>
  <c r="O512" i="2"/>
  <c r="Q512" i="2"/>
  <c r="O519" i="2"/>
  <c r="Q519" i="2"/>
  <c r="O529" i="2"/>
  <c r="Q529" i="2"/>
  <c r="O530" i="2"/>
  <c r="Q530" i="2"/>
  <c r="O531" i="2"/>
  <c r="Q531" i="2"/>
  <c r="O541" i="2"/>
  <c r="Q541" i="2"/>
  <c r="O544" i="2"/>
  <c r="Q544" i="2"/>
  <c r="O549" i="2"/>
  <c r="Q549" i="2"/>
  <c r="O552" i="2"/>
  <c r="Q552" i="2"/>
  <c r="O556" i="2"/>
  <c r="Q556" i="2"/>
  <c r="O557" i="2"/>
  <c r="Q557" i="2"/>
  <c r="P4" i="2"/>
  <c r="P8" i="2"/>
  <c r="P9" i="2"/>
  <c r="P12" i="2"/>
  <c r="P16" i="2"/>
  <c r="P18" i="2"/>
  <c r="P19" i="2"/>
  <c r="P23" i="2"/>
  <c r="P25" i="2"/>
  <c r="P34" i="2"/>
  <c r="P35" i="2"/>
  <c r="P37" i="2"/>
  <c r="P39" i="2"/>
  <c r="P42" i="2"/>
  <c r="P46" i="2"/>
  <c r="P47" i="2"/>
  <c r="P53" i="2"/>
  <c r="P55" i="2"/>
  <c r="P57" i="2"/>
  <c r="P61" i="2"/>
  <c r="P62" i="2"/>
  <c r="P63" i="2"/>
  <c r="P64" i="2"/>
  <c r="P67" i="2"/>
  <c r="P68" i="2"/>
  <c r="P71" i="2"/>
  <c r="P72" i="2"/>
  <c r="P80" i="2"/>
  <c r="P99" i="2"/>
  <c r="P102" i="2"/>
  <c r="P107" i="2"/>
  <c r="P112" i="2"/>
  <c r="P123" i="2"/>
  <c r="P133" i="2"/>
  <c r="P139" i="2"/>
  <c r="P140" i="2"/>
  <c r="P142" i="2"/>
  <c r="P147" i="2"/>
  <c r="P156" i="2"/>
  <c r="P157" i="2"/>
  <c r="P158" i="2"/>
  <c r="P165" i="2"/>
  <c r="P171" i="2"/>
  <c r="P179" i="2"/>
  <c r="P181" i="2"/>
  <c r="P187" i="2"/>
  <c r="P193" i="2"/>
  <c r="P194" i="2"/>
  <c r="P197" i="2"/>
  <c r="P202" i="2"/>
  <c r="P207" i="2"/>
  <c r="P217" i="2"/>
  <c r="P221" i="2"/>
  <c r="P226" i="2"/>
  <c r="P343" i="2"/>
  <c r="P347" i="2"/>
  <c r="P349" i="2"/>
  <c r="P355" i="2"/>
  <c r="P358" i="2"/>
  <c r="P364" i="2"/>
  <c r="P381" i="2"/>
  <c r="P385" i="2"/>
  <c r="P386" i="2"/>
  <c r="P387" i="2"/>
  <c r="P399" i="2"/>
  <c r="P400" i="2"/>
  <c r="P401" i="2"/>
  <c r="P406" i="2"/>
  <c r="P418" i="2"/>
  <c r="P433" i="2"/>
  <c r="P434" i="2"/>
  <c r="P437" i="2"/>
  <c r="P442" i="2"/>
  <c r="P450" i="2"/>
  <c r="P454" i="2"/>
  <c r="P712" i="2"/>
  <c r="P713" i="2"/>
  <c r="P717" i="2"/>
  <c r="P728" i="2"/>
  <c r="P730" i="2"/>
  <c r="Q732" i="2"/>
  <c r="O737" i="2"/>
  <c r="Q737" i="2"/>
  <c r="P738" i="2"/>
  <c r="O740" i="2"/>
  <c r="Q740" i="2"/>
  <c r="Q721" i="3" l="1"/>
  <c r="O721" i="3"/>
  <c r="Q714" i="3"/>
  <c r="O714" i="3"/>
  <c r="Q711" i="3"/>
  <c r="O711" i="3"/>
  <c r="Q709" i="3"/>
  <c r="O709" i="3"/>
  <c r="Q706" i="3"/>
  <c r="O706" i="3"/>
  <c r="Q694" i="3"/>
  <c r="O694" i="3"/>
  <c r="Q691" i="3"/>
  <c r="O691" i="3"/>
  <c r="Q689" i="3"/>
  <c r="O689" i="3"/>
  <c r="Q687" i="3"/>
  <c r="O687" i="3"/>
  <c r="Q686" i="3"/>
  <c r="O686" i="3"/>
  <c r="Q613" i="3"/>
  <c r="O613" i="3"/>
  <c r="Q483" i="3"/>
  <c r="O483" i="3"/>
  <c r="Q480" i="3"/>
  <c r="O480" i="3"/>
  <c r="Q34" i="3"/>
  <c r="O34" i="3"/>
  <c r="Q31" i="3"/>
  <c r="O31" i="3"/>
  <c r="Q25" i="3"/>
  <c r="O25" i="3"/>
  <c r="Q4" i="3"/>
  <c r="O4" i="3"/>
  <c r="Q508" i="3"/>
  <c r="O508" i="3"/>
  <c r="Q443" i="3"/>
  <c r="O443" i="3"/>
  <c r="Q422" i="3"/>
  <c r="O422" i="3"/>
  <c r="Q370" i="3"/>
  <c r="O370" i="3"/>
  <c r="Q361" i="3"/>
  <c r="O361" i="3"/>
  <c r="G178" i="3"/>
  <c r="F178" i="3" s="1"/>
  <c r="J178" i="3"/>
  <c r="I178" i="3" s="1"/>
  <c r="M178" i="3"/>
  <c r="L178" i="3" s="1"/>
  <c r="Q707" i="3"/>
  <c r="O707" i="3"/>
  <c r="Q699" i="3"/>
  <c r="O699" i="3"/>
  <c r="Q697" i="3"/>
  <c r="O697" i="3"/>
  <c r="Q692" i="3"/>
  <c r="O692" i="3"/>
  <c r="Q690" i="3"/>
  <c r="O690" i="3"/>
  <c r="Q674" i="3"/>
  <c r="O674" i="3"/>
  <c r="Q663" i="3"/>
  <c r="O663" i="3"/>
  <c r="Q634" i="3"/>
  <c r="O634" i="3"/>
  <c r="Q621" i="3"/>
  <c r="O621" i="3"/>
  <c r="Q603" i="3"/>
  <c r="O603" i="3"/>
  <c r="Q602" i="3"/>
  <c r="O602" i="3"/>
  <c r="Q589" i="3"/>
  <c r="O589" i="3"/>
  <c r="Q576" i="3"/>
  <c r="O576" i="3"/>
  <c r="Q543" i="3"/>
  <c r="O543" i="3"/>
  <c r="Q500" i="3"/>
  <c r="O500" i="3"/>
  <c r="Q159" i="3"/>
  <c r="O159" i="3"/>
  <c r="Q156" i="3"/>
  <c r="O156" i="3"/>
  <c r="Q152" i="3"/>
  <c r="O152" i="3"/>
  <c r="Q147" i="3"/>
  <c r="O147" i="3"/>
  <c r="Q145" i="3"/>
  <c r="O145" i="3"/>
  <c r="Q143" i="3"/>
  <c r="O143" i="3"/>
  <c r="Q123" i="3"/>
  <c r="O123" i="3"/>
  <c r="Q120" i="3"/>
  <c r="O120" i="3"/>
  <c r="Q115" i="3"/>
  <c r="O115" i="3"/>
  <c r="Q78" i="3"/>
  <c r="O78" i="3"/>
  <c r="Q76" i="3"/>
  <c r="O76" i="3"/>
  <c r="Q40" i="3"/>
  <c r="O40" i="3"/>
  <c r="Q38" i="3"/>
  <c r="O38" i="3"/>
  <c r="Q20" i="3"/>
  <c r="O20" i="3"/>
  <c r="Q17" i="3"/>
  <c r="O17" i="3"/>
  <c r="Q13" i="3"/>
  <c r="O13" i="3"/>
  <c r="Q716" i="3"/>
  <c r="O716" i="3"/>
  <c r="Q712" i="3"/>
  <c r="O712" i="3"/>
  <c r="Q710" i="3"/>
  <c r="O710" i="3"/>
  <c r="Q705" i="3"/>
  <c r="O705" i="3"/>
  <c r="Q702" i="3"/>
  <c r="O702" i="3"/>
  <c r="Q688" i="3"/>
  <c r="O688" i="3"/>
  <c r="Q684" i="3"/>
  <c r="O684" i="3"/>
  <c r="Q682" i="3"/>
  <c r="O682" i="3"/>
  <c r="Q676" i="3"/>
  <c r="M676" i="3" s="1"/>
  <c r="L676" i="3" s="1"/>
  <c r="O676" i="3"/>
  <c r="Q675" i="3"/>
  <c r="O675" i="3"/>
  <c r="Q669" i="3"/>
  <c r="O669" i="3"/>
  <c r="Q667" i="3"/>
  <c r="O667" i="3"/>
  <c r="Q659" i="3"/>
  <c r="O659" i="3"/>
  <c r="Q651" i="3"/>
  <c r="O651" i="3"/>
  <c r="Q649" i="3"/>
  <c r="O649" i="3"/>
  <c r="Q646" i="3"/>
  <c r="O646" i="3"/>
  <c r="Q637" i="3"/>
  <c r="O637" i="3"/>
  <c r="Q614" i="3"/>
  <c r="O614" i="3"/>
  <c r="Q604" i="3"/>
  <c r="O604" i="3"/>
  <c r="Q590" i="3"/>
  <c r="O590" i="3"/>
  <c r="Q588" i="3"/>
  <c r="O588" i="3"/>
  <c r="Q566" i="3"/>
  <c r="O566" i="3"/>
  <c r="Q564" i="3"/>
  <c r="O564" i="3"/>
  <c r="Q524" i="3"/>
  <c r="O524" i="3"/>
  <c r="Q521" i="3"/>
  <c r="O521" i="3"/>
  <c r="Q515" i="3"/>
  <c r="O515" i="3"/>
  <c r="Q426" i="3"/>
  <c r="O426" i="3"/>
  <c r="Q412" i="3"/>
  <c r="O412" i="3"/>
  <c r="Q410" i="3"/>
  <c r="O410" i="3"/>
  <c r="Q400" i="3"/>
  <c r="O400" i="3"/>
  <c r="Q388" i="3"/>
  <c r="O388" i="3"/>
  <c r="Q387" i="3"/>
  <c r="O387" i="3"/>
  <c r="Q378" i="3"/>
  <c r="O378" i="3"/>
  <c r="Q376" i="3"/>
  <c r="O376" i="3"/>
  <c r="Q354" i="3"/>
  <c r="O354" i="3"/>
  <c r="Q348" i="3"/>
  <c r="O348" i="3"/>
  <c r="Q306" i="3"/>
  <c r="O306" i="3"/>
  <c r="Q300" i="3"/>
  <c r="O300" i="3"/>
  <c r="Q287" i="3"/>
  <c r="O287" i="3"/>
  <c r="Q274" i="3"/>
  <c r="O274" i="3"/>
  <c r="Q210" i="3"/>
  <c r="O210" i="3"/>
  <c r="Q197" i="3"/>
  <c r="O197" i="3"/>
  <c r="Q701" i="3"/>
  <c r="O701" i="3"/>
  <c r="Q523" i="3"/>
  <c r="O523" i="3"/>
  <c r="Q418" i="3"/>
  <c r="O418" i="3"/>
  <c r="Q413" i="3"/>
  <c r="O413" i="3"/>
  <c r="Q375" i="3"/>
  <c r="O375" i="3"/>
  <c r="Q372" i="3"/>
  <c r="O372" i="3"/>
  <c r="Q330" i="3"/>
  <c r="O330" i="3"/>
  <c r="Q301" i="3"/>
  <c r="O301" i="3"/>
  <c r="Q294" i="3"/>
  <c r="O294" i="3"/>
  <c r="Q283" i="3"/>
  <c r="O283" i="3"/>
  <c r="Q258" i="3"/>
  <c r="O258" i="3"/>
  <c r="Q253" i="3"/>
  <c r="O253" i="3"/>
  <c r="Q240" i="3"/>
  <c r="O240" i="3"/>
  <c r="Q231" i="3"/>
  <c r="O231" i="3"/>
  <c r="Q223" i="3"/>
  <c r="O223" i="3"/>
  <c r="Q222" i="3"/>
  <c r="O222" i="3"/>
  <c r="Q219" i="3"/>
  <c r="O219" i="3"/>
  <c r="Q89" i="3"/>
  <c r="O89" i="3"/>
  <c r="Q68" i="3"/>
  <c r="O68" i="3"/>
  <c r="Q58" i="3"/>
  <c r="O58" i="3"/>
  <c r="Q56" i="3"/>
  <c r="O56" i="3"/>
  <c r="Q679" i="3"/>
  <c r="O679" i="3"/>
  <c r="Q677" i="3"/>
  <c r="O677" i="3"/>
  <c r="Q666" i="3"/>
  <c r="O666" i="3"/>
  <c r="Q654" i="3"/>
  <c r="O654" i="3"/>
  <c r="Q652" i="3"/>
  <c r="O652" i="3"/>
  <c r="Q647" i="3"/>
  <c r="O647" i="3"/>
  <c r="Q639" i="3"/>
  <c r="O639" i="3"/>
  <c r="Q616" i="3"/>
  <c r="O616" i="3"/>
  <c r="Q570" i="3"/>
  <c r="O570" i="3"/>
  <c r="Q565" i="3"/>
  <c r="O565" i="3"/>
  <c r="Q562" i="3"/>
  <c r="O562" i="3"/>
  <c r="Q555" i="3"/>
  <c r="O555" i="3"/>
  <c r="Q554" i="3"/>
  <c r="O554" i="3"/>
  <c r="Q547" i="3"/>
  <c r="O547" i="3"/>
  <c r="Q529" i="3"/>
  <c r="O529" i="3"/>
  <c r="Q522" i="3"/>
  <c r="O522" i="3"/>
  <c r="Q490" i="3"/>
  <c r="O490" i="3"/>
  <c r="Q479" i="3"/>
  <c r="O479" i="3"/>
  <c r="Q471" i="3"/>
  <c r="O471" i="3"/>
  <c r="Q466" i="3"/>
  <c r="O466" i="3"/>
  <c r="Q448" i="3"/>
  <c r="O448" i="3"/>
  <c r="Q447" i="3"/>
  <c r="O447" i="3"/>
  <c r="Q433" i="3"/>
  <c r="O433" i="3"/>
  <c r="Q432" i="3"/>
  <c r="O432" i="3"/>
  <c r="Q409" i="3"/>
  <c r="O409" i="3"/>
  <c r="Q367" i="3"/>
  <c r="O367" i="3"/>
  <c r="Q326" i="3"/>
  <c r="O326" i="3"/>
  <c r="Q314" i="3"/>
  <c r="O314" i="3"/>
  <c r="Q308" i="3"/>
  <c r="O308" i="3"/>
  <c r="Q302" i="3"/>
  <c r="O302" i="3"/>
  <c r="Q292" i="3"/>
  <c r="O292" i="3"/>
  <c r="Q278" i="3"/>
  <c r="O278" i="3"/>
  <c r="Q248" i="3"/>
  <c r="O248" i="3"/>
  <c r="Q238" i="3"/>
  <c r="O238" i="3"/>
  <c r="Q693" i="3"/>
  <c r="O693" i="3"/>
  <c r="Q662" i="3"/>
  <c r="O662" i="3"/>
  <c r="Q655" i="3"/>
  <c r="O655" i="3"/>
  <c r="Q645" i="3"/>
  <c r="O645" i="3"/>
  <c r="Q642" i="3"/>
  <c r="O642" i="3"/>
  <c r="Q640" i="3"/>
  <c r="O640" i="3"/>
  <c r="Q636" i="3"/>
  <c r="O636" i="3"/>
  <c r="Q618" i="3"/>
  <c r="O618" i="3"/>
  <c r="Q571" i="3"/>
  <c r="O571" i="3"/>
  <c r="Q558" i="3"/>
  <c r="O558" i="3"/>
  <c r="Q557" i="3"/>
  <c r="O557" i="3"/>
  <c r="Q553" i="3"/>
  <c r="O553" i="3"/>
  <c r="Q549" i="3"/>
  <c r="O549" i="3"/>
  <c r="Q544" i="3"/>
  <c r="O544" i="3"/>
  <c r="Q541" i="3"/>
  <c r="O541" i="3"/>
  <c r="Q531" i="3"/>
  <c r="O531" i="3"/>
  <c r="Q528" i="3"/>
  <c r="O528" i="3"/>
  <c r="Q509" i="3"/>
  <c r="O509" i="3"/>
  <c r="Q499" i="3"/>
  <c r="O499" i="3"/>
  <c r="Q498" i="3"/>
  <c r="O498" i="3"/>
  <c r="Q493" i="3"/>
  <c r="O493" i="3"/>
  <c r="Q492" i="3"/>
  <c r="O492" i="3"/>
  <c r="Q489" i="3"/>
  <c r="O489" i="3"/>
  <c r="Q487" i="3"/>
  <c r="O487" i="3"/>
  <c r="Q481" i="3"/>
  <c r="O481" i="3"/>
  <c r="Q465" i="3"/>
  <c r="O465" i="3"/>
  <c r="Q455" i="3"/>
  <c r="O455" i="3"/>
  <c r="Q453" i="3"/>
  <c r="O453" i="3"/>
  <c r="Q446" i="3"/>
  <c r="O446" i="3"/>
  <c r="Q445" i="3"/>
  <c r="O445" i="3"/>
  <c r="Q438" i="3"/>
  <c r="O438" i="3"/>
  <c r="Q437" i="3"/>
  <c r="O437" i="3"/>
  <c r="Q435" i="3"/>
  <c r="O435" i="3"/>
  <c r="Q429" i="3"/>
  <c r="O429" i="3"/>
  <c r="Q419" i="3"/>
  <c r="O419" i="3"/>
  <c r="Q414" i="3"/>
  <c r="O414" i="3"/>
  <c r="Q407" i="3"/>
  <c r="O407" i="3"/>
  <c r="Q405" i="3"/>
  <c r="O405" i="3"/>
  <c r="Q398" i="3"/>
  <c r="O398" i="3"/>
  <c r="Q395" i="3"/>
  <c r="O395" i="3"/>
  <c r="Q394" i="3"/>
  <c r="O394" i="3"/>
  <c r="Q385" i="3"/>
  <c r="O385" i="3"/>
  <c r="Q380" i="3"/>
  <c r="O380" i="3"/>
  <c r="Q379" i="3"/>
  <c r="O379" i="3"/>
  <c r="Q368" i="3"/>
  <c r="O368" i="3"/>
  <c r="Q365" i="3"/>
  <c r="O365" i="3"/>
  <c r="Q355" i="3"/>
  <c r="O355" i="3"/>
  <c r="Q345" i="3"/>
  <c r="O345" i="3"/>
  <c r="Q327" i="3"/>
  <c r="O327" i="3"/>
  <c r="Q305" i="3"/>
  <c r="O305" i="3"/>
  <c r="Q299" i="3"/>
  <c r="O299" i="3"/>
  <c r="Q290" i="3"/>
  <c r="O290" i="3"/>
  <c r="Q288" i="3"/>
  <c r="O288" i="3"/>
  <c r="Q285" i="3"/>
  <c r="O285" i="3"/>
  <c r="Q284" i="3"/>
  <c r="O284" i="3"/>
  <c r="Q282" i="3"/>
  <c r="O282" i="3"/>
  <c r="Q279" i="3"/>
  <c r="O279" i="3"/>
  <c r="Q270" i="3"/>
  <c r="O270" i="3"/>
  <c r="Q269" i="3"/>
  <c r="O269" i="3"/>
  <c r="Q267" i="3"/>
  <c r="O267" i="3"/>
  <c r="Q265" i="3"/>
  <c r="O265" i="3"/>
  <c r="Q257" i="3"/>
  <c r="O257" i="3"/>
  <c r="Q251" i="3"/>
  <c r="O251" i="3"/>
  <c r="Q247" i="3"/>
  <c r="O247" i="3"/>
  <c r="Q241" i="3"/>
  <c r="O241" i="3"/>
  <c r="Q237" i="3"/>
  <c r="O237" i="3"/>
  <c r="Q233" i="3"/>
  <c r="O233" i="3"/>
  <c r="Q229" i="3"/>
  <c r="O229" i="3"/>
  <c r="Q228" i="3"/>
  <c r="O228" i="3"/>
  <c r="Q227" i="3"/>
  <c r="O227" i="3"/>
  <c r="Q226" i="3"/>
  <c r="O226" i="3"/>
  <c r="Q221" i="3"/>
  <c r="O221" i="3"/>
  <c r="Q213" i="3"/>
  <c r="O213" i="3"/>
  <c r="Q209" i="3"/>
  <c r="O209" i="3"/>
  <c r="Q208" i="3"/>
  <c r="O208" i="3"/>
  <c r="Q198" i="3"/>
  <c r="O198" i="3"/>
  <c r="Q187" i="3"/>
  <c r="O187" i="3"/>
  <c r="Q185" i="3"/>
  <c r="O185" i="3"/>
  <c r="Q183" i="3"/>
  <c r="O183" i="3"/>
  <c r="Q182" i="3"/>
  <c r="O182" i="3"/>
  <c r="Q174" i="3"/>
  <c r="O174" i="3"/>
  <c r="Q172" i="3"/>
  <c r="O172" i="3"/>
  <c r="Q169" i="3"/>
  <c r="O169" i="3"/>
  <c r="Q167" i="3"/>
  <c r="O167" i="3"/>
  <c r="Q165" i="3"/>
  <c r="O165" i="3"/>
  <c r="Q164" i="3"/>
  <c r="O164" i="3"/>
  <c r="Q161" i="3"/>
  <c r="O161" i="3"/>
  <c r="Q154" i="3"/>
  <c r="O154" i="3"/>
  <c r="Q148" i="3"/>
  <c r="O148" i="3"/>
  <c r="Q146" i="3"/>
  <c r="G146" i="3" s="1"/>
  <c r="F146" i="3" s="1"/>
  <c r="O146" i="3"/>
  <c r="Q142" i="3"/>
  <c r="O142" i="3"/>
  <c r="Q129" i="3"/>
  <c r="O129" i="3"/>
  <c r="Q128" i="3"/>
  <c r="O128" i="3"/>
  <c r="Q126" i="3"/>
  <c r="O126" i="3"/>
  <c r="Q116" i="3"/>
  <c r="O116" i="3"/>
  <c r="Q114" i="3"/>
  <c r="O114" i="3"/>
  <c r="Q111" i="3"/>
  <c r="O111" i="3"/>
  <c r="Q110" i="3"/>
  <c r="O110" i="3"/>
  <c r="Q103" i="3"/>
  <c r="O103" i="3"/>
  <c r="Q101" i="3"/>
  <c r="O101" i="3"/>
  <c r="Q100" i="3"/>
  <c r="O100" i="3"/>
  <c r="Q99" i="3"/>
  <c r="O99" i="3"/>
  <c r="Q97" i="3"/>
  <c r="O97" i="3"/>
  <c r="Q91" i="3"/>
  <c r="O91" i="3"/>
  <c r="Q87" i="3"/>
  <c r="O87" i="3"/>
  <c r="Q86" i="3"/>
  <c r="O86" i="3"/>
  <c r="Q83" i="3"/>
  <c r="O83" i="3"/>
  <c r="Q81" i="3"/>
  <c r="O81" i="3"/>
  <c r="Q80" i="3"/>
  <c r="O80" i="3"/>
  <c r="Q74" i="3"/>
  <c r="O74" i="3"/>
  <c r="Q73" i="3"/>
  <c r="O73" i="3"/>
  <c r="Q70" i="3"/>
  <c r="O70" i="3"/>
  <c r="Q63" i="3"/>
  <c r="O63" i="3"/>
  <c r="Q59" i="3"/>
  <c r="O59" i="3"/>
  <c r="Q42" i="3"/>
  <c r="O42" i="3"/>
  <c r="Q41" i="3"/>
  <c r="O41" i="3"/>
  <c r="Q32" i="3"/>
  <c r="O32" i="3"/>
  <c r="Q28" i="3"/>
  <c r="O28" i="3"/>
  <c r="Q27" i="3"/>
  <c r="O27" i="3"/>
  <c r="Q21" i="3"/>
  <c r="O21" i="3"/>
  <c r="G745" i="3"/>
  <c r="F745" i="3" s="1"/>
  <c r="J745" i="3"/>
  <c r="I745" i="3" s="1"/>
  <c r="M745" i="3"/>
  <c r="L745" i="3" s="1"/>
  <c r="G744" i="3"/>
  <c r="F744" i="3" s="1"/>
  <c r="J744" i="3"/>
  <c r="I744" i="3" s="1"/>
  <c r="M744" i="3"/>
  <c r="L744" i="3" s="1"/>
  <c r="G742" i="3"/>
  <c r="F742" i="3" s="1"/>
  <c r="J742" i="3"/>
  <c r="I742" i="3" s="1"/>
  <c r="M742" i="3"/>
  <c r="L742" i="3" s="1"/>
  <c r="G741" i="3"/>
  <c r="F741" i="3" s="1"/>
  <c r="J741" i="3"/>
  <c r="I741" i="3" s="1"/>
  <c r="M741" i="3"/>
  <c r="L741" i="3" s="1"/>
  <c r="G740" i="3"/>
  <c r="F740" i="3" s="1"/>
  <c r="J740" i="3"/>
  <c r="I740" i="3" s="1"/>
  <c r="M740" i="3"/>
  <c r="L740" i="3" s="1"/>
  <c r="G739" i="3"/>
  <c r="F739" i="3" s="1"/>
  <c r="J739" i="3"/>
  <c r="I739" i="3" s="1"/>
  <c r="M739" i="3"/>
  <c r="L739" i="3" s="1"/>
  <c r="G738" i="3"/>
  <c r="F738" i="3" s="1"/>
  <c r="J738" i="3"/>
  <c r="I738" i="3" s="1"/>
  <c r="M738" i="3"/>
  <c r="L738" i="3" s="1"/>
  <c r="G737" i="3"/>
  <c r="F737" i="3" s="1"/>
  <c r="J737" i="3"/>
  <c r="I737" i="3" s="1"/>
  <c r="M737" i="3"/>
  <c r="L737" i="3" s="1"/>
  <c r="G736" i="3"/>
  <c r="F736" i="3" s="1"/>
  <c r="J736" i="3"/>
  <c r="I736" i="3" s="1"/>
  <c r="M736" i="3"/>
  <c r="L736" i="3" s="1"/>
  <c r="G735" i="3"/>
  <c r="F735" i="3" s="1"/>
  <c r="J735" i="3"/>
  <c r="I735" i="3" s="1"/>
  <c r="M735" i="3"/>
  <c r="L735" i="3" s="1"/>
  <c r="G734" i="3"/>
  <c r="F734" i="3" s="1"/>
  <c r="J734" i="3"/>
  <c r="I734" i="3" s="1"/>
  <c r="M734" i="3"/>
  <c r="L734" i="3" s="1"/>
  <c r="G733" i="3"/>
  <c r="F733" i="3" s="1"/>
  <c r="J733" i="3"/>
  <c r="I733" i="3" s="1"/>
  <c r="M733" i="3"/>
  <c r="L733" i="3" s="1"/>
  <c r="G731" i="3"/>
  <c r="F731" i="3" s="1"/>
  <c r="J731" i="3"/>
  <c r="I731" i="3" s="1"/>
  <c r="M731" i="3"/>
  <c r="L731" i="3" s="1"/>
  <c r="G730" i="3"/>
  <c r="F730" i="3" s="1"/>
  <c r="J730" i="3"/>
  <c r="I730" i="3" s="1"/>
  <c r="M730" i="3"/>
  <c r="L730" i="3" s="1"/>
  <c r="G729" i="3"/>
  <c r="F729" i="3" s="1"/>
  <c r="J729" i="3"/>
  <c r="I729" i="3" s="1"/>
  <c r="M729" i="3"/>
  <c r="L729" i="3" s="1"/>
  <c r="G728" i="3"/>
  <c r="F728" i="3" s="1"/>
  <c r="J728" i="3"/>
  <c r="I728" i="3" s="1"/>
  <c r="M728" i="3"/>
  <c r="L728" i="3" s="1"/>
  <c r="G727" i="3"/>
  <c r="F727" i="3" s="1"/>
  <c r="J727" i="3"/>
  <c r="I727" i="3" s="1"/>
  <c r="M727" i="3"/>
  <c r="L727" i="3" s="1"/>
  <c r="G726" i="3"/>
  <c r="F726" i="3" s="1"/>
  <c r="J726" i="3"/>
  <c r="I726" i="3" s="1"/>
  <c r="M726" i="3"/>
  <c r="L726" i="3" s="1"/>
  <c r="G725" i="3"/>
  <c r="F725" i="3" s="1"/>
  <c r="J725" i="3"/>
  <c r="I725" i="3" s="1"/>
  <c r="M725" i="3"/>
  <c r="L725" i="3" s="1"/>
  <c r="G724" i="3"/>
  <c r="F724" i="3" s="1"/>
  <c r="J724" i="3"/>
  <c r="I724" i="3" s="1"/>
  <c r="M724" i="3"/>
  <c r="L724" i="3" s="1"/>
  <c r="G723" i="3"/>
  <c r="F723" i="3" s="1"/>
  <c r="J723" i="3"/>
  <c r="I723" i="3" s="1"/>
  <c r="M723" i="3"/>
  <c r="L723" i="3" s="1"/>
  <c r="G722" i="3"/>
  <c r="F722" i="3" s="1"/>
  <c r="J722" i="3"/>
  <c r="I722" i="3" s="1"/>
  <c r="M722" i="3"/>
  <c r="L722" i="3" s="1"/>
  <c r="G721" i="3"/>
  <c r="F721" i="3" s="1"/>
  <c r="J721" i="3"/>
  <c r="I721" i="3" s="1"/>
  <c r="M721" i="3"/>
  <c r="L721" i="3" s="1"/>
  <c r="G720" i="3"/>
  <c r="F720" i="3" s="1"/>
  <c r="J720" i="3"/>
  <c r="I720" i="3" s="1"/>
  <c r="M720" i="3"/>
  <c r="L720" i="3" s="1"/>
  <c r="G719" i="3"/>
  <c r="F719" i="3" s="1"/>
  <c r="J719" i="3"/>
  <c r="I719" i="3" s="1"/>
  <c r="M719" i="3"/>
  <c r="L719" i="3" s="1"/>
  <c r="G717" i="3"/>
  <c r="F717" i="3" s="1"/>
  <c r="J717" i="3"/>
  <c r="I717" i="3" s="1"/>
  <c r="M717" i="3"/>
  <c r="L717" i="3" s="1"/>
  <c r="G716" i="3"/>
  <c r="F716" i="3" s="1"/>
  <c r="J716" i="3"/>
  <c r="I716" i="3" s="1"/>
  <c r="M716" i="3"/>
  <c r="L716" i="3" s="1"/>
  <c r="G715" i="3"/>
  <c r="F715" i="3" s="1"/>
  <c r="J715" i="3"/>
  <c r="I715" i="3" s="1"/>
  <c r="M715" i="3"/>
  <c r="L715" i="3" s="1"/>
  <c r="G714" i="3"/>
  <c r="F714" i="3" s="1"/>
  <c r="J714" i="3"/>
  <c r="I714" i="3" s="1"/>
  <c r="M714" i="3"/>
  <c r="L714" i="3" s="1"/>
  <c r="G713" i="3"/>
  <c r="F713" i="3" s="1"/>
  <c r="J713" i="3"/>
  <c r="I713" i="3" s="1"/>
  <c r="M713" i="3"/>
  <c r="L713" i="3" s="1"/>
  <c r="G712" i="3"/>
  <c r="F712" i="3" s="1"/>
  <c r="J712" i="3"/>
  <c r="I712" i="3" s="1"/>
  <c r="M712" i="3"/>
  <c r="L712" i="3" s="1"/>
  <c r="G711" i="3"/>
  <c r="F711" i="3" s="1"/>
  <c r="J711" i="3"/>
  <c r="I711" i="3" s="1"/>
  <c r="M711" i="3"/>
  <c r="L711" i="3" s="1"/>
  <c r="G710" i="3"/>
  <c r="F710" i="3" s="1"/>
  <c r="J710" i="3"/>
  <c r="I710" i="3" s="1"/>
  <c r="M710" i="3"/>
  <c r="L710" i="3" s="1"/>
  <c r="G709" i="3"/>
  <c r="F709" i="3" s="1"/>
  <c r="J709" i="3"/>
  <c r="I709" i="3" s="1"/>
  <c r="M709" i="3"/>
  <c r="L709" i="3" s="1"/>
  <c r="G708" i="3"/>
  <c r="F708" i="3" s="1"/>
  <c r="J708" i="3"/>
  <c r="I708" i="3" s="1"/>
  <c r="M708" i="3"/>
  <c r="L708" i="3" s="1"/>
  <c r="G707" i="3"/>
  <c r="F707" i="3" s="1"/>
  <c r="J707" i="3"/>
  <c r="I707" i="3" s="1"/>
  <c r="M707" i="3"/>
  <c r="L707" i="3" s="1"/>
  <c r="G706" i="3"/>
  <c r="F706" i="3" s="1"/>
  <c r="J706" i="3"/>
  <c r="I706" i="3" s="1"/>
  <c r="M706" i="3"/>
  <c r="L706" i="3" s="1"/>
  <c r="G705" i="3"/>
  <c r="F705" i="3" s="1"/>
  <c r="J705" i="3"/>
  <c r="I705" i="3" s="1"/>
  <c r="M705" i="3"/>
  <c r="L705" i="3" s="1"/>
  <c r="G704" i="3"/>
  <c r="F704" i="3" s="1"/>
  <c r="J704" i="3"/>
  <c r="I704" i="3" s="1"/>
  <c r="M704" i="3"/>
  <c r="L704" i="3" s="1"/>
  <c r="G703" i="3"/>
  <c r="F703" i="3" s="1"/>
  <c r="J703" i="3"/>
  <c r="I703" i="3" s="1"/>
  <c r="M703" i="3"/>
  <c r="L703" i="3" s="1"/>
  <c r="G702" i="3"/>
  <c r="F702" i="3" s="1"/>
  <c r="J702" i="3"/>
  <c r="I702" i="3" s="1"/>
  <c r="M702" i="3"/>
  <c r="L702" i="3" s="1"/>
  <c r="G700" i="3"/>
  <c r="F700" i="3" s="1"/>
  <c r="J700" i="3"/>
  <c r="I700" i="3" s="1"/>
  <c r="M700" i="3"/>
  <c r="L700" i="3" s="1"/>
  <c r="G699" i="3"/>
  <c r="F699" i="3" s="1"/>
  <c r="J699" i="3"/>
  <c r="I699" i="3" s="1"/>
  <c r="M699" i="3"/>
  <c r="L699" i="3" s="1"/>
  <c r="G698" i="3"/>
  <c r="F698" i="3" s="1"/>
  <c r="J698" i="3"/>
  <c r="I698" i="3" s="1"/>
  <c r="M698" i="3"/>
  <c r="L698" i="3" s="1"/>
  <c r="G697" i="3"/>
  <c r="F697" i="3" s="1"/>
  <c r="J697" i="3"/>
  <c r="I697" i="3" s="1"/>
  <c r="M697" i="3"/>
  <c r="L697" i="3" s="1"/>
  <c r="G696" i="3"/>
  <c r="F696" i="3" s="1"/>
  <c r="J696" i="3"/>
  <c r="I696" i="3" s="1"/>
  <c r="M696" i="3"/>
  <c r="L696" i="3" s="1"/>
  <c r="G695" i="3"/>
  <c r="F695" i="3" s="1"/>
  <c r="J695" i="3"/>
  <c r="I695" i="3" s="1"/>
  <c r="M695" i="3"/>
  <c r="L695" i="3" s="1"/>
  <c r="G694" i="3"/>
  <c r="F694" i="3" s="1"/>
  <c r="J694" i="3"/>
  <c r="I694" i="3" s="1"/>
  <c r="M694" i="3"/>
  <c r="L694" i="3" s="1"/>
  <c r="G692" i="3"/>
  <c r="F692" i="3" s="1"/>
  <c r="J692" i="3"/>
  <c r="I692" i="3" s="1"/>
  <c r="M692" i="3"/>
  <c r="L692" i="3" s="1"/>
  <c r="G691" i="3"/>
  <c r="F691" i="3" s="1"/>
  <c r="J691" i="3"/>
  <c r="I691" i="3" s="1"/>
  <c r="M691" i="3"/>
  <c r="L691" i="3" s="1"/>
  <c r="G690" i="3"/>
  <c r="F690" i="3" s="1"/>
  <c r="J690" i="3"/>
  <c r="I690" i="3" s="1"/>
  <c r="M690" i="3"/>
  <c r="L690" i="3" s="1"/>
  <c r="G689" i="3"/>
  <c r="F689" i="3" s="1"/>
  <c r="J689" i="3"/>
  <c r="I689" i="3" s="1"/>
  <c r="M689" i="3"/>
  <c r="L689" i="3" s="1"/>
  <c r="G688" i="3"/>
  <c r="F688" i="3" s="1"/>
  <c r="J688" i="3"/>
  <c r="I688" i="3" s="1"/>
  <c r="M688" i="3"/>
  <c r="L688" i="3" s="1"/>
  <c r="G687" i="3"/>
  <c r="F687" i="3" s="1"/>
  <c r="J687" i="3"/>
  <c r="I687" i="3" s="1"/>
  <c r="M687" i="3"/>
  <c r="L687" i="3" s="1"/>
  <c r="G686" i="3"/>
  <c r="F686" i="3" s="1"/>
  <c r="J686" i="3"/>
  <c r="I686" i="3" s="1"/>
  <c r="M686" i="3"/>
  <c r="L686" i="3" s="1"/>
  <c r="G684" i="3"/>
  <c r="F684" i="3" s="1"/>
  <c r="J684" i="3"/>
  <c r="I684" i="3" s="1"/>
  <c r="M684" i="3"/>
  <c r="L684" i="3" s="1"/>
  <c r="G682" i="3"/>
  <c r="F682" i="3" s="1"/>
  <c r="J682" i="3"/>
  <c r="I682" i="3" s="1"/>
  <c r="M682" i="3"/>
  <c r="L682" i="3" s="1"/>
  <c r="G676" i="3"/>
  <c r="F676" i="3" s="1"/>
  <c r="J676" i="3"/>
  <c r="I676" i="3" s="1"/>
  <c r="G648" i="3"/>
  <c r="F648" i="3" s="1"/>
  <c r="J648" i="3"/>
  <c r="I648" i="3" s="1"/>
  <c r="M648" i="3"/>
  <c r="L648" i="3" s="1"/>
  <c r="G613" i="3"/>
  <c r="F613" i="3" s="1"/>
  <c r="J613" i="3"/>
  <c r="I613" i="3" s="1"/>
  <c r="M613" i="3"/>
  <c r="L613" i="3" s="1"/>
  <c r="G560" i="3"/>
  <c r="F560" i="3" s="1"/>
  <c r="J560" i="3"/>
  <c r="I560" i="3" s="1"/>
  <c r="M560" i="3"/>
  <c r="L560" i="3" s="1"/>
  <c r="G526" i="3"/>
  <c r="F526" i="3" s="1"/>
  <c r="J526" i="3"/>
  <c r="I526" i="3" s="1"/>
  <c r="M526" i="3"/>
  <c r="L526" i="3" s="1"/>
  <c r="G508" i="3"/>
  <c r="F508" i="3" s="1"/>
  <c r="J508" i="3"/>
  <c r="I508" i="3" s="1"/>
  <c r="M508" i="3"/>
  <c r="L508" i="3" s="1"/>
  <c r="G494" i="3"/>
  <c r="F494" i="3" s="1"/>
  <c r="J494" i="3"/>
  <c r="I494" i="3" s="1"/>
  <c r="M494" i="3"/>
  <c r="L494" i="3" s="1"/>
  <c r="G491" i="3"/>
  <c r="F491" i="3" s="1"/>
  <c r="J491" i="3"/>
  <c r="I491" i="3" s="1"/>
  <c r="M491" i="3"/>
  <c r="L491" i="3" s="1"/>
  <c r="G483" i="3"/>
  <c r="F483" i="3" s="1"/>
  <c r="J483" i="3"/>
  <c r="I483" i="3" s="1"/>
  <c r="M483" i="3"/>
  <c r="L483" i="3" s="1"/>
  <c r="G480" i="3"/>
  <c r="F480" i="3" s="1"/>
  <c r="J480" i="3"/>
  <c r="I480" i="3" s="1"/>
  <c r="M480" i="3"/>
  <c r="L480" i="3" s="1"/>
  <c r="G475" i="3"/>
  <c r="F475" i="3" s="1"/>
  <c r="J475" i="3"/>
  <c r="I475" i="3" s="1"/>
  <c r="M475" i="3"/>
  <c r="L475" i="3" s="1"/>
  <c r="G460" i="3"/>
  <c r="F460" i="3" s="1"/>
  <c r="M460" i="3"/>
  <c r="L460" i="3" s="1"/>
  <c r="J460" i="3"/>
  <c r="I460" i="3" s="1"/>
  <c r="J444" i="3"/>
  <c r="I444" i="3" s="1"/>
  <c r="M444" i="3"/>
  <c r="L444" i="3" s="1"/>
  <c r="G444" i="3"/>
  <c r="F444" i="3" s="1"/>
  <c r="J443" i="3"/>
  <c r="I443" i="3" s="1"/>
  <c r="G443" i="3"/>
  <c r="F443" i="3" s="1"/>
  <c r="M443" i="3"/>
  <c r="L443" i="3" s="1"/>
  <c r="G439" i="3"/>
  <c r="F439" i="3" s="1"/>
  <c r="M439" i="3"/>
  <c r="L439" i="3" s="1"/>
  <c r="J439" i="3"/>
  <c r="I439" i="3" s="1"/>
  <c r="G422" i="3"/>
  <c r="F422" i="3" s="1"/>
  <c r="J422" i="3"/>
  <c r="I422" i="3" s="1"/>
  <c r="M422" i="3"/>
  <c r="L422" i="3" s="1"/>
  <c r="G416" i="3"/>
  <c r="F416" i="3" s="1"/>
  <c r="J416" i="3"/>
  <c r="I416" i="3" s="1"/>
  <c r="M416" i="3"/>
  <c r="L416" i="3" s="1"/>
  <c r="G412" i="3"/>
  <c r="F412" i="3" s="1"/>
  <c r="J412" i="3"/>
  <c r="I412" i="3" s="1"/>
  <c r="M412" i="3"/>
  <c r="L412" i="3" s="1"/>
  <c r="G410" i="3"/>
  <c r="F410" i="3" s="1"/>
  <c r="J410" i="3"/>
  <c r="I410" i="3" s="1"/>
  <c r="M410" i="3"/>
  <c r="L410" i="3" s="1"/>
  <c r="G400" i="3"/>
  <c r="F400" i="3" s="1"/>
  <c r="J400" i="3"/>
  <c r="I400" i="3" s="1"/>
  <c r="M400" i="3"/>
  <c r="L400" i="3" s="1"/>
  <c r="G399" i="3"/>
  <c r="F399" i="3" s="1"/>
  <c r="J399" i="3"/>
  <c r="I399" i="3" s="1"/>
  <c r="M399" i="3"/>
  <c r="L399" i="3" s="1"/>
  <c r="G397" i="3"/>
  <c r="F397" i="3" s="1"/>
  <c r="J397" i="3"/>
  <c r="I397" i="3" s="1"/>
  <c r="M397" i="3"/>
  <c r="L397" i="3" s="1"/>
  <c r="G396" i="3"/>
  <c r="F396" i="3" s="1"/>
  <c r="J396" i="3"/>
  <c r="I396" i="3" s="1"/>
  <c r="M396" i="3"/>
  <c r="L396" i="3" s="1"/>
  <c r="G388" i="3"/>
  <c r="F388" i="3" s="1"/>
  <c r="J388" i="3"/>
  <c r="I388" i="3" s="1"/>
  <c r="M388" i="3"/>
  <c r="L388" i="3" s="1"/>
  <c r="G387" i="3"/>
  <c r="F387" i="3" s="1"/>
  <c r="J387" i="3"/>
  <c r="I387" i="3" s="1"/>
  <c r="M387" i="3"/>
  <c r="L387" i="3" s="1"/>
  <c r="G378" i="3"/>
  <c r="F378" i="3" s="1"/>
  <c r="J378" i="3"/>
  <c r="I378" i="3" s="1"/>
  <c r="M378" i="3"/>
  <c r="L378" i="3" s="1"/>
  <c r="G376" i="3"/>
  <c r="F376" i="3" s="1"/>
  <c r="J376" i="3"/>
  <c r="I376" i="3" s="1"/>
  <c r="M376" i="3"/>
  <c r="L376" i="3" s="1"/>
  <c r="G370" i="3"/>
  <c r="F370" i="3" s="1"/>
  <c r="J370" i="3"/>
  <c r="I370" i="3" s="1"/>
  <c r="M370" i="3"/>
  <c r="L370" i="3" s="1"/>
  <c r="G361" i="3"/>
  <c r="F361" i="3" s="1"/>
  <c r="J361" i="3"/>
  <c r="I361" i="3" s="1"/>
  <c r="M361" i="3"/>
  <c r="L361" i="3" s="1"/>
  <c r="G354" i="3"/>
  <c r="F354" i="3" s="1"/>
  <c r="J354" i="3"/>
  <c r="I354" i="3" s="1"/>
  <c r="M354" i="3"/>
  <c r="L354" i="3" s="1"/>
  <c r="G353" i="3"/>
  <c r="F353" i="3" s="1"/>
  <c r="J353" i="3"/>
  <c r="I353" i="3" s="1"/>
  <c r="M353" i="3"/>
  <c r="L353" i="3" s="1"/>
  <c r="G348" i="3"/>
  <c r="F348" i="3" s="1"/>
  <c r="J348" i="3"/>
  <c r="I348" i="3" s="1"/>
  <c r="M348" i="3"/>
  <c r="L348" i="3" s="1"/>
  <c r="G330" i="3"/>
  <c r="F330" i="3" s="1"/>
  <c r="J330" i="3"/>
  <c r="I330" i="3" s="1"/>
  <c r="M330" i="3"/>
  <c r="L330" i="3" s="1"/>
  <c r="G328" i="3"/>
  <c r="F328" i="3" s="1"/>
  <c r="J328" i="3"/>
  <c r="I328" i="3" s="1"/>
  <c r="M328" i="3"/>
  <c r="L328" i="3" s="1"/>
  <c r="G307" i="3"/>
  <c r="F307" i="3" s="1"/>
  <c r="J307" i="3"/>
  <c r="I307" i="3" s="1"/>
  <c r="M307" i="3"/>
  <c r="L307" i="3" s="1"/>
  <c r="G306" i="3"/>
  <c r="F306" i="3" s="1"/>
  <c r="J306" i="3"/>
  <c r="I306" i="3" s="1"/>
  <c r="M306" i="3"/>
  <c r="L306" i="3" s="1"/>
  <c r="G301" i="3"/>
  <c r="F301" i="3" s="1"/>
  <c r="J301" i="3"/>
  <c r="I301" i="3" s="1"/>
  <c r="M301" i="3"/>
  <c r="L301" i="3" s="1"/>
  <c r="G300" i="3"/>
  <c r="F300" i="3" s="1"/>
  <c r="J300" i="3"/>
  <c r="I300" i="3" s="1"/>
  <c r="M300" i="3"/>
  <c r="L300" i="3" s="1"/>
  <c r="G294" i="3"/>
  <c r="F294" i="3" s="1"/>
  <c r="J294" i="3"/>
  <c r="I294" i="3" s="1"/>
  <c r="M294" i="3"/>
  <c r="L294" i="3" s="1"/>
  <c r="G287" i="3"/>
  <c r="F287" i="3" s="1"/>
  <c r="J287" i="3"/>
  <c r="I287" i="3" s="1"/>
  <c r="M287" i="3"/>
  <c r="L287" i="3" s="1"/>
  <c r="G283" i="3"/>
  <c r="F283" i="3" s="1"/>
  <c r="J283" i="3"/>
  <c r="I283" i="3" s="1"/>
  <c r="M283" i="3"/>
  <c r="L283" i="3" s="1"/>
  <c r="G280" i="3"/>
  <c r="F280" i="3" s="1"/>
  <c r="J280" i="3"/>
  <c r="I280" i="3" s="1"/>
  <c r="M280" i="3"/>
  <c r="L280" i="3" s="1"/>
  <c r="J274" i="3"/>
  <c r="I274" i="3" s="1"/>
  <c r="M274" i="3"/>
  <c r="L274" i="3" s="1"/>
  <c r="G274" i="3"/>
  <c r="F274" i="3" s="1"/>
  <c r="J271" i="3"/>
  <c r="I271" i="3" s="1"/>
  <c r="M271" i="3"/>
  <c r="L271" i="3" s="1"/>
  <c r="G271" i="3"/>
  <c r="F271" i="3" s="1"/>
  <c r="J258" i="3"/>
  <c r="I258" i="3" s="1"/>
  <c r="G258" i="3"/>
  <c r="F258" i="3" s="1"/>
  <c r="M258" i="3"/>
  <c r="L258" i="3" s="1"/>
  <c r="J253" i="3"/>
  <c r="I253" i="3" s="1"/>
  <c r="M253" i="3"/>
  <c r="L253" i="3" s="1"/>
  <c r="G253" i="3"/>
  <c r="F253" i="3" s="1"/>
  <c r="J252" i="3"/>
  <c r="I252" i="3" s="1"/>
  <c r="M252" i="3"/>
  <c r="L252" i="3" s="1"/>
  <c r="G252" i="3"/>
  <c r="F252" i="3" s="1"/>
  <c r="G248" i="3"/>
  <c r="F248" i="3" s="1"/>
  <c r="J248" i="3"/>
  <c r="I248" i="3" s="1"/>
  <c r="M248" i="3"/>
  <c r="L248" i="3" s="1"/>
  <c r="G240" i="3"/>
  <c r="F240" i="3" s="1"/>
  <c r="J240" i="3"/>
  <c r="I240" i="3" s="1"/>
  <c r="M240" i="3"/>
  <c r="L240" i="3" s="1"/>
  <c r="G238" i="3"/>
  <c r="F238" i="3" s="1"/>
  <c r="J238" i="3"/>
  <c r="I238" i="3" s="1"/>
  <c r="M238" i="3"/>
  <c r="L238" i="3" s="1"/>
  <c r="G232" i="3"/>
  <c r="F232" i="3" s="1"/>
  <c r="J232" i="3"/>
  <c r="I232" i="3" s="1"/>
  <c r="M232" i="3"/>
  <c r="L232" i="3" s="1"/>
  <c r="G231" i="3"/>
  <c r="F231" i="3" s="1"/>
  <c r="J231" i="3"/>
  <c r="I231" i="3" s="1"/>
  <c r="M231" i="3"/>
  <c r="L231" i="3" s="1"/>
  <c r="G230" i="3"/>
  <c r="F230" i="3" s="1"/>
  <c r="J230" i="3"/>
  <c r="I230" i="3" s="1"/>
  <c r="M230" i="3"/>
  <c r="L230" i="3" s="1"/>
  <c r="G224" i="3"/>
  <c r="F224" i="3" s="1"/>
  <c r="J224" i="3"/>
  <c r="I224" i="3" s="1"/>
  <c r="M224" i="3"/>
  <c r="L224" i="3" s="1"/>
  <c r="G223" i="3"/>
  <c r="F223" i="3" s="1"/>
  <c r="J223" i="3"/>
  <c r="I223" i="3" s="1"/>
  <c r="M223" i="3"/>
  <c r="L223" i="3" s="1"/>
  <c r="G222" i="3"/>
  <c r="F222" i="3" s="1"/>
  <c r="J222" i="3"/>
  <c r="I222" i="3" s="1"/>
  <c r="M222" i="3"/>
  <c r="L222" i="3" s="1"/>
  <c r="G219" i="3"/>
  <c r="F219" i="3" s="1"/>
  <c r="J219" i="3"/>
  <c r="I219" i="3" s="1"/>
  <c r="M219" i="3"/>
  <c r="L219" i="3" s="1"/>
  <c r="G217" i="3"/>
  <c r="F217" i="3" s="1"/>
  <c r="J217" i="3"/>
  <c r="I217" i="3" s="1"/>
  <c r="M217" i="3"/>
  <c r="L217" i="3" s="1"/>
  <c r="G210" i="3"/>
  <c r="F210" i="3" s="1"/>
  <c r="J210" i="3"/>
  <c r="I210" i="3" s="1"/>
  <c r="M210" i="3"/>
  <c r="L210" i="3" s="1"/>
  <c r="G202" i="3"/>
  <c r="F202" i="3" s="1"/>
  <c r="J202" i="3"/>
  <c r="I202" i="3" s="1"/>
  <c r="M202" i="3"/>
  <c r="L202" i="3" s="1"/>
  <c r="G199" i="3"/>
  <c r="F199" i="3" s="1"/>
  <c r="J199" i="3"/>
  <c r="I199" i="3" s="1"/>
  <c r="M199" i="3"/>
  <c r="L199" i="3" s="1"/>
  <c r="G197" i="3"/>
  <c r="F197" i="3" s="1"/>
  <c r="J197" i="3"/>
  <c r="I197" i="3" s="1"/>
  <c r="M197" i="3"/>
  <c r="L197" i="3" s="1"/>
  <c r="G184" i="3"/>
  <c r="F184" i="3" s="1"/>
  <c r="J184" i="3"/>
  <c r="I184" i="3" s="1"/>
  <c r="M184" i="3"/>
  <c r="L184" i="3" s="1"/>
  <c r="G181" i="3"/>
  <c r="F181" i="3" s="1"/>
  <c r="J181" i="3"/>
  <c r="I181" i="3" s="1"/>
  <c r="M181" i="3"/>
  <c r="L181" i="3" s="1"/>
  <c r="G180" i="3"/>
  <c r="F180" i="3" s="1"/>
  <c r="J180" i="3"/>
  <c r="I180" i="3" s="1"/>
  <c r="M180" i="3"/>
  <c r="L180" i="3" s="1"/>
  <c r="G177" i="3"/>
  <c r="F177" i="3" s="1"/>
  <c r="J177" i="3"/>
  <c r="I177" i="3" s="1"/>
  <c r="M177" i="3"/>
  <c r="L177" i="3" s="1"/>
  <c r="G176" i="3"/>
  <c r="F176" i="3" s="1"/>
  <c r="J176" i="3"/>
  <c r="I176" i="3" s="1"/>
  <c r="M176" i="3"/>
  <c r="L176" i="3" s="1"/>
  <c r="G174" i="3"/>
  <c r="F174" i="3" s="1"/>
  <c r="J174" i="3"/>
  <c r="I174" i="3" s="1"/>
  <c r="M174" i="3"/>
  <c r="L174" i="3" s="1"/>
  <c r="G173" i="3"/>
  <c r="F173" i="3" s="1"/>
  <c r="J173" i="3"/>
  <c r="I173" i="3" s="1"/>
  <c r="M173" i="3"/>
  <c r="L173" i="3" s="1"/>
  <c r="G172" i="3"/>
  <c r="F172" i="3" s="1"/>
  <c r="J172" i="3"/>
  <c r="I172" i="3" s="1"/>
  <c r="M172" i="3"/>
  <c r="L172" i="3" s="1"/>
  <c r="G171" i="3"/>
  <c r="F171" i="3" s="1"/>
  <c r="J171" i="3"/>
  <c r="I171" i="3" s="1"/>
  <c r="M171" i="3"/>
  <c r="L171" i="3" s="1"/>
  <c r="G169" i="3"/>
  <c r="F169" i="3" s="1"/>
  <c r="J169" i="3"/>
  <c r="I169" i="3" s="1"/>
  <c r="M169" i="3"/>
  <c r="L169" i="3" s="1"/>
  <c r="G168" i="3"/>
  <c r="F168" i="3" s="1"/>
  <c r="J168" i="3"/>
  <c r="I168" i="3" s="1"/>
  <c r="M168" i="3"/>
  <c r="L168" i="3" s="1"/>
  <c r="G167" i="3"/>
  <c r="F167" i="3" s="1"/>
  <c r="J167" i="3"/>
  <c r="I167" i="3" s="1"/>
  <c r="M167" i="3"/>
  <c r="L167" i="3" s="1"/>
  <c r="G166" i="3"/>
  <c r="F166" i="3" s="1"/>
  <c r="J166" i="3"/>
  <c r="I166" i="3" s="1"/>
  <c r="M166" i="3"/>
  <c r="L166" i="3" s="1"/>
  <c r="G165" i="3"/>
  <c r="F165" i="3" s="1"/>
  <c r="J165" i="3"/>
  <c r="I165" i="3" s="1"/>
  <c r="M165" i="3"/>
  <c r="L165" i="3" s="1"/>
  <c r="G164" i="3"/>
  <c r="F164" i="3" s="1"/>
  <c r="G159" i="3"/>
  <c r="F159" i="3" s="1"/>
  <c r="J159" i="3"/>
  <c r="I159" i="3" s="1"/>
  <c r="M159" i="3"/>
  <c r="L159" i="3" s="1"/>
  <c r="G157" i="3"/>
  <c r="F157" i="3" s="1"/>
  <c r="J157" i="3"/>
  <c r="I157" i="3" s="1"/>
  <c r="M157" i="3"/>
  <c r="L157" i="3" s="1"/>
  <c r="G156" i="3"/>
  <c r="F156" i="3" s="1"/>
  <c r="J156" i="3"/>
  <c r="I156" i="3" s="1"/>
  <c r="M156" i="3"/>
  <c r="L156" i="3" s="1"/>
  <c r="G152" i="3"/>
  <c r="F152" i="3" s="1"/>
  <c r="J152" i="3"/>
  <c r="I152" i="3" s="1"/>
  <c r="M152" i="3"/>
  <c r="L152" i="3" s="1"/>
  <c r="G150" i="3"/>
  <c r="F150" i="3" s="1"/>
  <c r="J150" i="3"/>
  <c r="I150" i="3" s="1"/>
  <c r="M150" i="3"/>
  <c r="L150" i="3" s="1"/>
  <c r="J147" i="3"/>
  <c r="I147" i="3" s="1"/>
  <c r="M147" i="3"/>
  <c r="L147" i="3" s="1"/>
  <c r="G147" i="3"/>
  <c r="F147" i="3" s="1"/>
  <c r="G145" i="3"/>
  <c r="F145" i="3" s="1"/>
  <c r="J145" i="3"/>
  <c r="I145" i="3" s="1"/>
  <c r="M145" i="3"/>
  <c r="L145" i="3" s="1"/>
  <c r="M143" i="3"/>
  <c r="L143" i="3" s="1"/>
  <c r="G143" i="3"/>
  <c r="F143" i="3" s="1"/>
  <c r="J143" i="3"/>
  <c r="I143" i="3" s="1"/>
  <c r="G137" i="3"/>
  <c r="F137" i="3" s="1"/>
  <c r="J137" i="3"/>
  <c r="I137" i="3" s="1"/>
  <c r="M137" i="3"/>
  <c r="L137" i="3" s="1"/>
  <c r="G135" i="3"/>
  <c r="F135" i="3" s="1"/>
  <c r="J135" i="3"/>
  <c r="I135" i="3" s="1"/>
  <c r="M135" i="3"/>
  <c r="L135" i="3" s="1"/>
  <c r="G133" i="3"/>
  <c r="F133" i="3" s="1"/>
  <c r="J133" i="3"/>
  <c r="I133" i="3" s="1"/>
  <c r="M133" i="3"/>
  <c r="L133" i="3" s="1"/>
  <c r="G124" i="3"/>
  <c r="F124" i="3" s="1"/>
  <c r="J124" i="3"/>
  <c r="I124" i="3" s="1"/>
  <c r="M124" i="3"/>
  <c r="L124" i="3" s="1"/>
  <c r="M123" i="3"/>
  <c r="L123" i="3" s="1"/>
  <c r="G123" i="3"/>
  <c r="F123" i="3" s="1"/>
  <c r="J123" i="3"/>
  <c r="I123" i="3" s="1"/>
  <c r="G120" i="3"/>
  <c r="F120" i="3" s="1"/>
  <c r="J120" i="3"/>
  <c r="I120" i="3" s="1"/>
  <c r="M120" i="3"/>
  <c r="L120" i="3" s="1"/>
  <c r="G119" i="3"/>
  <c r="F119" i="3" s="1"/>
  <c r="J119" i="3"/>
  <c r="I119" i="3" s="1"/>
  <c r="M119" i="3"/>
  <c r="L119" i="3" s="1"/>
  <c r="G117" i="3"/>
  <c r="F117" i="3" s="1"/>
  <c r="J117" i="3"/>
  <c r="I117" i="3" s="1"/>
  <c r="M117" i="3"/>
  <c r="L117" i="3" s="1"/>
  <c r="G115" i="3"/>
  <c r="F115" i="3" s="1"/>
  <c r="J115" i="3"/>
  <c r="I115" i="3" s="1"/>
  <c r="M115" i="3"/>
  <c r="L115" i="3" s="1"/>
  <c r="G112" i="3"/>
  <c r="F112" i="3" s="1"/>
  <c r="J112" i="3"/>
  <c r="I112" i="3" s="1"/>
  <c r="M112" i="3"/>
  <c r="L112" i="3" s="1"/>
  <c r="J109" i="3"/>
  <c r="I109" i="3" s="1"/>
  <c r="M109" i="3"/>
  <c r="L109" i="3" s="1"/>
  <c r="G109" i="3"/>
  <c r="F109" i="3" s="1"/>
  <c r="M95" i="3"/>
  <c r="L95" i="3" s="1"/>
  <c r="G95" i="3"/>
  <c r="F95" i="3" s="1"/>
  <c r="J95" i="3"/>
  <c r="I95" i="3" s="1"/>
  <c r="G93" i="3"/>
  <c r="F93" i="3" s="1"/>
  <c r="J93" i="3"/>
  <c r="I93" i="3" s="1"/>
  <c r="M93" i="3"/>
  <c r="L93" i="3" s="1"/>
  <c r="G84" i="3"/>
  <c r="F84" i="3" s="1"/>
  <c r="J84" i="3"/>
  <c r="I84" i="3" s="1"/>
  <c r="M84" i="3"/>
  <c r="L84" i="3" s="1"/>
  <c r="M78" i="3"/>
  <c r="L78" i="3" s="1"/>
  <c r="J78" i="3"/>
  <c r="I78" i="3" s="1"/>
  <c r="G78" i="3"/>
  <c r="F78" i="3" s="1"/>
  <c r="G76" i="3"/>
  <c r="F76" i="3" s="1"/>
  <c r="M76" i="3"/>
  <c r="L76" i="3" s="1"/>
  <c r="J76" i="3"/>
  <c r="I76" i="3" s="1"/>
  <c r="G71" i="3"/>
  <c r="F71" i="3" s="1"/>
  <c r="J71" i="3"/>
  <c r="I71" i="3" s="1"/>
  <c r="M71" i="3"/>
  <c r="L71" i="3" s="1"/>
  <c r="M67" i="3"/>
  <c r="L67" i="3" s="1"/>
  <c r="G67" i="3"/>
  <c r="F67" i="3" s="1"/>
  <c r="J67" i="3"/>
  <c r="I67" i="3" s="1"/>
  <c r="G65" i="3"/>
  <c r="F65" i="3" s="1"/>
  <c r="J65" i="3"/>
  <c r="I65" i="3" s="1"/>
  <c r="M65" i="3"/>
  <c r="L65" i="3" s="1"/>
  <c r="J60" i="3"/>
  <c r="I60" i="3" s="1"/>
  <c r="M60" i="3"/>
  <c r="L60" i="3" s="1"/>
  <c r="G60" i="3"/>
  <c r="F60" i="3" s="1"/>
  <c r="J54" i="3"/>
  <c r="I54" i="3" s="1"/>
  <c r="G54" i="3"/>
  <c r="F54" i="3" s="1"/>
  <c r="M54" i="3"/>
  <c r="L54" i="3" s="1"/>
  <c r="M47" i="3"/>
  <c r="L47" i="3" s="1"/>
  <c r="J47" i="3"/>
  <c r="I47" i="3" s="1"/>
  <c r="G47" i="3"/>
  <c r="F47" i="3" s="1"/>
  <c r="M45" i="3"/>
  <c r="L45" i="3" s="1"/>
  <c r="J45" i="3"/>
  <c r="I45" i="3" s="1"/>
  <c r="G45" i="3"/>
  <c r="F45" i="3" s="1"/>
  <c r="G43" i="3"/>
  <c r="F43" i="3" s="1"/>
  <c r="M43" i="3"/>
  <c r="L43" i="3" s="1"/>
  <c r="J43" i="3"/>
  <c r="I43" i="3" s="1"/>
  <c r="J40" i="3"/>
  <c r="I40" i="3" s="1"/>
  <c r="M40" i="3"/>
  <c r="L40" i="3" s="1"/>
  <c r="G40" i="3"/>
  <c r="F40" i="3" s="1"/>
  <c r="J38" i="3"/>
  <c r="I38" i="3" s="1"/>
  <c r="G38" i="3"/>
  <c r="F38" i="3" s="1"/>
  <c r="M38" i="3"/>
  <c r="L38" i="3" s="1"/>
  <c r="M34" i="3"/>
  <c r="L34" i="3" s="1"/>
  <c r="J34" i="3"/>
  <c r="I34" i="3" s="1"/>
  <c r="G34" i="3"/>
  <c r="F34" i="3" s="1"/>
  <c r="M33" i="3"/>
  <c r="L33" i="3" s="1"/>
  <c r="J33" i="3"/>
  <c r="I33" i="3" s="1"/>
  <c r="G33" i="3"/>
  <c r="F33" i="3" s="1"/>
  <c r="J31" i="3"/>
  <c r="I31" i="3" s="1"/>
  <c r="G31" i="3"/>
  <c r="F31" i="3" s="1"/>
  <c r="M31" i="3"/>
  <c r="L31" i="3" s="1"/>
  <c r="G30" i="3"/>
  <c r="F30" i="3" s="1"/>
  <c r="J30" i="3"/>
  <c r="I30" i="3" s="1"/>
  <c r="M30" i="3"/>
  <c r="L30" i="3" s="1"/>
  <c r="G29" i="3"/>
  <c r="F29" i="3" s="1"/>
  <c r="J29" i="3"/>
  <c r="I29" i="3" s="1"/>
  <c r="M29" i="3"/>
  <c r="L29" i="3" s="1"/>
  <c r="M25" i="3"/>
  <c r="L25" i="3" s="1"/>
  <c r="G25" i="3"/>
  <c r="F25" i="3" s="1"/>
  <c r="J25" i="3"/>
  <c r="I25" i="3" s="1"/>
  <c r="G20" i="3"/>
  <c r="F20" i="3" s="1"/>
  <c r="J20" i="3"/>
  <c r="I20" i="3" s="1"/>
  <c r="M20" i="3"/>
  <c r="L20" i="3" s="1"/>
  <c r="J18" i="3"/>
  <c r="I18" i="3" s="1"/>
  <c r="M18" i="3"/>
  <c r="L18" i="3" s="1"/>
  <c r="G18" i="3"/>
  <c r="F18" i="3" s="1"/>
  <c r="M17" i="3"/>
  <c r="L17" i="3" s="1"/>
  <c r="J17" i="3"/>
  <c r="I17" i="3" s="1"/>
  <c r="G17" i="3"/>
  <c r="F17" i="3" s="1"/>
  <c r="G15" i="3"/>
  <c r="F15" i="3" s="1"/>
  <c r="J15" i="3"/>
  <c r="I15" i="3" s="1"/>
  <c r="M15" i="3"/>
  <c r="L15" i="3" s="1"/>
  <c r="G14" i="3"/>
  <c r="F14" i="3" s="1"/>
  <c r="J14" i="3"/>
  <c r="I14" i="3" s="1"/>
  <c r="M14" i="3"/>
  <c r="L14" i="3" s="1"/>
  <c r="G13" i="3"/>
  <c r="F13" i="3" s="1"/>
  <c r="J13" i="3"/>
  <c r="I13" i="3" s="1"/>
  <c r="M13" i="3"/>
  <c r="L13" i="3" s="1"/>
  <c r="G11" i="3"/>
  <c r="F11" i="3" s="1"/>
  <c r="M11" i="3"/>
  <c r="L11" i="3" s="1"/>
  <c r="J11" i="3"/>
  <c r="I11" i="3" s="1"/>
  <c r="M9" i="3"/>
  <c r="L9" i="3" s="1"/>
  <c r="J9" i="3"/>
  <c r="I9" i="3" s="1"/>
  <c r="G9" i="3"/>
  <c r="F9" i="3" s="1"/>
  <c r="G4" i="3"/>
  <c r="F4" i="3" s="1"/>
  <c r="J4" i="3"/>
  <c r="I4" i="3" s="1"/>
  <c r="M4" i="3"/>
  <c r="L4" i="3" s="1"/>
  <c r="P746" i="3"/>
  <c r="Q2" i="3"/>
  <c r="Q743" i="3"/>
  <c r="O743" i="3"/>
  <c r="Q732" i="3"/>
  <c r="O732" i="3"/>
  <c r="Q718" i="3"/>
  <c r="O718" i="3"/>
  <c r="Q685" i="3"/>
  <c r="O685" i="3"/>
  <c r="Q683" i="3"/>
  <c r="O683" i="3"/>
  <c r="Q681" i="3"/>
  <c r="O681" i="3"/>
  <c r="Q680" i="3"/>
  <c r="O680" i="3"/>
  <c r="Q678" i="3"/>
  <c r="O678" i="3"/>
  <c r="Q673" i="3"/>
  <c r="O673" i="3"/>
  <c r="Q672" i="3"/>
  <c r="O672" i="3"/>
  <c r="Q671" i="3"/>
  <c r="O671" i="3"/>
  <c r="Q670" i="3"/>
  <c r="O670" i="3"/>
  <c r="Q668" i="3"/>
  <c r="O668" i="3"/>
  <c r="Q665" i="3"/>
  <c r="O665" i="3"/>
  <c r="Q664" i="3"/>
  <c r="O664" i="3"/>
  <c r="Q661" i="3"/>
  <c r="O661" i="3"/>
  <c r="Q660" i="3"/>
  <c r="O660" i="3"/>
  <c r="Q658" i="3"/>
  <c r="O658" i="3"/>
  <c r="Q657" i="3"/>
  <c r="O657" i="3"/>
  <c r="Q656" i="3"/>
  <c r="O656" i="3"/>
  <c r="Q653" i="3"/>
  <c r="O653" i="3"/>
  <c r="Q650" i="3"/>
  <c r="O650" i="3"/>
  <c r="Q644" i="3"/>
  <c r="O644" i="3"/>
  <c r="Q643" i="3"/>
  <c r="O643" i="3"/>
  <c r="Q641" i="3"/>
  <c r="O641" i="3"/>
  <c r="Q638" i="3"/>
  <c r="O638" i="3"/>
  <c r="Q635" i="3"/>
  <c r="O635" i="3"/>
  <c r="Q633" i="3"/>
  <c r="O633" i="3"/>
  <c r="Q632" i="3"/>
  <c r="O632" i="3"/>
  <c r="Q631" i="3"/>
  <c r="O631" i="3"/>
  <c r="Q630" i="3"/>
  <c r="O630" i="3"/>
  <c r="Q629" i="3"/>
  <c r="O629" i="3"/>
  <c r="Q628" i="3"/>
  <c r="O628" i="3"/>
  <c r="Q627" i="3"/>
  <c r="O627" i="3"/>
  <c r="Q626" i="3"/>
  <c r="O626" i="3"/>
  <c r="Q625" i="3"/>
  <c r="O625" i="3"/>
  <c r="Q624" i="3"/>
  <c r="O624" i="3"/>
  <c r="Q623" i="3"/>
  <c r="O623" i="3"/>
  <c r="Q622" i="3"/>
  <c r="O622" i="3"/>
  <c r="Q620" i="3"/>
  <c r="O620" i="3"/>
  <c r="Q619" i="3"/>
  <c r="O619" i="3"/>
  <c r="Q617" i="3"/>
  <c r="O617" i="3"/>
  <c r="Q615" i="3"/>
  <c r="O615" i="3"/>
  <c r="Q612" i="3"/>
  <c r="O612" i="3"/>
  <c r="Q611" i="3"/>
  <c r="O611" i="3"/>
  <c r="Q610" i="3"/>
  <c r="O610" i="3"/>
  <c r="Q609" i="3"/>
  <c r="O609" i="3"/>
  <c r="Q608" i="3"/>
  <c r="O608" i="3"/>
  <c r="Q607" i="3"/>
  <c r="O607" i="3"/>
  <c r="Q606" i="3"/>
  <c r="O606" i="3"/>
  <c r="Q605" i="3"/>
  <c r="O605" i="3"/>
  <c r="Q601" i="3"/>
  <c r="O601" i="3"/>
  <c r="Q600" i="3"/>
  <c r="O600" i="3"/>
  <c r="Q599" i="3"/>
  <c r="O599" i="3"/>
  <c r="Q598" i="3"/>
  <c r="O598" i="3"/>
  <c r="Q597" i="3"/>
  <c r="O597" i="3"/>
  <c r="Q596" i="3"/>
  <c r="O596" i="3"/>
  <c r="Q595" i="3"/>
  <c r="O595" i="3"/>
  <c r="Q594" i="3"/>
  <c r="O594" i="3"/>
  <c r="Q593" i="3"/>
  <c r="O593" i="3"/>
  <c r="Q592" i="3"/>
  <c r="O592" i="3"/>
  <c r="Q591" i="3"/>
  <c r="O591" i="3"/>
  <c r="Q587" i="3"/>
  <c r="O587" i="3"/>
  <c r="Q586" i="3"/>
  <c r="O586" i="3"/>
  <c r="Q585" i="3"/>
  <c r="O585" i="3"/>
  <c r="Q584" i="3"/>
  <c r="O584" i="3"/>
  <c r="Q583" i="3"/>
  <c r="O583" i="3"/>
  <c r="Q582" i="3"/>
  <c r="O582" i="3"/>
  <c r="Q581" i="3"/>
  <c r="O581" i="3"/>
  <c r="Q580" i="3"/>
  <c r="O580" i="3"/>
  <c r="Q579" i="3"/>
  <c r="O579" i="3"/>
  <c r="Q578" i="3"/>
  <c r="O578" i="3"/>
  <c r="Q577" i="3"/>
  <c r="O577" i="3"/>
  <c r="Q575" i="3"/>
  <c r="O575" i="3"/>
  <c r="Q574" i="3"/>
  <c r="O574" i="3"/>
  <c r="Q573" i="3"/>
  <c r="O573" i="3"/>
  <c r="Q572" i="3"/>
  <c r="O572" i="3"/>
  <c r="Q569" i="3"/>
  <c r="O569" i="3"/>
  <c r="Q568" i="3"/>
  <c r="O568" i="3"/>
  <c r="Q567" i="3"/>
  <c r="O567" i="3"/>
  <c r="Q563" i="3"/>
  <c r="O563" i="3"/>
  <c r="Q561" i="3"/>
  <c r="O561" i="3"/>
  <c r="Q559" i="3"/>
  <c r="O559" i="3"/>
  <c r="Q556" i="3"/>
  <c r="O556" i="3"/>
  <c r="Q552" i="3"/>
  <c r="O552" i="3"/>
  <c r="Q551" i="3"/>
  <c r="O551" i="3"/>
  <c r="Q550" i="3"/>
  <c r="O550" i="3"/>
  <c r="Q548" i="3"/>
  <c r="O548" i="3"/>
  <c r="Q546" i="3"/>
  <c r="O546" i="3"/>
  <c r="Q545" i="3"/>
  <c r="O545" i="3"/>
  <c r="Q542" i="3"/>
  <c r="O542" i="3"/>
  <c r="Q540" i="3"/>
  <c r="O540" i="3"/>
  <c r="Q539" i="3"/>
  <c r="O539" i="3"/>
  <c r="Q538" i="3"/>
  <c r="O538" i="3"/>
  <c r="Q537" i="3"/>
  <c r="O537" i="3"/>
  <c r="Q536" i="3"/>
  <c r="O536" i="3"/>
  <c r="Q535" i="3"/>
  <c r="O535" i="3"/>
  <c r="Q534" i="3"/>
  <c r="O534" i="3"/>
  <c r="Q533" i="3"/>
  <c r="O533" i="3"/>
  <c r="Q532" i="3"/>
  <c r="O532" i="3"/>
  <c r="Q530" i="3"/>
  <c r="O530" i="3"/>
  <c r="Q527" i="3"/>
  <c r="O527" i="3"/>
  <c r="Q525" i="3"/>
  <c r="O525" i="3"/>
  <c r="Q520" i="3"/>
  <c r="O520" i="3"/>
  <c r="Q519" i="3"/>
  <c r="O519" i="3"/>
  <c r="Q518" i="3"/>
  <c r="O518" i="3"/>
  <c r="Q517" i="3"/>
  <c r="O517" i="3"/>
  <c r="Q516" i="3"/>
  <c r="O516" i="3"/>
  <c r="Q514" i="3"/>
  <c r="O514" i="3"/>
  <c r="Q513" i="3"/>
  <c r="O513" i="3"/>
  <c r="Q512" i="3"/>
  <c r="O512" i="3"/>
  <c r="Q511" i="3"/>
  <c r="O511" i="3"/>
  <c r="Q510" i="3"/>
  <c r="O510" i="3"/>
  <c r="Q507" i="3"/>
  <c r="O507" i="3"/>
  <c r="Q506" i="3"/>
  <c r="O506" i="3"/>
  <c r="Q505" i="3"/>
  <c r="O505" i="3"/>
  <c r="Q504" i="3"/>
  <c r="O504" i="3"/>
  <c r="Q503" i="3"/>
  <c r="O503" i="3"/>
  <c r="Q502" i="3"/>
  <c r="O502" i="3"/>
  <c r="Q501" i="3"/>
  <c r="O501" i="3"/>
  <c r="Q497" i="3"/>
  <c r="O497" i="3"/>
  <c r="Q496" i="3"/>
  <c r="O496" i="3"/>
  <c r="Q495" i="3"/>
  <c r="O495" i="3"/>
  <c r="Q488" i="3"/>
  <c r="O488" i="3"/>
  <c r="Q486" i="3"/>
  <c r="O486" i="3"/>
  <c r="Q485" i="3"/>
  <c r="O485" i="3"/>
  <c r="Q484" i="3"/>
  <c r="O484" i="3"/>
  <c r="Q482" i="3"/>
  <c r="O482" i="3"/>
  <c r="Q478" i="3"/>
  <c r="O478" i="3"/>
  <c r="Q477" i="3"/>
  <c r="O477" i="3"/>
  <c r="Q476" i="3"/>
  <c r="O476" i="3"/>
  <c r="Q474" i="3"/>
  <c r="O474" i="3"/>
  <c r="Q473" i="3"/>
  <c r="O473" i="3"/>
  <c r="Q472" i="3"/>
  <c r="O472" i="3"/>
  <c r="Q470" i="3"/>
  <c r="O470" i="3"/>
  <c r="Q469" i="3"/>
  <c r="O469" i="3"/>
  <c r="Q468" i="3"/>
  <c r="O468" i="3"/>
  <c r="Q467" i="3"/>
  <c r="O467" i="3"/>
  <c r="Q464" i="3"/>
  <c r="O464" i="3"/>
  <c r="Q463" i="3"/>
  <c r="O463" i="3"/>
  <c r="Q462" i="3"/>
  <c r="O462" i="3"/>
  <c r="Q461" i="3"/>
  <c r="O461" i="3"/>
  <c r="Q459" i="3"/>
  <c r="O459" i="3"/>
  <c r="Q458" i="3"/>
  <c r="O458" i="3"/>
  <c r="Q457" i="3"/>
  <c r="O457" i="3"/>
  <c r="Q456" i="3"/>
  <c r="O456" i="3"/>
  <c r="Q454" i="3"/>
  <c r="O454" i="3"/>
  <c r="Q452" i="3"/>
  <c r="O452" i="3"/>
  <c r="Q451" i="3"/>
  <c r="O451" i="3"/>
  <c r="Q450" i="3"/>
  <c r="O450" i="3"/>
  <c r="Q449" i="3"/>
  <c r="O449" i="3"/>
  <c r="Q442" i="3"/>
  <c r="O442" i="3"/>
  <c r="Q441" i="3"/>
  <c r="O441" i="3"/>
  <c r="Q440" i="3"/>
  <c r="O440" i="3"/>
  <c r="Q436" i="3"/>
  <c r="O436" i="3"/>
  <c r="Q434" i="3"/>
  <c r="O434" i="3"/>
  <c r="Q431" i="3"/>
  <c r="O431" i="3"/>
  <c r="Q430" i="3"/>
  <c r="O430" i="3"/>
  <c r="Q428" i="3"/>
  <c r="O428" i="3"/>
  <c r="Q427" i="3"/>
  <c r="O427" i="3"/>
  <c r="Q425" i="3"/>
  <c r="O425" i="3"/>
  <c r="Q424" i="3"/>
  <c r="O424" i="3"/>
  <c r="Q423" i="3"/>
  <c r="O423" i="3"/>
  <c r="Q421" i="3"/>
  <c r="O421" i="3"/>
  <c r="Q420" i="3"/>
  <c r="O420" i="3"/>
  <c r="Q417" i="3"/>
  <c r="O417" i="3"/>
  <c r="Q415" i="3"/>
  <c r="O415" i="3"/>
  <c r="Q411" i="3"/>
  <c r="O411" i="3"/>
  <c r="Q408" i="3"/>
  <c r="O408" i="3"/>
  <c r="Q406" i="3"/>
  <c r="O406" i="3"/>
  <c r="Q404" i="3"/>
  <c r="O404" i="3"/>
  <c r="Q403" i="3"/>
  <c r="O403" i="3"/>
  <c r="Q402" i="3"/>
  <c r="O402" i="3"/>
  <c r="Q401" i="3"/>
  <c r="O401" i="3"/>
  <c r="Q393" i="3"/>
  <c r="O393" i="3"/>
  <c r="Q392" i="3"/>
  <c r="O392" i="3"/>
  <c r="Q391" i="3"/>
  <c r="O391" i="3"/>
  <c r="Q390" i="3"/>
  <c r="O390" i="3"/>
  <c r="Q389" i="3"/>
  <c r="O389" i="3"/>
  <c r="Q386" i="3"/>
  <c r="O386" i="3"/>
  <c r="Q384" i="3"/>
  <c r="O384" i="3"/>
  <c r="Q383" i="3"/>
  <c r="O383" i="3"/>
  <c r="Q382" i="3"/>
  <c r="O382" i="3"/>
  <c r="Q381" i="3"/>
  <c r="O381" i="3"/>
  <c r="Q377" i="3"/>
  <c r="O377" i="3"/>
  <c r="Q374" i="3"/>
  <c r="O374" i="3"/>
  <c r="Q373" i="3"/>
  <c r="O373" i="3"/>
  <c r="Q371" i="3"/>
  <c r="O371" i="3"/>
  <c r="Q369" i="3"/>
  <c r="O369" i="3"/>
  <c r="Q366" i="3"/>
  <c r="O366" i="3"/>
  <c r="Q364" i="3"/>
  <c r="O364" i="3"/>
  <c r="Q363" i="3"/>
  <c r="O363" i="3"/>
  <c r="Q362" i="3"/>
  <c r="O362" i="3"/>
  <c r="Q360" i="3"/>
  <c r="O360" i="3"/>
  <c r="Q359" i="3"/>
  <c r="O359" i="3"/>
  <c r="Q358" i="3"/>
  <c r="O358" i="3"/>
  <c r="Q357" i="3"/>
  <c r="O357" i="3"/>
  <c r="Q356" i="3"/>
  <c r="O356" i="3"/>
  <c r="Q352" i="3"/>
  <c r="O352" i="3"/>
  <c r="Q351" i="3"/>
  <c r="O351" i="3"/>
  <c r="Q350" i="3"/>
  <c r="O350" i="3"/>
  <c r="Q349" i="3"/>
  <c r="O349" i="3"/>
  <c r="Q347" i="3"/>
  <c r="O347" i="3"/>
  <c r="Q346" i="3"/>
  <c r="O346" i="3"/>
  <c r="Q344" i="3"/>
  <c r="O344" i="3"/>
  <c r="Q343" i="3"/>
  <c r="O343" i="3"/>
  <c r="Q342" i="3"/>
  <c r="O342" i="3"/>
  <c r="Q341" i="3"/>
  <c r="O341" i="3"/>
  <c r="Q340" i="3"/>
  <c r="O340" i="3"/>
  <c r="Q339" i="3"/>
  <c r="O339" i="3"/>
  <c r="Q338" i="3"/>
  <c r="O338" i="3"/>
  <c r="Q337" i="3"/>
  <c r="O337" i="3"/>
  <c r="Q336" i="3"/>
  <c r="O336" i="3"/>
  <c r="Q335" i="3"/>
  <c r="O335" i="3"/>
  <c r="Q334" i="3"/>
  <c r="O334" i="3"/>
  <c r="Q333" i="3"/>
  <c r="O333" i="3"/>
  <c r="Q332" i="3"/>
  <c r="O332" i="3"/>
  <c r="Q331" i="3"/>
  <c r="O331" i="3"/>
  <c r="Q329" i="3"/>
  <c r="O329" i="3"/>
  <c r="Q325" i="3"/>
  <c r="O325" i="3"/>
  <c r="Q324" i="3"/>
  <c r="O324" i="3"/>
  <c r="Q323" i="3"/>
  <c r="O323" i="3"/>
  <c r="Q322" i="3"/>
  <c r="O322" i="3"/>
  <c r="Q321" i="3"/>
  <c r="O321" i="3"/>
  <c r="Q320" i="3"/>
  <c r="O320" i="3"/>
  <c r="Q319" i="3"/>
  <c r="O319" i="3"/>
  <c r="Q318" i="3"/>
  <c r="O318" i="3"/>
  <c r="Q317" i="3"/>
  <c r="O317" i="3"/>
  <c r="Q316" i="3"/>
  <c r="O316" i="3"/>
  <c r="Q315" i="3"/>
  <c r="O315" i="3"/>
  <c r="Q313" i="3"/>
  <c r="O313" i="3"/>
  <c r="Q312" i="3"/>
  <c r="O312" i="3"/>
  <c r="Q311" i="3"/>
  <c r="O311" i="3"/>
  <c r="Q310" i="3"/>
  <c r="O310" i="3"/>
  <c r="Q309" i="3"/>
  <c r="O309" i="3"/>
  <c r="Q304" i="3"/>
  <c r="O304" i="3"/>
  <c r="Q303" i="3"/>
  <c r="O303" i="3"/>
  <c r="Q298" i="3"/>
  <c r="O298" i="3"/>
  <c r="Q297" i="3"/>
  <c r="O297" i="3"/>
  <c r="Q296" i="3"/>
  <c r="O296" i="3"/>
  <c r="Q295" i="3"/>
  <c r="O295" i="3"/>
  <c r="Q293" i="3"/>
  <c r="O293" i="3"/>
  <c r="Q291" i="3"/>
  <c r="O291" i="3"/>
  <c r="Q289" i="3"/>
  <c r="O289" i="3"/>
  <c r="Q286" i="3"/>
  <c r="O286" i="3"/>
  <c r="Q281" i="3"/>
  <c r="O281" i="3"/>
  <c r="Q277" i="3"/>
  <c r="O277" i="3"/>
  <c r="Q276" i="3"/>
  <c r="O276" i="3"/>
  <c r="Q275" i="3"/>
  <c r="O275" i="3"/>
  <c r="Q273" i="3"/>
  <c r="O273" i="3"/>
  <c r="Q272" i="3"/>
  <c r="O272" i="3"/>
  <c r="Q266" i="3"/>
  <c r="O266" i="3"/>
  <c r="Q264" i="3"/>
  <c r="O264" i="3"/>
  <c r="Q263" i="3"/>
  <c r="O263" i="3"/>
  <c r="Q261" i="3"/>
  <c r="O261" i="3"/>
  <c r="Q260" i="3"/>
  <c r="O260" i="3"/>
  <c r="Q259" i="3"/>
  <c r="O259" i="3"/>
  <c r="Q256" i="3"/>
  <c r="O256" i="3"/>
  <c r="Q255" i="3"/>
  <c r="O255" i="3"/>
  <c r="Q254" i="3"/>
  <c r="O254" i="3"/>
  <c r="Q250" i="3"/>
  <c r="O250" i="3"/>
  <c r="Q249" i="3"/>
  <c r="O249" i="3"/>
  <c r="Q246" i="3"/>
  <c r="O246" i="3"/>
  <c r="Q245" i="3"/>
  <c r="O245" i="3"/>
  <c r="Q244" i="3"/>
  <c r="O244" i="3"/>
  <c r="Q243" i="3"/>
  <c r="O243" i="3"/>
  <c r="Q242" i="3"/>
  <c r="O242" i="3"/>
  <c r="Q239" i="3"/>
  <c r="O239" i="3"/>
  <c r="Q236" i="3"/>
  <c r="O236" i="3"/>
  <c r="Q235" i="3"/>
  <c r="O235" i="3"/>
  <c r="Q234" i="3"/>
  <c r="O234" i="3"/>
  <c r="Q225" i="3"/>
  <c r="O225" i="3"/>
  <c r="Q220" i="3"/>
  <c r="O220" i="3"/>
  <c r="Q218" i="3"/>
  <c r="O218" i="3"/>
  <c r="Q216" i="3"/>
  <c r="O216" i="3"/>
  <c r="Q215" i="3"/>
  <c r="O215" i="3"/>
  <c r="Q214" i="3"/>
  <c r="O214" i="3"/>
  <c r="Q212" i="3"/>
  <c r="O212" i="3"/>
  <c r="Q211" i="3"/>
  <c r="O211" i="3"/>
  <c r="Q207" i="3"/>
  <c r="O207" i="3"/>
  <c r="Q206" i="3"/>
  <c r="O206" i="3"/>
  <c r="Q205" i="3"/>
  <c r="O205" i="3"/>
  <c r="Q204" i="3"/>
  <c r="O204" i="3"/>
  <c r="Q203" i="3"/>
  <c r="O203" i="3"/>
  <c r="Q201" i="3"/>
  <c r="O201" i="3"/>
  <c r="Q200" i="3"/>
  <c r="O200" i="3"/>
  <c r="Q196" i="3"/>
  <c r="O196" i="3"/>
  <c r="Q195" i="3"/>
  <c r="O195" i="3"/>
  <c r="Q194" i="3"/>
  <c r="O194" i="3"/>
  <c r="Q193" i="3"/>
  <c r="O193" i="3"/>
  <c r="Q192" i="3"/>
  <c r="O192" i="3"/>
  <c r="Q191" i="3"/>
  <c r="O191" i="3"/>
  <c r="Q190" i="3"/>
  <c r="O190" i="3"/>
  <c r="Q189" i="3"/>
  <c r="O189" i="3"/>
  <c r="Q188" i="3"/>
  <c r="O188" i="3"/>
  <c r="Q186" i="3"/>
  <c r="O186" i="3"/>
  <c r="Q179" i="3"/>
  <c r="O179" i="3"/>
  <c r="Q175" i="3"/>
  <c r="O175" i="3"/>
  <c r="Q170" i="3"/>
  <c r="O170" i="3"/>
  <c r="Q163" i="3"/>
  <c r="O163" i="3"/>
  <c r="Q162" i="3"/>
  <c r="O162" i="3"/>
  <c r="Q160" i="3"/>
  <c r="O160" i="3"/>
  <c r="Q158" i="3"/>
  <c r="O158" i="3"/>
  <c r="Q155" i="3"/>
  <c r="O155" i="3"/>
  <c r="Q153" i="3"/>
  <c r="O153" i="3"/>
  <c r="Q151" i="3"/>
  <c r="O151" i="3"/>
  <c r="Q149" i="3"/>
  <c r="O149" i="3"/>
  <c r="Q144" i="3"/>
  <c r="O144" i="3"/>
  <c r="Q141" i="3"/>
  <c r="O141" i="3"/>
  <c r="Q140" i="3"/>
  <c r="O140" i="3"/>
  <c r="Q139" i="3"/>
  <c r="O139" i="3"/>
  <c r="Q138" i="3"/>
  <c r="O138" i="3"/>
  <c r="Q136" i="3"/>
  <c r="O136" i="3"/>
  <c r="Q134" i="3"/>
  <c r="O134" i="3"/>
  <c r="Q132" i="3"/>
  <c r="O132" i="3"/>
  <c r="Q131" i="3"/>
  <c r="O131" i="3"/>
  <c r="Q130" i="3"/>
  <c r="O130" i="3"/>
  <c r="Q127" i="3"/>
  <c r="O127" i="3"/>
  <c r="Q125" i="3"/>
  <c r="O125" i="3"/>
  <c r="Q122" i="3"/>
  <c r="O122" i="3"/>
  <c r="Q121" i="3"/>
  <c r="O121" i="3"/>
  <c r="Q118" i="3"/>
  <c r="O118" i="3"/>
  <c r="Q113" i="3"/>
  <c r="O113" i="3"/>
  <c r="Q108" i="3"/>
  <c r="O108" i="3"/>
  <c r="Q107" i="3"/>
  <c r="O107" i="3"/>
  <c r="Q102" i="3"/>
  <c r="O102" i="3"/>
  <c r="Q98" i="3"/>
  <c r="O98" i="3"/>
  <c r="Q96" i="3"/>
  <c r="O96" i="3"/>
  <c r="Q94" i="3"/>
  <c r="O94" i="3"/>
  <c r="Q92" i="3"/>
  <c r="O92" i="3"/>
  <c r="Q90" i="3"/>
  <c r="O90" i="3"/>
  <c r="Q88" i="3"/>
  <c r="O88" i="3"/>
  <c r="Q85" i="3"/>
  <c r="O85" i="3"/>
  <c r="Q82" i="3"/>
  <c r="O82" i="3"/>
  <c r="Q79" i="3"/>
  <c r="O79" i="3"/>
  <c r="Q77" i="3"/>
  <c r="O77" i="3"/>
  <c r="Q75" i="3"/>
  <c r="O75" i="3"/>
  <c r="Q72" i="3"/>
  <c r="O72" i="3"/>
  <c r="Q69" i="3"/>
  <c r="O69" i="3"/>
  <c r="Q66" i="3"/>
  <c r="O66" i="3"/>
  <c r="Q64" i="3"/>
  <c r="O64" i="3"/>
  <c r="Q62" i="3"/>
  <c r="O62" i="3"/>
  <c r="Q55" i="3"/>
  <c r="O55" i="3"/>
  <c r="Q53" i="3"/>
  <c r="O53" i="3"/>
  <c r="Q52" i="3"/>
  <c r="O52" i="3"/>
  <c r="Q50" i="3"/>
  <c r="O50" i="3"/>
  <c r="Q49" i="3"/>
  <c r="O49" i="3"/>
  <c r="Q48" i="3"/>
  <c r="O48" i="3"/>
  <c r="Q46" i="3"/>
  <c r="O46" i="3"/>
  <c r="Q44" i="3"/>
  <c r="O44" i="3"/>
  <c r="Q39" i="3"/>
  <c r="O39" i="3"/>
  <c r="Q37" i="3"/>
  <c r="O37" i="3"/>
  <c r="Q36" i="3"/>
  <c r="O36" i="3"/>
  <c r="Q35" i="3"/>
  <c r="O35" i="3"/>
  <c r="Q26" i="3"/>
  <c r="O26" i="3"/>
  <c r="Q24" i="3"/>
  <c r="O24" i="3"/>
  <c r="Q23" i="3"/>
  <c r="O23" i="3"/>
  <c r="Q22" i="3"/>
  <c r="O22" i="3"/>
  <c r="Q19" i="3"/>
  <c r="O19" i="3"/>
  <c r="Q16" i="3"/>
  <c r="O16" i="3"/>
  <c r="Q12" i="3"/>
  <c r="O12" i="3"/>
  <c r="Q10" i="3"/>
  <c r="O10" i="3"/>
  <c r="Q8" i="3"/>
  <c r="O8" i="3"/>
  <c r="Q7" i="3"/>
  <c r="O7" i="3"/>
  <c r="Q6" i="3"/>
  <c r="O6" i="3"/>
  <c r="Q5" i="3"/>
  <c r="O5" i="3"/>
  <c r="Q516" i="2"/>
  <c r="Q532" i="2"/>
  <c r="O506" i="2"/>
  <c r="Q703" i="2"/>
  <c r="Q503" i="2"/>
  <c r="Q494" i="2"/>
  <c r="G494" i="2" s="1"/>
  <c r="F494" i="2" s="1"/>
  <c r="O546" i="2"/>
  <c r="O697" i="2"/>
  <c r="O122" i="2"/>
  <c r="O534" i="2"/>
  <c r="Q508" i="2"/>
  <c r="M508" i="2" s="1"/>
  <c r="L508" i="2" s="1"/>
  <c r="O547" i="2"/>
  <c r="Q527" i="2"/>
  <c r="G527" i="2" s="1"/>
  <c r="F527" i="2" s="1"/>
  <c r="O538" i="2"/>
  <c r="Q523" i="2"/>
  <c r="G523" i="2" s="1"/>
  <c r="F523" i="2" s="1"/>
  <c r="Q539" i="2"/>
  <c r="M539" i="2" s="1"/>
  <c r="L539" i="2" s="1"/>
  <c r="O478" i="2"/>
  <c r="G718" i="2"/>
  <c r="F718" i="2" s="1"/>
  <c r="Q522" i="2"/>
  <c r="J522" i="2" s="1"/>
  <c r="I522" i="2" s="1"/>
  <c r="Q555" i="2"/>
  <c r="G555" i="2" s="1"/>
  <c r="F555" i="2" s="1"/>
  <c r="J718" i="2"/>
  <c r="I718" i="2" s="1"/>
  <c r="O124" i="2"/>
  <c r="Q501" i="2"/>
  <c r="J501" i="2" s="1"/>
  <c r="I501" i="2" s="1"/>
  <c r="Q542" i="2"/>
  <c r="M542" i="2" s="1"/>
  <c r="L542" i="2" s="1"/>
  <c r="G715" i="2"/>
  <c r="F715" i="2" s="1"/>
  <c r="Q548" i="2"/>
  <c r="J548" i="2" s="1"/>
  <c r="I548" i="2" s="1"/>
  <c r="O702" i="2"/>
  <c r="J715" i="2"/>
  <c r="I715" i="2" s="1"/>
  <c r="O701" i="2"/>
  <c r="Q543" i="2"/>
  <c r="G543" i="2" s="1"/>
  <c r="F543" i="2" s="1"/>
  <c r="Q707" i="2"/>
  <c r="G707" i="2" s="1"/>
  <c r="F707" i="2" s="1"/>
  <c r="Q613" i="2"/>
  <c r="J613" i="2" s="1"/>
  <c r="I613" i="2" s="1"/>
  <c r="O715" i="2"/>
  <c r="Q558" i="2"/>
  <c r="J558" i="2" s="1"/>
  <c r="I558" i="2" s="1"/>
  <c r="Q700" i="2"/>
  <c r="M700" i="2" s="1"/>
  <c r="L700" i="2" s="1"/>
  <c r="O371" i="2"/>
  <c r="Q352" i="2"/>
  <c r="G352" i="2" s="1"/>
  <c r="F352" i="2" s="1"/>
  <c r="O352" i="2"/>
  <c r="Q356" i="2"/>
  <c r="M356" i="2" s="1"/>
  <c r="L356" i="2" s="1"/>
  <c r="O356" i="2"/>
  <c r="Q367" i="2"/>
  <c r="M367" i="2" s="1"/>
  <c r="L367" i="2" s="1"/>
  <c r="O367" i="2"/>
  <c r="Q369" i="2"/>
  <c r="O369" i="2"/>
  <c r="Q419" i="2"/>
  <c r="J419" i="2" s="1"/>
  <c r="I419" i="2" s="1"/>
  <c r="O419" i="2"/>
  <c r="Q421" i="2"/>
  <c r="G421" i="2" s="1"/>
  <c r="F421" i="2" s="1"/>
  <c r="O421" i="2"/>
  <c r="J122" i="2"/>
  <c r="I122" i="2" s="1"/>
  <c r="G122" i="2"/>
  <c r="F122" i="2" s="1"/>
  <c r="M122" i="2"/>
  <c r="L122" i="2" s="1"/>
  <c r="M124" i="2"/>
  <c r="L124" i="2" s="1"/>
  <c r="J124" i="2"/>
  <c r="I124" i="2" s="1"/>
  <c r="G124" i="2"/>
  <c r="F124" i="2" s="1"/>
  <c r="G371" i="2"/>
  <c r="F371" i="2" s="1"/>
  <c r="J371" i="2"/>
  <c r="I371" i="2" s="1"/>
  <c r="M371" i="2"/>
  <c r="L371" i="2" s="1"/>
  <c r="J367" i="2"/>
  <c r="I367" i="2" s="1"/>
  <c r="G367" i="2"/>
  <c r="F367" i="2" s="1"/>
  <c r="G369" i="2"/>
  <c r="F369" i="2" s="1"/>
  <c r="M369" i="2"/>
  <c r="L369" i="2" s="1"/>
  <c r="J369" i="2"/>
  <c r="I369" i="2" s="1"/>
  <c r="G419" i="2"/>
  <c r="F419" i="2" s="1"/>
  <c r="J533" i="2"/>
  <c r="I533" i="2" s="1"/>
  <c r="M533" i="2"/>
  <c r="L533" i="2" s="1"/>
  <c r="G533" i="2"/>
  <c r="F533" i="2" s="1"/>
  <c r="M698" i="2"/>
  <c r="L698" i="2" s="1"/>
  <c r="J698" i="2"/>
  <c r="I698" i="2" s="1"/>
  <c r="G698" i="2"/>
  <c r="F698" i="2" s="1"/>
  <c r="M701" i="2"/>
  <c r="L701" i="2" s="1"/>
  <c r="G701" i="2"/>
  <c r="F701" i="2" s="1"/>
  <c r="J701" i="2"/>
  <c r="I701" i="2" s="1"/>
  <c r="G702" i="2"/>
  <c r="F702" i="2" s="1"/>
  <c r="J702" i="2"/>
  <c r="I702" i="2" s="1"/>
  <c r="M702" i="2"/>
  <c r="L702" i="2" s="1"/>
  <c r="M703" i="2"/>
  <c r="L703" i="2" s="1"/>
  <c r="G703" i="2"/>
  <c r="F703" i="2" s="1"/>
  <c r="J703" i="2"/>
  <c r="I703" i="2" s="1"/>
  <c r="G705" i="2"/>
  <c r="F705" i="2" s="1"/>
  <c r="J705" i="2"/>
  <c r="I705" i="2" s="1"/>
  <c r="M705" i="2"/>
  <c r="L705" i="2" s="1"/>
  <c r="M708" i="2"/>
  <c r="L708" i="2" s="1"/>
  <c r="G708" i="2"/>
  <c r="F708" i="2" s="1"/>
  <c r="J708" i="2"/>
  <c r="I708" i="2" s="1"/>
  <c r="J709" i="2"/>
  <c r="I709" i="2" s="1"/>
  <c r="M709" i="2"/>
  <c r="L709" i="2" s="1"/>
  <c r="G709" i="2"/>
  <c r="F709" i="2" s="1"/>
  <c r="J697" i="2"/>
  <c r="I697" i="2" s="1"/>
  <c r="M697" i="2"/>
  <c r="L697" i="2" s="1"/>
  <c r="G697" i="2"/>
  <c r="F697" i="2" s="1"/>
  <c r="G700" i="2"/>
  <c r="F700" i="2" s="1"/>
  <c r="J478" i="2"/>
  <c r="I478" i="2" s="1"/>
  <c r="G478" i="2"/>
  <c r="F478" i="2" s="1"/>
  <c r="M478" i="2"/>
  <c r="L478" i="2" s="1"/>
  <c r="G538" i="2"/>
  <c r="F538" i="2" s="1"/>
  <c r="M538" i="2"/>
  <c r="L538" i="2" s="1"/>
  <c r="J538" i="2"/>
  <c r="I538" i="2" s="1"/>
  <c r="J745" i="2"/>
  <c r="I745" i="2" s="1"/>
  <c r="G745" i="2"/>
  <c r="F745" i="2" s="1"/>
  <c r="M745" i="2"/>
  <c r="L745" i="2" s="1"/>
  <c r="G479" i="2"/>
  <c r="F479" i="2" s="1"/>
  <c r="M479" i="2"/>
  <c r="L479" i="2" s="1"/>
  <c r="J479" i="2"/>
  <c r="I479" i="2" s="1"/>
  <c r="G482" i="2"/>
  <c r="F482" i="2" s="1"/>
  <c r="M482" i="2"/>
  <c r="L482" i="2" s="1"/>
  <c r="J482" i="2"/>
  <c r="I482" i="2" s="1"/>
  <c r="G485" i="2"/>
  <c r="F485" i="2" s="1"/>
  <c r="M485" i="2"/>
  <c r="L485" i="2" s="1"/>
  <c r="J485" i="2"/>
  <c r="I485" i="2" s="1"/>
  <c r="G744" i="2"/>
  <c r="F744" i="2" s="1"/>
  <c r="J744" i="2"/>
  <c r="I744" i="2" s="1"/>
  <c r="M744" i="2"/>
  <c r="L744" i="2" s="1"/>
  <c r="M494" i="2"/>
  <c r="L494" i="2" s="1"/>
  <c r="J494" i="2"/>
  <c r="I494" i="2" s="1"/>
  <c r="M506" i="2"/>
  <c r="L506" i="2" s="1"/>
  <c r="J506" i="2"/>
  <c r="I506" i="2" s="1"/>
  <c r="G506" i="2"/>
  <c r="F506" i="2" s="1"/>
  <c r="M526" i="2"/>
  <c r="L526" i="2" s="1"/>
  <c r="G526" i="2"/>
  <c r="F526" i="2" s="1"/>
  <c r="J526" i="2"/>
  <c r="I526" i="2" s="1"/>
  <c r="G534" i="2"/>
  <c r="F534" i="2" s="1"/>
  <c r="M534" i="2"/>
  <c r="L534" i="2" s="1"/>
  <c r="J534" i="2"/>
  <c r="I534" i="2" s="1"/>
  <c r="M535" i="2"/>
  <c r="L535" i="2" s="1"/>
  <c r="J535" i="2"/>
  <c r="I535" i="2" s="1"/>
  <c r="G535" i="2"/>
  <c r="F535" i="2" s="1"/>
  <c r="M536" i="2"/>
  <c r="L536" i="2" s="1"/>
  <c r="G536" i="2"/>
  <c r="F536" i="2" s="1"/>
  <c r="J536" i="2"/>
  <c r="I536" i="2" s="1"/>
  <c r="M537" i="2"/>
  <c r="L537" i="2" s="1"/>
  <c r="J537" i="2"/>
  <c r="I537" i="2" s="1"/>
  <c r="G537" i="2"/>
  <c r="F537" i="2" s="1"/>
  <c r="M540" i="2"/>
  <c r="L540" i="2" s="1"/>
  <c r="J540" i="2"/>
  <c r="I540" i="2" s="1"/>
  <c r="G540" i="2"/>
  <c r="F540" i="2" s="1"/>
  <c r="G546" i="2"/>
  <c r="F546" i="2" s="1"/>
  <c r="M546" i="2"/>
  <c r="L546" i="2" s="1"/>
  <c r="J546" i="2"/>
  <c r="I546" i="2" s="1"/>
  <c r="G547" i="2"/>
  <c r="F547" i="2" s="1"/>
  <c r="J547" i="2"/>
  <c r="I547" i="2" s="1"/>
  <c r="M547" i="2"/>
  <c r="L547" i="2" s="1"/>
  <c r="J550" i="2"/>
  <c r="I550" i="2" s="1"/>
  <c r="G550" i="2"/>
  <c r="F550" i="2" s="1"/>
  <c r="M550" i="2"/>
  <c r="L550" i="2" s="1"/>
  <c r="G551" i="2"/>
  <c r="F551" i="2" s="1"/>
  <c r="M551" i="2"/>
  <c r="L551" i="2" s="1"/>
  <c r="J551" i="2"/>
  <c r="I551" i="2" s="1"/>
  <c r="M553" i="2"/>
  <c r="L553" i="2" s="1"/>
  <c r="J553" i="2"/>
  <c r="I553" i="2" s="1"/>
  <c r="G553" i="2"/>
  <c r="F553" i="2" s="1"/>
  <c r="M554" i="2"/>
  <c r="L554" i="2" s="1"/>
  <c r="G554" i="2"/>
  <c r="F554" i="2" s="1"/>
  <c r="J554" i="2"/>
  <c r="I554" i="2" s="1"/>
  <c r="J475" i="2"/>
  <c r="I475" i="2" s="1"/>
  <c r="M475" i="2"/>
  <c r="L475" i="2" s="1"/>
  <c r="G475" i="2"/>
  <c r="F475" i="2" s="1"/>
  <c r="M484" i="2"/>
  <c r="L484" i="2" s="1"/>
  <c r="G484" i="2"/>
  <c r="F484" i="2" s="1"/>
  <c r="J484" i="2"/>
  <c r="I484" i="2" s="1"/>
  <c r="G486" i="2"/>
  <c r="F486" i="2" s="1"/>
  <c r="M486" i="2"/>
  <c r="L486" i="2" s="1"/>
  <c r="J486" i="2"/>
  <c r="I486" i="2" s="1"/>
  <c r="M487" i="2"/>
  <c r="L487" i="2" s="1"/>
  <c r="G487" i="2"/>
  <c r="F487" i="2" s="1"/>
  <c r="J487" i="2"/>
  <c r="I487" i="2" s="1"/>
  <c r="J488" i="2"/>
  <c r="I488" i="2" s="1"/>
  <c r="G488" i="2"/>
  <c r="F488" i="2" s="1"/>
  <c r="M488" i="2"/>
  <c r="L488" i="2" s="1"/>
  <c r="M489" i="2"/>
  <c r="L489" i="2" s="1"/>
  <c r="J489" i="2"/>
  <c r="I489" i="2" s="1"/>
  <c r="G489" i="2"/>
  <c r="F489" i="2" s="1"/>
  <c r="J490" i="2"/>
  <c r="I490" i="2" s="1"/>
  <c r="M490" i="2"/>
  <c r="L490" i="2" s="1"/>
  <c r="G490" i="2"/>
  <c r="F490" i="2" s="1"/>
  <c r="J492" i="2"/>
  <c r="I492" i="2" s="1"/>
  <c r="G492" i="2"/>
  <c r="F492" i="2" s="1"/>
  <c r="M492" i="2"/>
  <c r="L492" i="2" s="1"/>
  <c r="G498" i="2"/>
  <c r="F498" i="2" s="1"/>
  <c r="J498" i="2"/>
  <c r="I498" i="2" s="1"/>
  <c r="M498" i="2"/>
  <c r="L498" i="2" s="1"/>
  <c r="G503" i="2"/>
  <c r="F503" i="2" s="1"/>
  <c r="J503" i="2"/>
  <c r="I503" i="2" s="1"/>
  <c r="M503" i="2"/>
  <c r="L503" i="2" s="1"/>
  <c r="M504" i="2"/>
  <c r="L504" i="2" s="1"/>
  <c r="G504" i="2"/>
  <c r="F504" i="2" s="1"/>
  <c r="J504" i="2"/>
  <c r="I504" i="2" s="1"/>
  <c r="J505" i="2"/>
  <c r="I505" i="2" s="1"/>
  <c r="G505" i="2"/>
  <c r="F505" i="2" s="1"/>
  <c r="M505" i="2"/>
  <c r="L505" i="2" s="1"/>
  <c r="G512" i="2"/>
  <c r="F512" i="2" s="1"/>
  <c r="J512" i="2"/>
  <c r="I512" i="2" s="1"/>
  <c r="M512" i="2"/>
  <c r="L512" i="2" s="1"/>
  <c r="M516" i="2"/>
  <c r="L516" i="2" s="1"/>
  <c r="G516" i="2"/>
  <c r="F516" i="2" s="1"/>
  <c r="J516" i="2"/>
  <c r="I516" i="2" s="1"/>
  <c r="G519" i="2"/>
  <c r="F519" i="2" s="1"/>
  <c r="J519" i="2"/>
  <c r="I519" i="2" s="1"/>
  <c r="M519" i="2"/>
  <c r="L519" i="2" s="1"/>
  <c r="G522" i="2"/>
  <c r="F522" i="2" s="1"/>
  <c r="J529" i="2"/>
  <c r="I529" i="2" s="1"/>
  <c r="G529" i="2"/>
  <c r="F529" i="2" s="1"/>
  <c r="M529" i="2"/>
  <c r="L529" i="2" s="1"/>
  <c r="J530" i="2"/>
  <c r="I530" i="2" s="1"/>
  <c r="G530" i="2"/>
  <c r="F530" i="2" s="1"/>
  <c r="M530" i="2"/>
  <c r="L530" i="2" s="1"/>
  <c r="G531" i="2"/>
  <c r="F531" i="2" s="1"/>
  <c r="M531" i="2"/>
  <c r="L531" i="2" s="1"/>
  <c r="J531" i="2"/>
  <c r="I531" i="2" s="1"/>
  <c r="M532" i="2"/>
  <c r="L532" i="2" s="1"/>
  <c r="G532" i="2"/>
  <c r="F532" i="2" s="1"/>
  <c r="J532" i="2"/>
  <c r="I532" i="2" s="1"/>
  <c r="G541" i="2"/>
  <c r="F541" i="2" s="1"/>
  <c r="M541" i="2"/>
  <c r="L541" i="2" s="1"/>
  <c r="J541" i="2"/>
  <c r="I541" i="2" s="1"/>
  <c r="M543" i="2"/>
  <c r="L543" i="2" s="1"/>
  <c r="M544" i="2"/>
  <c r="L544" i="2" s="1"/>
  <c r="G544" i="2"/>
  <c r="F544" i="2" s="1"/>
  <c r="J544" i="2"/>
  <c r="I544" i="2" s="1"/>
  <c r="M548" i="2"/>
  <c r="L548" i="2" s="1"/>
  <c r="J549" i="2"/>
  <c r="I549" i="2" s="1"/>
  <c r="G549" i="2"/>
  <c r="F549" i="2" s="1"/>
  <c r="M549" i="2"/>
  <c r="L549" i="2" s="1"/>
  <c r="G552" i="2"/>
  <c r="F552" i="2" s="1"/>
  <c r="M552" i="2"/>
  <c r="L552" i="2" s="1"/>
  <c r="J552" i="2"/>
  <c r="I552" i="2" s="1"/>
  <c r="G556" i="2"/>
  <c r="F556" i="2" s="1"/>
  <c r="J556" i="2"/>
  <c r="I556" i="2" s="1"/>
  <c r="M556" i="2"/>
  <c r="L556" i="2" s="1"/>
  <c r="J557" i="2"/>
  <c r="I557" i="2" s="1"/>
  <c r="M557" i="2"/>
  <c r="L557" i="2" s="1"/>
  <c r="G557" i="2"/>
  <c r="F557" i="2" s="1"/>
  <c r="M558" i="2"/>
  <c r="L558" i="2" s="1"/>
  <c r="G558" i="2"/>
  <c r="F558" i="2" s="1"/>
  <c r="Q71" i="2"/>
  <c r="O71" i="2"/>
  <c r="M732" i="2"/>
  <c r="L732" i="2" s="1"/>
  <c r="J732" i="2"/>
  <c r="I732" i="2" s="1"/>
  <c r="G732" i="2"/>
  <c r="F732" i="2" s="1"/>
  <c r="J737" i="2"/>
  <c r="I737" i="2" s="1"/>
  <c r="M737" i="2"/>
  <c r="L737" i="2" s="1"/>
  <c r="G737" i="2"/>
  <c r="F737" i="2" s="1"/>
  <c r="M740" i="2"/>
  <c r="L740" i="2" s="1"/>
  <c r="J740" i="2"/>
  <c r="I740" i="2" s="1"/>
  <c r="G740" i="2"/>
  <c r="F740" i="2" s="1"/>
  <c r="Q710" i="2"/>
  <c r="O710" i="2"/>
  <c r="Q349" i="2"/>
  <c r="O349" i="2"/>
  <c r="O612" i="2"/>
  <c r="Q612" i="2"/>
  <c r="Q614" i="2"/>
  <c r="O614" i="2"/>
  <c r="Q615" i="2"/>
  <c r="O615" i="2"/>
  <c r="Q622" i="2"/>
  <c r="O622" i="2"/>
  <c r="O624" i="2"/>
  <c r="Q624" i="2"/>
  <c r="O625" i="2"/>
  <c r="Q625" i="2"/>
  <c r="Q626" i="2"/>
  <c r="O626" i="2"/>
  <c r="Q620" i="2"/>
  <c r="O620" i="2"/>
  <c r="Q627" i="2"/>
  <c r="O627" i="2"/>
  <c r="Q628" i="2"/>
  <c r="O628" i="2"/>
  <c r="O629" i="2"/>
  <c r="Q629" i="2"/>
  <c r="Q631" i="2"/>
  <c r="O631" i="2"/>
  <c r="Q30" i="2"/>
  <c r="O30" i="2"/>
  <c r="Q40" i="2"/>
  <c r="O40" i="2"/>
  <c r="Q48" i="2"/>
  <c r="O48" i="2"/>
  <c r="Q58" i="2"/>
  <c r="O58" i="2"/>
  <c r="Q73" i="2"/>
  <c r="O73" i="2"/>
  <c r="Q84" i="2"/>
  <c r="O84" i="2"/>
  <c r="Q86" i="2"/>
  <c r="O86" i="2"/>
  <c r="Q89" i="2"/>
  <c r="O89" i="2"/>
  <c r="Q90" i="2"/>
  <c r="O90" i="2"/>
  <c r="Q92" i="2"/>
  <c r="O92" i="2"/>
  <c r="Q95" i="2"/>
  <c r="O95" i="2"/>
  <c r="Q105" i="2"/>
  <c r="O105" i="2"/>
  <c r="O233" i="2"/>
  <c r="Q233" i="2"/>
  <c r="O234" i="2"/>
  <c r="Q234" i="2"/>
  <c r="O235" i="2"/>
  <c r="Q235" i="2"/>
  <c r="O237" i="2"/>
  <c r="Q237" i="2"/>
  <c r="O238" i="2"/>
  <c r="Q238" i="2"/>
  <c r="Q239" i="2"/>
  <c r="O239" i="2"/>
  <c r="O267" i="2"/>
  <c r="Q267" i="2"/>
  <c r="Q268" i="2"/>
  <c r="O268" i="2"/>
  <c r="Q269" i="2"/>
  <c r="O269" i="2"/>
  <c r="O270" i="2"/>
  <c r="Q270" i="2"/>
  <c r="Q271" i="2"/>
  <c r="O271" i="2"/>
  <c r="O272" i="2"/>
  <c r="Q272" i="2"/>
  <c r="Q276" i="2"/>
  <c r="O276" i="2"/>
  <c r="Q279" i="2"/>
  <c r="O279" i="2"/>
  <c r="O283" i="2"/>
  <c r="Q283" i="2"/>
  <c r="Q285" i="2"/>
  <c r="O285" i="2"/>
  <c r="O660" i="2"/>
  <c r="Q660" i="2"/>
  <c r="Q298" i="2"/>
  <c r="O298" i="2"/>
  <c r="Q301" i="2"/>
  <c r="O301" i="2"/>
  <c r="O302" i="2"/>
  <c r="Q302" i="2"/>
  <c r="O314" i="2"/>
  <c r="Q314" i="2"/>
  <c r="Q661" i="2"/>
  <c r="O661" i="2"/>
  <c r="O374" i="2"/>
  <c r="Q374" i="2"/>
  <c r="Q405" i="2"/>
  <c r="O405" i="2"/>
  <c r="Q410" i="2"/>
  <c r="O410" i="2"/>
  <c r="Q411" i="2"/>
  <c r="O411" i="2"/>
  <c r="Q412" i="2"/>
  <c r="O412" i="2"/>
  <c r="Q415" i="2"/>
  <c r="O415" i="2"/>
  <c r="Q2" i="2"/>
  <c r="O2" i="2"/>
  <c r="O15" i="2"/>
  <c r="Q15" i="2"/>
  <c r="Q20" i="2"/>
  <c r="O20" i="2"/>
  <c r="O27" i="2"/>
  <c r="Q27" i="2"/>
  <c r="Q28" i="2"/>
  <c r="O28" i="2"/>
  <c r="Q41" i="2"/>
  <c r="O41" i="2"/>
  <c r="O56" i="2"/>
  <c r="Q56" i="2"/>
  <c r="O59" i="2"/>
  <c r="Q59" i="2"/>
  <c r="Q78" i="2"/>
  <c r="O78" i="2"/>
  <c r="O103" i="2"/>
  <c r="Q103" i="2"/>
  <c r="O104" i="2"/>
  <c r="Q104" i="2"/>
  <c r="O106" i="2"/>
  <c r="Q106" i="2"/>
  <c r="Q120" i="2"/>
  <c r="O120" i="2"/>
  <c r="O125" i="2"/>
  <c r="Q125" i="2"/>
  <c r="O131" i="2"/>
  <c r="Q131" i="2"/>
  <c r="Q132" i="2"/>
  <c r="O132" i="2"/>
  <c r="O137" i="2"/>
  <c r="Q137" i="2"/>
  <c r="Q153" i="2"/>
  <c r="O153" i="2"/>
  <c r="O164" i="2"/>
  <c r="Q164" i="2"/>
  <c r="Q166" i="2"/>
  <c r="O166" i="2"/>
  <c r="Q183" i="2"/>
  <c r="O183" i="2"/>
  <c r="Q242" i="2"/>
  <c r="O242" i="2"/>
  <c r="Q243" i="2"/>
  <c r="O243" i="2"/>
  <c r="O245" i="2"/>
  <c r="Q245" i="2"/>
  <c r="Q249" i="2"/>
  <c r="O249" i="2"/>
  <c r="Q257" i="2"/>
  <c r="O257" i="2"/>
  <c r="Q260" i="2"/>
  <c r="O260" i="2"/>
  <c r="O304" i="2"/>
  <c r="Q304" i="2"/>
  <c r="O306" i="2"/>
  <c r="Q306" i="2"/>
  <c r="Q309" i="2"/>
  <c r="O309" i="2"/>
  <c r="O311" i="2"/>
  <c r="Q311" i="2"/>
  <c r="O312" i="2"/>
  <c r="Q312" i="2"/>
  <c r="Q316" i="2"/>
  <c r="O316" i="2"/>
  <c r="O317" i="2"/>
  <c r="Q317" i="2"/>
  <c r="O318" i="2"/>
  <c r="Q318" i="2"/>
  <c r="O319" i="2"/>
  <c r="Q319" i="2"/>
  <c r="O320" i="2"/>
  <c r="Q320" i="2"/>
  <c r="O322" i="2"/>
  <c r="Q322" i="2"/>
  <c r="O325" i="2"/>
  <c r="Q325" i="2"/>
  <c r="O329" i="2"/>
  <c r="Q329" i="2"/>
  <c r="O330" i="2"/>
  <c r="Q330" i="2"/>
  <c r="Q331" i="2"/>
  <c r="O331" i="2"/>
  <c r="O332" i="2"/>
  <c r="Q332" i="2"/>
  <c r="O333" i="2"/>
  <c r="Q333" i="2"/>
  <c r="O334" i="2"/>
  <c r="Q334" i="2"/>
  <c r="O336" i="2"/>
  <c r="Q336" i="2"/>
  <c r="O337" i="2"/>
  <c r="Q337" i="2"/>
  <c r="O338" i="2"/>
  <c r="Q338" i="2"/>
  <c r="O351" i="2"/>
  <c r="Q351" i="2"/>
  <c r="O560" i="2"/>
  <c r="Q560" i="2"/>
  <c r="O561" i="2"/>
  <c r="Q561" i="2"/>
  <c r="Q562" i="2"/>
  <c r="O562" i="2"/>
  <c r="Q567" i="2"/>
  <c r="O567" i="2"/>
  <c r="Q569" i="2"/>
  <c r="O569" i="2"/>
  <c r="Q570" i="2"/>
  <c r="O570" i="2"/>
  <c r="O571" i="2"/>
  <c r="Q571" i="2"/>
  <c r="O572" i="2"/>
  <c r="Q572" i="2"/>
  <c r="O617" i="2"/>
  <c r="Q617" i="2"/>
  <c r="O224" i="2"/>
  <c r="Q224" i="2"/>
  <c r="Q230" i="2"/>
  <c r="O230" i="2"/>
  <c r="O231" i="2"/>
  <c r="Q231" i="2"/>
  <c r="O232" i="2"/>
  <c r="Q232" i="2"/>
  <c r="O236" i="2"/>
  <c r="Q236" i="2"/>
  <c r="Q240" i="2"/>
  <c r="O240" i="2"/>
  <c r="O244" i="2"/>
  <c r="Q244" i="2"/>
  <c r="Q247" i="2"/>
  <c r="O247" i="2"/>
  <c r="O248" i="2"/>
  <c r="Q248" i="2"/>
  <c r="O251" i="2"/>
  <c r="Q251" i="2"/>
  <c r="Q253" i="2"/>
  <c r="O253" i="2"/>
  <c r="O255" i="2"/>
  <c r="Q255" i="2"/>
  <c r="Q256" i="2"/>
  <c r="O256" i="2"/>
  <c r="Q262" i="2"/>
  <c r="O262" i="2"/>
  <c r="Q263" i="2"/>
  <c r="O263" i="2"/>
  <c r="O264" i="2"/>
  <c r="Q264" i="2"/>
  <c r="O265" i="2"/>
  <c r="Q265" i="2"/>
  <c r="Q266" i="2"/>
  <c r="O266" i="2"/>
  <c r="O274" i="2"/>
  <c r="Q274" i="2"/>
  <c r="O280" i="2"/>
  <c r="Q280" i="2"/>
  <c r="Q292" i="2"/>
  <c r="O292" i="2"/>
  <c r="Q646" i="2"/>
  <c r="O646" i="2"/>
  <c r="O655" i="2"/>
  <c r="Q655" i="2"/>
  <c r="O667" i="2"/>
  <c r="Q667" i="2"/>
  <c r="O673" i="2"/>
  <c r="Q673" i="2"/>
  <c r="O677" i="2"/>
  <c r="Q677" i="2"/>
  <c r="O685" i="2"/>
  <c r="Q685" i="2"/>
  <c r="Q695" i="2"/>
  <c r="O695" i="2"/>
  <c r="O299" i="2"/>
  <c r="Q299" i="2"/>
  <c r="O307" i="2"/>
  <c r="Q307" i="2"/>
  <c r="Q308" i="2"/>
  <c r="O308" i="2"/>
  <c r="O310" i="2"/>
  <c r="Q310" i="2"/>
  <c r="Q315" i="2"/>
  <c r="O315" i="2"/>
  <c r="Q321" i="2"/>
  <c r="O321" i="2"/>
  <c r="O327" i="2"/>
  <c r="Q327" i="2"/>
  <c r="O328" i="2"/>
  <c r="Q328" i="2"/>
  <c r="O339" i="2"/>
  <c r="Q339" i="2"/>
  <c r="Q340" i="2"/>
  <c r="O340" i="2"/>
  <c r="Q341" i="2"/>
  <c r="O341" i="2"/>
  <c r="O342" i="2"/>
  <c r="Q342" i="2"/>
  <c r="O344" i="2"/>
  <c r="Q344" i="2"/>
  <c r="O346" i="2"/>
  <c r="Q346" i="2"/>
  <c r="Q357" i="2"/>
  <c r="O357" i="2"/>
  <c r="Q654" i="2"/>
  <c r="O654" i="2"/>
  <c r="O664" i="2"/>
  <c r="Q664" i="2"/>
  <c r="Q669" i="2"/>
  <c r="O669" i="2"/>
  <c r="O679" i="2"/>
  <c r="Q679" i="2"/>
  <c r="O686" i="2"/>
  <c r="Q686" i="2"/>
  <c r="Q692" i="2"/>
  <c r="O692" i="2"/>
  <c r="O378" i="2"/>
  <c r="Q378" i="2"/>
  <c r="O380" i="2"/>
  <c r="Q380" i="2"/>
  <c r="O382" i="2"/>
  <c r="Q382" i="2"/>
  <c r="Q392" i="2"/>
  <c r="O392" i="2"/>
  <c r="Q393" i="2"/>
  <c r="O393" i="2"/>
  <c r="Q396" i="2"/>
  <c r="O396" i="2"/>
  <c r="Q397" i="2"/>
  <c r="O397" i="2"/>
  <c r="Q402" i="2"/>
  <c r="O402" i="2"/>
  <c r="Q427" i="2"/>
  <c r="O427" i="2"/>
  <c r="Q428" i="2"/>
  <c r="O428" i="2"/>
  <c r="O435" i="2"/>
  <c r="Q435" i="2"/>
  <c r="O436" i="2"/>
  <c r="Q436" i="2"/>
  <c r="O439" i="2"/>
  <c r="Q439" i="2"/>
  <c r="O440" i="2"/>
  <c r="Q440" i="2"/>
  <c r="Q441" i="2"/>
  <c r="O441" i="2"/>
  <c r="O445" i="2"/>
  <c r="Q445" i="2"/>
  <c r="Q453" i="2"/>
  <c r="O453" i="2"/>
  <c r="O456" i="2"/>
  <c r="Q456" i="2"/>
  <c r="O653" i="2"/>
  <c r="Q653" i="2"/>
  <c r="O662" i="2"/>
  <c r="Q662" i="2"/>
  <c r="O670" i="2"/>
  <c r="Q670" i="2"/>
  <c r="Q674" i="2"/>
  <c r="O674" i="2"/>
  <c r="O458" i="2"/>
  <c r="Q458" i="2"/>
  <c r="Q459" i="2"/>
  <c r="O459" i="2"/>
  <c r="Q460" i="2"/>
  <c r="O460" i="2"/>
  <c r="Q465" i="2"/>
  <c r="O465" i="2"/>
  <c r="Q466" i="2"/>
  <c r="O466" i="2"/>
  <c r="Q468" i="2"/>
  <c r="O468" i="2"/>
  <c r="O469" i="2"/>
  <c r="Q469" i="2"/>
  <c r="O470" i="2"/>
  <c r="Q470" i="2"/>
  <c r="O471" i="2"/>
  <c r="Q471" i="2"/>
  <c r="Q575" i="2"/>
  <c r="O575" i="2"/>
  <c r="O576" i="2"/>
  <c r="Q576" i="2"/>
  <c r="Q577" i="2"/>
  <c r="O577" i="2"/>
  <c r="O580" i="2"/>
  <c r="Q580" i="2"/>
  <c r="O581" i="2"/>
  <c r="Q581" i="2"/>
  <c r="Q582" i="2"/>
  <c r="O582" i="2"/>
  <c r="O585" i="2"/>
  <c r="Q585" i="2"/>
  <c r="Q586" i="2"/>
  <c r="O586" i="2"/>
  <c r="O588" i="2"/>
  <c r="Q588" i="2"/>
  <c r="Q589" i="2"/>
  <c r="O589" i="2"/>
  <c r="Q591" i="2"/>
  <c r="O591" i="2"/>
  <c r="Q592" i="2"/>
  <c r="O592" i="2"/>
  <c r="O598" i="2"/>
  <c r="Q598" i="2"/>
  <c r="Q599" i="2"/>
  <c r="O599" i="2"/>
  <c r="O605" i="2"/>
  <c r="Q605" i="2"/>
  <c r="O608" i="2"/>
  <c r="Q608" i="2"/>
  <c r="O609" i="2"/>
  <c r="Q609" i="2"/>
  <c r="O610" i="2"/>
  <c r="Q610" i="2"/>
  <c r="O611" i="2"/>
  <c r="Q611" i="2"/>
  <c r="O633" i="2"/>
  <c r="Q633" i="2"/>
  <c r="O636" i="2"/>
  <c r="Q636" i="2"/>
  <c r="O648" i="2"/>
  <c r="Q648" i="2"/>
  <c r="O663" i="2"/>
  <c r="Q663" i="2"/>
  <c r="O672" i="2"/>
  <c r="Q672" i="2"/>
  <c r="Q676" i="2"/>
  <c r="O676" i="2"/>
  <c r="Q3" i="2"/>
  <c r="O3" i="2"/>
  <c r="Q96" i="2"/>
  <c r="O96" i="2"/>
  <c r="Q100" i="2"/>
  <c r="O100" i="2"/>
  <c r="Q110" i="2"/>
  <c r="O110" i="2"/>
  <c r="Q136" i="2"/>
  <c r="O136" i="2"/>
  <c r="Q143" i="2"/>
  <c r="O143" i="2"/>
  <c r="Q162" i="2"/>
  <c r="O162" i="2"/>
  <c r="Q163" i="2"/>
  <c r="O163" i="2"/>
  <c r="Q177" i="2"/>
  <c r="O177" i="2"/>
  <c r="Q178" i="2"/>
  <c r="O178" i="2"/>
  <c r="Q191" i="2"/>
  <c r="O191" i="2"/>
  <c r="Q196" i="2"/>
  <c r="O196" i="2"/>
  <c r="Q199" i="2"/>
  <c r="O199" i="2"/>
  <c r="Q201" i="2"/>
  <c r="O201" i="2"/>
  <c r="Q204" i="2"/>
  <c r="O204" i="2"/>
  <c r="Q291" i="2"/>
  <c r="O291" i="2"/>
  <c r="Q370" i="2"/>
  <c r="O370" i="2"/>
  <c r="Q373" i="2"/>
  <c r="O373" i="2"/>
  <c r="Q647" i="2"/>
  <c r="O647" i="2"/>
  <c r="Q657" i="2"/>
  <c r="O657" i="2"/>
  <c r="O666" i="2"/>
  <c r="Q666" i="2"/>
  <c r="O671" i="2"/>
  <c r="Q671" i="2"/>
  <c r="Q675" i="2"/>
  <c r="O675" i="2"/>
  <c r="Q680" i="2"/>
  <c r="O680" i="2"/>
  <c r="O688" i="2"/>
  <c r="Q688" i="2"/>
  <c r="O694" i="2"/>
  <c r="Q694" i="2"/>
  <c r="O213" i="2"/>
  <c r="Q213" i="2"/>
  <c r="Q220" i="2"/>
  <c r="O220" i="2"/>
  <c r="Q222" i="2"/>
  <c r="O222" i="2"/>
  <c r="O223" i="2"/>
  <c r="Q223" i="2"/>
  <c r="Q345" i="2"/>
  <c r="O345" i="2"/>
  <c r="Q372" i="2"/>
  <c r="O372" i="2"/>
  <c r="O643" i="2"/>
  <c r="Q643" i="2"/>
  <c r="O649" i="2"/>
  <c r="Q649" i="2"/>
  <c r="O391" i="2"/>
  <c r="Q391" i="2"/>
  <c r="Q423" i="2"/>
  <c r="O423" i="2"/>
  <c r="Q424" i="2"/>
  <c r="O424" i="2"/>
  <c r="Q425" i="2"/>
  <c r="O425" i="2"/>
  <c r="Q444" i="2"/>
  <c r="O444" i="2"/>
  <c r="Q446" i="2"/>
  <c r="O446" i="2"/>
  <c r="Q447" i="2"/>
  <c r="O447" i="2"/>
  <c r="Q448" i="2"/>
  <c r="O448" i="2"/>
  <c r="Q451" i="2"/>
  <c r="O451" i="2"/>
  <c r="Q452" i="2"/>
  <c r="O452" i="2"/>
  <c r="Q455" i="2"/>
  <c r="O455" i="2"/>
  <c r="Q645" i="2"/>
  <c r="O645" i="2"/>
  <c r="O678" i="2"/>
  <c r="Q678" i="2"/>
  <c r="O684" i="2"/>
  <c r="Q684" i="2"/>
  <c r="O690" i="2"/>
  <c r="Q690" i="2"/>
  <c r="Q696" i="2"/>
  <c r="O696" i="2"/>
  <c r="O462" i="2"/>
  <c r="Q462" i="2"/>
  <c r="Q565" i="2"/>
  <c r="O565" i="2"/>
  <c r="O566" i="2"/>
  <c r="Q566" i="2"/>
  <c r="O578" i="2"/>
  <c r="Q578" i="2"/>
  <c r="Q579" i="2"/>
  <c r="O579" i="2"/>
  <c r="O584" i="2"/>
  <c r="Q584" i="2"/>
  <c r="O593" i="2"/>
  <c r="Q593" i="2"/>
  <c r="O600" i="2"/>
  <c r="Q600" i="2"/>
  <c r="O602" i="2"/>
  <c r="Q602" i="2"/>
  <c r="Q606" i="2"/>
  <c r="O606" i="2"/>
  <c r="O634" i="2"/>
  <c r="Q634" i="2"/>
  <c r="O635" i="2"/>
  <c r="Q635" i="2"/>
  <c r="Q637" i="2"/>
  <c r="O637" i="2"/>
  <c r="Q639" i="2"/>
  <c r="O639" i="2"/>
  <c r="O640" i="2"/>
  <c r="Q640" i="2"/>
  <c r="O641" i="2"/>
  <c r="Q641" i="2"/>
  <c r="Q644" i="2"/>
  <c r="O644" i="2"/>
  <c r="O650" i="2"/>
  <c r="Q650" i="2"/>
  <c r="O656" i="2"/>
  <c r="Q656" i="2"/>
  <c r="O668" i="2"/>
  <c r="Q668" i="2"/>
  <c r="Q681" i="2"/>
  <c r="O681" i="2"/>
  <c r="Q689" i="2"/>
  <c r="O689" i="2"/>
  <c r="Q693" i="2"/>
  <c r="O693" i="2"/>
  <c r="O518" i="2"/>
  <c r="Q518" i="2"/>
  <c r="O493" i="2"/>
  <c r="Q493" i="2"/>
  <c r="O691" i="2"/>
  <c r="Q691" i="2"/>
  <c r="Q687" i="2"/>
  <c r="O687" i="2"/>
  <c r="O683" i="2"/>
  <c r="Q683" i="2"/>
  <c r="O408" i="2"/>
  <c r="Q408" i="2"/>
  <c r="Q205" i="2"/>
  <c r="O205" i="2"/>
  <c r="Q209" i="2"/>
  <c r="O209" i="2"/>
  <c r="O250" i="2"/>
  <c r="Q250" i="2"/>
  <c r="O259" i="2"/>
  <c r="Q259" i="2"/>
  <c r="O261" i="2"/>
  <c r="Q261" i="2"/>
  <c r="O297" i="2"/>
  <c r="Q297" i="2"/>
  <c r="Q682" i="2"/>
  <c r="O682" i="2"/>
  <c r="O517" i="2"/>
  <c r="Q517" i="2"/>
  <c r="Q167" i="2"/>
  <c r="O167" i="2"/>
  <c r="Q175" i="2"/>
  <c r="O175" i="2"/>
  <c r="Q188" i="2"/>
  <c r="O188" i="2"/>
  <c r="Q203" i="2"/>
  <c r="O203" i="2"/>
  <c r="O574" i="2"/>
  <c r="Q574" i="2"/>
  <c r="Q474" i="2"/>
  <c r="O474" i="2"/>
  <c r="Q616" i="2"/>
  <c r="O616" i="2"/>
  <c r="O116" i="2"/>
  <c r="Q116" i="2"/>
  <c r="Q51" i="2"/>
  <c r="O51" i="2"/>
  <c r="Q52" i="2"/>
  <c r="O52" i="2"/>
  <c r="Q83" i="2"/>
  <c r="O83" i="2"/>
  <c r="Q659" i="2"/>
  <c r="O659" i="2"/>
  <c r="Q241" i="2"/>
  <c r="O241" i="2"/>
  <c r="O296" i="2"/>
  <c r="Q296" i="2"/>
  <c r="O511" i="2"/>
  <c r="Q511" i="2"/>
  <c r="O497" i="2"/>
  <c r="Q497" i="2"/>
  <c r="Q429" i="2"/>
  <c r="O429" i="2"/>
  <c r="O502" i="2"/>
  <c r="Q502" i="2"/>
  <c r="O480" i="2"/>
  <c r="Q480" i="2"/>
  <c r="O491" i="2"/>
  <c r="Q491" i="2"/>
  <c r="Q524" i="2"/>
  <c r="O524" i="2"/>
  <c r="O496" i="2"/>
  <c r="Q496" i="2"/>
  <c r="O500" i="2"/>
  <c r="Q500" i="2"/>
  <c r="O514" i="2"/>
  <c r="Q514" i="2"/>
  <c r="O515" i="2"/>
  <c r="Q515" i="2"/>
  <c r="Q395" i="2"/>
  <c r="O395" i="2"/>
  <c r="Q403" i="2"/>
  <c r="O403" i="2"/>
  <c r="Q76" i="2"/>
  <c r="O76" i="2"/>
  <c r="O741" i="2"/>
  <c r="Q741" i="2"/>
  <c r="O79" i="2"/>
  <c r="Q79" i="2"/>
  <c r="O499" i="2"/>
  <c r="Q499" i="2"/>
  <c r="Q278" i="2"/>
  <c r="O278" i="2"/>
  <c r="Q282" i="2"/>
  <c r="O282" i="2"/>
  <c r="Q619" i="2"/>
  <c r="O619" i="2"/>
  <c r="Q623" i="2"/>
  <c r="O623" i="2"/>
  <c r="Q618" i="2"/>
  <c r="O618" i="2"/>
  <c r="O630" i="2"/>
  <c r="Q630" i="2"/>
  <c r="Q638" i="2"/>
  <c r="O638" i="2"/>
  <c r="Q632" i="2"/>
  <c r="O632" i="2"/>
  <c r="Q699" i="2"/>
  <c r="O699" i="2"/>
  <c r="Q704" i="2"/>
  <c r="O704" i="2"/>
  <c r="Q706" i="2"/>
  <c r="O706" i="2"/>
  <c r="Q711" i="2"/>
  <c r="O711" i="2"/>
  <c r="Q61" i="2"/>
  <c r="O61" i="2"/>
  <c r="Q64" i="2"/>
  <c r="O64" i="2"/>
  <c r="Q528" i="2"/>
  <c r="O528" i="2"/>
  <c r="O495" i="2"/>
  <c r="Q495" i="2"/>
  <c r="O507" i="2"/>
  <c r="Q507" i="2"/>
  <c r="Q290" i="2"/>
  <c r="O290" i="2"/>
  <c r="O300" i="2"/>
  <c r="Q300" i="2"/>
  <c r="O324" i="2"/>
  <c r="Q324" i="2"/>
  <c r="Q323" i="2"/>
  <c r="O323" i="2"/>
  <c r="O305" i="2"/>
  <c r="Q305" i="2"/>
  <c r="O303" i="2"/>
  <c r="Q303" i="2"/>
  <c r="Q665" i="2"/>
  <c r="O665" i="2"/>
  <c r="Q651" i="2"/>
  <c r="O651" i="2"/>
  <c r="O652" i="2"/>
  <c r="Q652" i="2"/>
  <c r="Q739" i="2"/>
  <c r="O739" i="2"/>
  <c r="O277" i="2"/>
  <c r="Q277" i="2"/>
  <c r="Q44" i="2"/>
  <c r="O44" i="2"/>
  <c r="Q368" i="2"/>
  <c r="O368" i="2"/>
  <c r="Q123" i="2"/>
  <c r="O123" i="2"/>
  <c r="Q142" i="2"/>
  <c r="O142" i="2"/>
  <c r="Q358" i="2"/>
  <c r="O358" i="2"/>
  <c r="Q621" i="2"/>
  <c r="O621" i="2"/>
  <c r="Q642" i="2"/>
  <c r="O642" i="2"/>
  <c r="Q63" i="2"/>
  <c r="O63" i="2"/>
  <c r="Q181" i="2"/>
  <c r="O181" i="2"/>
  <c r="Q202" i="2"/>
  <c r="O202" i="2"/>
  <c r="Q221" i="2"/>
  <c r="O221" i="2"/>
  <c r="Q343" i="2"/>
  <c r="O343" i="2"/>
  <c r="Q347" i="2"/>
  <c r="O347" i="2"/>
  <c r="Q252" i="2"/>
  <c r="O252" i="2"/>
  <c r="Q273" i="2"/>
  <c r="O273" i="2"/>
  <c r="Q275" i="2"/>
  <c r="O275" i="2"/>
  <c r="Q281" i="2"/>
  <c r="O281" i="2"/>
  <c r="Q284" i="2"/>
  <c r="O284" i="2"/>
  <c r="Q286" i="2"/>
  <c r="O286" i="2"/>
  <c r="Q287" i="2"/>
  <c r="O287" i="2"/>
  <c r="Q288" i="2"/>
  <c r="O288" i="2"/>
  <c r="Q289" i="2"/>
  <c r="O289" i="2"/>
  <c r="Q293" i="2"/>
  <c r="O293" i="2"/>
  <c r="Q294" i="2"/>
  <c r="O294" i="2"/>
  <c r="Q295" i="2"/>
  <c r="O295" i="2"/>
  <c r="Q335" i="2"/>
  <c r="O335" i="2"/>
  <c r="Q390" i="2"/>
  <c r="O390" i="2"/>
  <c r="Q461" i="2"/>
  <c r="O461" i="2"/>
  <c r="Q463" i="2"/>
  <c r="O463" i="2"/>
  <c r="Q464" i="2"/>
  <c r="O464" i="2"/>
  <c r="Q467" i="2"/>
  <c r="O467" i="2"/>
  <c r="Q472" i="2"/>
  <c r="O472" i="2"/>
  <c r="Q473" i="2"/>
  <c r="O473" i="2"/>
  <c r="Q476" i="2"/>
  <c r="O476" i="2"/>
  <c r="Q477" i="2"/>
  <c r="O477" i="2"/>
  <c r="Q481" i="2"/>
  <c r="O481" i="2"/>
  <c r="Q483" i="2"/>
  <c r="O483" i="2"/>
  <c r="Q583" i="2"/>
  <c r="O583" i="2"/>
  <c r="Q587" i="2"/>
  <c r="O587" i="2"/>
  <c r="Q590" i="2"/>
  <c r="O590" i="2"/>
  <c r="Q594" i="2"/>
  <c r="O594" i="2"/>
  <c r="Q595" i="2"/>
  <c r="O595" i="2"/>
  <c r="Q596" i="2"/>
  <c r="O596" i="2"/>
  <c r="Q597" i="2"/>
  <c r="O597" i="2"/>
  <c r="Q601" i="2"/>
  <c r="O601" i="2"/>
  <c r="Q603" i="2"/>
  <c r="O603" i="2"/>
  <c r="Q604" i="2"/>
  <c r="O604" i="2"/>
  <c r="Q607" i="2"/>
  <c r="O607" i="2"/>
  <c r="O109" i="2"/>
  <c r="Q109" i="2"/>
  <c r="O119" i="2"/>
  <c r="Q119" i="2"/>
  <c r="Q246" i="2"/>
  <c r="O246" i="2"/>
  <c r="Q254" i="2"/>
  <c r="O254" i="2"/>
  <c r="Q258" i="2"/>
  <c r="O258" i="2"/>
  <c r="Q313" i="2"/>
  <c r="O313" i="2"/>
  <c r="O326" i="2"/>
  <c r="Q326" i="2"/>
  <c r="Q377" i="2"/>
  <c r="O377" i="2"/>
  <c r="Q509" i="2"/>
  <c r="O509" i="2"/>
  <c r="Q510" i="2"/>
  <c r="O510" i="2"/>
  <c r="Q513" i="2"/>
  <c r="O513" i="2"/>
  <c r="Q520" i="2"/>
  <c r="O520" i="2"/>
  <c r="Q521" i="2"/>
  <c r="O521" i="2"/>
  <c r="Q525" i="2"/>
  <c r="O525" i="2"/>
  <c r="Q545" i="2"/>
  <c r="O545" i="2"/>
  <c r="Q559" i="2"/>
  <c r="O559" i="2"/>
  <c r="Q563" i="2"/>
  <c r="O563" i="2"/>
  <c r="Q564" i="2"/>
  <c r="O564" i="2"/>
  <c r="Q568" i="2"/>
  <c r="O568" i="2"/>
  <c r="Q573" i="2"/>
  <c r="O573" i="2"/>
  <c r="O658" i="2"/>
  <c r="Q658" i="2"/>
  <c r="Q226" i="2"/>
  <c r="O226" i="2"/>
  <c r="Q34" i="2"/>
  <c r="O34" i="2"/>
  <c r="Q35" i="2"/>
  <c r="O35" i="2"/>
  <c r="Q207" i="2"/>
  <c r="O207" i="2"/>
  <c r="Q406" i="2"/>
  <c r="O406" i="2"/>
  <c r="Q454" i="2"/>
  <c r="O454" i="2"/>
  <c r="N746" i="2"/>
  <c r="P5" i="2"/>
  <c r="P6" i="2"/>
  <c r="P7" i="2"/>
  <c r="P10" i="2"/>
  <c r="P11" i="2"/>
  <c r="P13" i="2"/>
  <c r="P14" i="2"/>
  <c r="P17" i="2"/>
  <c r="P21" i="2"/>
  <c r="P22" i="2"/>
  <c r="P24" i="2"/>
  <c r="P26" i="2"/>
  <c r="P29" i="2"/>
  <c r="P31" i="2"/>
  <c r="P32" i="2"/>
  <c r="P33" i="2"/>
  <c r="P36" i="2"/>
  <c r="P38" i="2"/>
  <c r="P43" i="2"/>
  <c r="P45" i="2"/>
  <c r="P49" i="2"/>
  <c r="P50" i="2"/>
  <c r="P54" i="2"/>
  <c r="P60" i="2"/>
  <c r="P65" i="2"/>
  <c r="P66" i="2"/>
  <c r="P69" i="2"/>
  <c r="P70" i="2"/>
  <c r="P74" i="2"/>
  <c r="P75" i="2"/>
  <c r="P77" i="2"/>
  <c r="P81" i="2"/>
  <c r="P82" i="2"/>
  <c r="P85" i="2"/>
  <c r="P87" i="2"/>
  <c r="P88" i="2"/>
  <c r="P91" i="2"/>
  <c r="P93" i="2"/>
  <c r="P94" i="2"/>
  <c r="P97" i="2"/>
  <c r="P98" i="2"/>
  <c r="P101" i="2"/>
  <c r="P108" i="2"/>
  <c r="P111" i="2"/>
  <c r="P113" i="2"/>
  <c r="P114" i="2"/>
  <c r="P115" i="2"/>
  <c r="P117" i="2"/>
  <c r="P118" i="2"/>
  <c r="P121" i="2"/>
  <c r="P126" i="2"/>
  <c r="P127" i="2"/>
  <c r="P128" i="2"/>
  <c r="P129" i="2"/>
  <c r="P130" i="2"/>
  <c r="P134" i="2"/>
  <c r="P135" i="2"/>
  <c r="P138" i="2"/>
  <c r="P141" i="2"/>
  <c r="P144" i="2"/>
  <c r="P145" i="2"/>
  <c r="P146" i="2"/>
  <c r="P148" i="2"/>
  <c r="P149" i="2"/>
  <c r="P150" i="2"/>
  <c r="P151" i="2"/>
  <c r="P152" i="2"/>
  <c r="P154" i="2"/>
  <c r="P155" i="2"/>
  <c r="P159" i="2"/>
  <c r="P160" i="2"/>
  <c r="P161" i="2"/>
  <c r="P168" i="2"/>
  <c r="P169" i="2"/>
  <c r="P170" i="2"/>
  <c r="P172" i="2"/>
  <c r="P173" i="2"/>
  <c r="P174" i="2"/>
  <c r="P176" i="2"/>
  <c r="P180" i="2"/>
  <c r="P182" i="2"/>
  <c r="P184" i="2"/>
  <c r="P185" i="2"/>
  <c r="P186" i="2"/>
  <c r="P189" i="2"/>
  <c r="P190" i="2"/>
  <c r="P192" i="2"/>
  <c r="P195" i="2"/>
  <c r="P198" i="2"/>
  <c r="P200" i="2"/>
  <c r="P206" i="2"/>
  <c r="P208" i="2"/>
  <c r="P210" i="2"/>
  <c r="P211" i="2"/>
  <c r="P212" i="2"/>
  <c r="P214" i="2"/>
  <c r="P215" i="2"/>
  <c r="P216" i="2"/>
  <c r="P218" i="2"/>
  <c r="P219" i="2"/>
  <c r="P225" i="2"/>
  <c r="P227" i="2"/>
  <c r="P228" i="2"/>
  <c r="P229" i="2"/>
  <c r="P348" i="2"/>
  <c r="P350" i="2"/>
  <c r="P353" i="2"/>
  <c r="P354" i="2"/>
  <c r="P359" i="2"/>
  <c r="P360" i="2"/>
  <c r="P361" i="2"/>
  <c r="P362" i="2"/>
  <c r="P363" i="2"/>
  <c r="P365" i="2"/>
  <c r="P366" i="2"/>
  <c r="P375" i="2"/>
  <c r="P376" i="2"/>
  <c r="P379" i="2"/>
  <c r="P383" i="2"/>
  <c r="P384" i="2"/>
  <c r="P388" i="2"/>
  <c r="P389" i="2"/>
  <c r="P394" i="2"/>
  <c r="P398" i="2"/>
  <c r="P404" i="2"/>
  <c r="P407" i="2"/>
  <c r="P409" i="2"/>
  <c r="P413" i="2"/>
  <c r="P414" i="2"/>
  <c r="P416" i="2"/>
  <c r="P417" i="2"/>
  <c r="P420" i="2"/>
  <c r="P422" i="2"/>
  <c r="P426" i="2"/>
  <c r="P430" i="2"/>
  <c r="P431" i="2"/>
  <c r="P432" i="2"/>
  <c r="P438" i="2"/>
  <c r="P443" i="2"/>
  <c r="P449" i="2"/>
  <c r="P457" i="2"/>
  <c r="P716" i="2"/>
  <c r="P720" i="2"/>
  <c r="P721" i="2"/>
  <c r="P722" i="2"/>
  <c r="P725" i="2"/>
  <c r="P731" i="2"/>
  <c r="P735" i="2"/>
  <c r="P743" i="2"/>
  <c r="Q4" i="2"/>
  <c r="O4" i="2"/>
  <c r="Q8" i="2"/>
  <c r="O8" i="2"/>
  <c r="Q9" i="2"/>
  <c r="O9" i="2"/>
  <c r="Q12" i="2"/>
  <c r="O12" i="2"/>
  <c r="Q16" i="2"/>
  <c r="O16" i="2"/>
  <c r="Q18" i="2"/>
  <c r="O18" i="2"/>
  <c r="Q19" i="2"/>
  <c r="O19" i="2"/>
  <c r="Q23" i="2"/>
  <c r="O23" i="2"/>
  <c r="Q25" i="2"/>
  <c r="O25" i="2"/>
  <c r="Q37" i="2"/>
  <c r="O37" i="2"/>
  <c r="Q39" i="2"/>
  <c r="O39" i="2"/>
  <c r="Q42" i="2"/>
  <c r="O42" i="2"/>
  <c r="Q46" i="2"/>
  <c r="O46" i="2"/>
  <c r="Q47" i="2"/>
  <c r="O47" i="2"/>
  <c r="Q53" i="2"/>
  <c r="O53" i="2"/>
  <c r="Q55" i="2"/>
  <c r="O55" i="2"/>
  <c r="Q57" i="2"/>
  <c r="O57" i="2"/>
  <c r="Q62" i="2"/>
  <c r="O62" i="2"/>
  <c r="Q67" i="2"/>
  <c r="O67" i="2"/>
  <c r="Q68" i="2"/>
  <c r="O68" i="2"/>
  <c r="Q72" i="2"/>
  <c r="O72" i="2"/>
  <c r="Q80" i="2"/>
  <c r="O80" i="2"/>
  <c r="Q99" i="2"/>
  <c r="O99" i="2"/>
  <c r="Q102" i="2"/>
  <c r="O102" i="2"/>
  <c r="Q107" i="2"/>
  <c r="O107" i="2"/>
  <c r="Q112" i="2"/>
  <c r="O112" i="2"/>
  <c r="Q133" i="2"/>
  <c r="O133" i="2"/>
  <c r="Q139" i="2"/>
  <c r="O139" i="2"/>
  <c r="Q140" i="2"/>
  <c r="O140" i="2"/>
  <c r="Q147" i="2"/>
  <c r="O147" i="2"/>
  <c r="Q156" i="2"/>
  <c r="O156" i="2"/>
  <c r="Q157" i="2"/>
  <c r="O157" i="2"/>
  <c r="Q158" i="2"/>
  <c r="O158" i="2"/>
  <c r="Q165" i="2"/>
  <c r="O165" i="2"/>
  <c r="Q171" i="2"/>
  <c r="O171" i="2"/>
  <c r="Q179" i="2"/>
  <c r="O179" i="2"/>
  <c r="Q187" i="2"/>
  <c r="O187" i="2"/>
  <c r="Q193" i="2"/>
  <c r="O193" i="2"/>
  <c r="Q194" i="2"/>
  <c r="O194" i="2"/>
  <c r="Q197" i="2"/>
  <c r="O197" i="2"/>
  <c r="Q217" i="2"/>
  <c r="O217" i="2"/>
  <c r="Q355" i="2"/>
  <c r="O355" i="2"/>
  <c r="Q364" i="2"/>
  <c r="O364" i="2"/>
  <c r="Q381" i="2"/>
  <c r="O381" i="2"/>
  <c r="Q385" i="2"/>
  <c r="O385" i="2"/>
  <c r="Q386" i="2"/>
  <c r="O386" i="2"/>
  <c r="Q387" i="2"/>
  <c r="O387" i="2"/>
  <c r="Q399" i="2"/>
  <c r="O399" i="2"/>
  <c r="Q400" i="2"/>
  <c r="O400" i="2"/>
  <c r="Q401" i="2"/>
  <c r="O401" i="2"/>
  <c r="Q418" i="2"/>
  <c r="O418" i="2"/>
  <c r="Q433" i="2"/>
  <c r="O433" i="2"/>
  <c r="Q434" i="2"/>
  <c r="O434" i="2"/>
  <c r="Q437" i="2"/>
  <c r="O437" i="2"/>
  <c r="Q442" i="2"/>
  <c r="O442" i="2"/>
  <c r="Q450" i="2"/>
  <c r="O450" i="2"/>
  <c r="Q712" i="2"/>
  <c r="O712" i="2"/>
  <c r="Q713" i="2"/>
  <c r="O713" i="2"/>
  <c r="Q717" i="2"/>
  <c r="O717" i="2"/>
  <c r="Q728" i="2"/>
  <c r="O728" i="2"/>
  <c r="Q730" i="2"/>
  <c r="O730" i="2"/>
  <c r="Q738" i="2"/>
  <c r="O738" i="2"/>
  <c r="G674" i="3" l="1"/>
  <c r="F674" i="3" s="1"/>
  <c r="J674" i="3"/>
  <c r="I674" i="3" s="1"/>
  <c r="M674" i="3"/>
  <c r="L674" i="3" s="1"/>
  <c r="G663" i="3"/>
  <c r="F663" i="3" s="1"/>
  <c r="J663" i="3"/>
  <c r="I663" i="3" s="1"/>
  <c r="M663" i="3"/>
  <c r="L663" i="3" s="1"/>
  <c r="G634" i="3"/>
  <c r="F634" i="3" s="1"/>
  <c r="M634" i="3"/>
  <c r="L634" i="3" s="1"/>
  <c r="J634" i="3"/>
  <c r="I634" i="3" s="1"/>
  <c r="M621" i="3"/>
  <c r="L621" i="3" s="1"/>
  <c r="J621" i="3"/>
  <c r="I621" i="3" s="1"/>
  <c r="G621" i="3"/>
  <c r="F621" i="3" s="1"/>
  <c r="G603" i="3"/>
  <c r="F603" i="3" s="1"/>
  <c r="M603" i="3"/>
  <c r="L603" i="3" s="1"/>
  <c r="J603" i="3"/>
  <c r="I603" i="3" s="1"/>
  <c r="M602" i="3"/>
  <c r="L602" i="3" s="1"/>
  <c r="G602" i="3"/>
  <c r="F602" i="3" s="1"/>
  <c r="J602" i="3"/>
  <c r="I602" i="3" s="1"/>
  <c r="M589" i="3"/>
  <c r="L589" i="3" s="1"/>
  <c r="J589" i="3"/>
  <c r="I589" i="3" s="1"/>
  <c r="G589" i="3"/>
  <c r="F589" i="3" s="1"/>
  <c r="M576" i="3"/>
  <c r="L576" i="3" s="1"/>
  <c r="J576" i="3"/>
  <c r="I576" i="3" s="1"/>
  <c r="G576" i="3"/>
  <c r="F576" i="3" s="1"/>
  <c r="M543" i="3"/>
  <c r="L543" i="3" s="1"/>
  <c r="J543" i="3"/>
  <c r="I543" i="3" s="1"/>
  <c r="G543" i="3"/>
  <c r="F543" i="3" s="1"/>
  <c r="M500" i="3"/>
  <c r="L500" i="3" s="1"/>
  <c r="J500" i="3"/>
  <c r="I500" i="3" s="1"/>
  <c r="G500" i="3"/>
  <c r="F500" i="3" s="1"/>
  <c r="G675" i="3"/>
  <c r="F675" i="3" s="1"/>
  <c r="J675" i="3"/>
  <c r="I675" i="3" s="1"/>
  <c r="M675" i="3"/>
  <c r="L675" i="3" s="1"/>
  <c r="G669" i="3"/>
  <c r="F669" i="3" s="1"/>
  <c r="M669" i="3"/>
  <c r="L669" i="3" s="1"/>
  <c r="J669" i="3"/>
  <c r="I669" i="3" s="1"/>
  <c r="J667" i="3"/>
  <c r="I667" i="3" s="1"/>
  <c r="M667" i="3"/>
  <c r="L667" i="3" s="1"/>
  <c r="G667" i="3"/>
  <c r="F667" i="3" s="1"/>
  <c r="G659" i="3"/>
  <c r="F659" i="3" s="1"/>
  <c r="J659" i="3"/>
  <c r="I659" i="3" s="1"/>
  <c r="M659" i="3"/>
  <c r="L659" i="3" s="1"/>
  <c r="M651" i="3"/>
  <c r="L651" i="3" s="1"/>
  <c r="J651" i="3"/>
  <c r="I651" i="3" s="1"/>
  <c r="G651" i="3"/>
  <c r="F651" i="3" s="1"/>
  <c r="J649" i="3"/>
  <c r="I649" i="3" s="1"/>
  <c r="M649" i="3"/>
  <c r="L649" i="3" s="1"/>
  <c r="G649" i="3"/>
  <c r="F649" i="3" s="1"/>
  <c r="G646" i="3"/>
  <c r="F646" i="3" s="1"/>
  <c r="M646" i="3"/>
  <c r="L646" i="3" s="1"/>
  <c r="J646" i="3"/>
  <c r="I646" i="3" s="1"/>
  <c r="M637" i="3"/>
  <c r="L637" i="3" s="1"/>
  <c r="J637" i="3"/>
  <c r="I637" i="3" s="1"/>
  <c r="G637" i="3"/>
  <c r="F637" i="3" s="1"/>
  <c r="M614" i="3"/>
  <c r="L614" i="3" s="1"/>
  <c r="J614" i="3"/>
  <c r="I614" i="3" s="1"/>
  <c r="G614" i="3"/>
  <c r="F614" i="3" s="1"/>
  <c r="J604" i="3"/>
  <c r="I604" i="3" s="1"/>
  <c r="G604" i="3"/>
  <c r="F604" i="3" s="1"/>
  <c r="M604" i="3"/>
  <c r="L604" i="3" s="1"/>
  <c r="G590" i="3"/>
  <c r="F590" i="3" s="1"/>
  <c r="J590" i="3"/>
  <c r="I590" i="3" s="1"/>
  <c r="M590" i="3"/>
  <c r="L590" i="3" s="1"/>
  <c r="J588" i="3"/>
  <c r="I588" i="3" s="1"/>
  <c r="M588" i="3"/>
  <c r="L588" i="3" s="1"/>
  <c r="G588" i="3"/>
  <c r="F588" i="3" s="1"/>
  <c r="J566" i="3"/>
  <c r="I566" i="3" s="1"/>
  <c r="G566" i="3"/>
  <c r="F566" i="3" s="1"/>
  <c r="M566" i="3"/>
  <c r="L566" i="3" s="1"/>
  <c r="G564" i="3"/>
  <c r="F564" i="3" s="1"/>
  <c r="J564" i="3"/>
  <c r="I564" i="3" s="1"/>
  <c r="M564" i="3"/>
  <c r="L564" i="3" s="1"/>
  <c r="G524" i="3"/>
  <c r="F524" i="3" s="1"/>
  <c r="J524" i="3"/>
  <c r="I524" i="3" s="1"/>
  <c r="M524" i="3"/>
  <c r="L524" i="3" s="1"/>
  <c r="G521" i="3"/>
  <c r="F521" i="3" s="1"/>
  <c r="M521" i="3"/>
  <c r="L521" i="3" s="1"/>
  <c r="J521" i="3"/>
  <c r="I521" i="3" s="1"/>
  <c r="G515" i="3"/>
  <c r="F515" i="3" s="1"/>
  <c r="J515" i="3"/>
  <c r="I515" i="3" s="1"/>
  <c r="M515" i="3"/>
  <c r="L515" i="3" s="1"/>
  <c r="G426" i="3"/>
  <c r="F426" i="3" s="1"/>
  <c r="J426" i="3"/>
  <c r="I426" i="3" s="1"/>
  <c r="M426" i="3"/>
  <c r="L426" i="3" s="1"/>
  <c r="J164" i="3"/>
  <c r="I164" i="3" s="1"/>
  <c r="M164" i="3"/>
  <c r="L164" i="3" s="1"/>
  <c r="G161" i="3"/>
  <c r="F161" i="3" s="1"/>
  <c r="J161" i="3"/>
  <c r="I161" i="3" s="1"/>
  <c r="M161" i="3"/>
  <c r="L161" i="3" s="1"/>
  <c r="G154" i="3"/>
  <c r="F154" i="3" s="1"/>
  <c r="J154" i="3"/>
  <c r="I154" i="3" s="1"/>
  <c r="M154" i="3"/>
  <c r="L154" i="3" s="1"/>
  <c r="G148" i="3"/>
  <c r="F148" i="3" s="1"/>
  <c r="J148" i="3"/>
  <c r="I148" i="3" s="1"/>
  <c r="M148" i="3"/>
  <c r="L148" i="3" s="1"/>
  <c r="G701" i="3"/>
  <c r="F701" i="3" s="1"/>
  <c r="J701" i="3"/>
  <c r="I701" i="3" s="1"/>
  <c r="M701" i="3"/>
  <c r="L701" i="3" s="1"/>
  <c r="M523" i="3"/>
  <c r="L523" i="3" s="1"/>
  <c r="J523" i="3"/>
  <c r="I523" i="3" s="1"/>
  <c r="G523" i="3"/>
  <c r="F523" i="3" s="1"/>
  <c r="G418" i="3"/>
  <c r="F418" i="3" s="1"/>
  <c r="J418" i="3"/>
  <c r="I418" i="3" s="1"/>
  <c r="M418" i="3"/>
  <c r="L418" i="3" s="1"/>
  <c r="M413" i="3"/>
  <c r="L413" i="3" s="1"/>
  <c r="J413" i="3"/>
  <c r="I413" i="3" s="1"/>
  <c r="G413" i="3"/>
  <c r="F413" i="3" s="1"/>
  <c r="G375" i="3"/>
  <c r="F375" i="3" s="1"/>
  <c r="J375" i="3"/>
  <c r="I375" i="3" s="1"/>
  <c r="M375" i="3"/>
  <c r="L375" i="3" s="1"/>
  <c r="J372" i="3"/>
  <c r="I372" i="3" s="1"/>
  <c r="M372" i="3"/>
  <c r="L372" i="3" s="1"/>
  <c r="G372" i="3"/>
  <c r="F372" i="3" s="1"/>
  <c r="J89" i="3"/>
  <c r="I89" i="3" s="1"/>
  <c r="G89" i="3"/>
  <c r="F89" i="3" s="1"/>
  <c r="M89" i="3"/>
  <c r="L89" i="3" s="1"/>
  <c r="G68" i="3"/>
  <c r="F68" i="3" s="1"/>
  <c r="M68" i="3"/>
  <c r="L68" i="3" s="1"/>
  <c r="J68" i="3"/>
  <c r="I68" i="3" s="1"/>
  <c r="M58" i="3"/>
  <c r="L58" i="3" s="1"/>
  <c r="J58" i="3"/>
  <c r="I58" i="3" s="1"/>
  <c r="G58" i="3"/>
  <c r="F58" i="3" s="1"/>
  <c r="J56" i="3"/>
  <c r="I56" i="3" s="1"/>
  <c r="G56" i="3"/>
  <c r="F56" i="3" s="1"/>
  <c r="M56" i="3"/>
  <c r="L56" i="3" s="1"/>
  <c r="G679" i="3"/>
  <c r="F679" i="3" s="1"/>
  <c r="J679" i="3"/>
  <c r="I679" i="3" s="1"/>
  <c r="M679" i="3"/>
  <c r="L679" i="3" s="1"/>
  <c r="M677" i="3"/>
  <c r="L677" i="3" s="1"/>
  <c r="J677" i="3"/>
  <c r="I677" i="3" s="1"/>
  <c r="G677" i="3"/>
  <c r="F677" i="3" s="1"/>
  <c r="M666" i="3"/>
  <c r="L666" i="3" s="1"/>
  <c r="J666" i="3"/>
  <c r="I666" i="3" s="1"/>
  <c r="G666" i="3"/>
  <c r="F666" i="3" s="1"/>
  <c r="J654" i="3"/>
  <c r="I654" i="3" s="1"/>
  <c r="M654" i="3"/>
  <c r="L654" i="3" s="1"/>
  <c r="G654" i="3"/>
  <c r="F654" i="3" s="1"/>
  <c r="J652" i="3"/>
  <c r="I652" i="3" s="1"/>
  <c r="G652" i="3"/>
  <c r="F652" i="3" s="1"/>
  <c r="M652" i="3"/>
  <c r="L652" i="3" s="1"/>
  <c r="M647" i="3"/>
  <c r="L647" i="3" s="1"/>
  <c r="J647" i="3"/>
  <c r="I647" i="3" s="1"/>
  <c r="G647" i="3"/>
  <c r="F647" i="3" s="1"/>
  <c r="G639" i="3"/>
  <c r="F639" i="3" s="1"/>
  <c r="J639" i="3"/>
  <c r="I639" i="3" s="1"/>
  <c r="M639" i="3"/>
  <c r="L639" i="3" s="1"/>
  <c r="G616" i="3"/>
  <c r="F616" i="3" s="1"/>
  <c r="M616" i="3"/>
  <c r="L616" i="3" s="1"/>
  <c r="J616" i="3"/>
  <c r="I616" i="3" s="1"/>
  <c r="J570" i="3"/>
  <c r="I570" i="3" s="1"/>
  <c r="M570" i="3"/>
  <c r="L570" i="3" s="1"/>
  <c r="G570" i="3"/>
  <c r="F570" i="3" s="1"/>
  <c r="G565" i="3"/>
  <c r="F565" i="3" s="1"/>
  <c r="J565" i="3"/>
  <c r="I565" i="3" s="1"/>
  <c r="M565" i="3"/>
  <c r="L565" i="3" s="1"/>
  <c r="M562" i="3"/>
  <c r="L562" i="3" s="1"/>
  <c r="G562" i="3"/>
  <c r="F562" i="3" s="1"/>
  <c r="J562" i="3"/>
  <c r="I562" i="3" s="1"/>
  <c r="J555" i="3"/>
  <c r="I555" i="3" s="1"/>
  <c r="M555" i="3"/>
  <c r="L555" i="3" s="1"/>
  <c r="G555" i="3"/>
  <c r="F555" i="3" s="1"/>
  <c r="M554" i="3"/>
  <c r="L554" i="3" s="1"/>
  <c r="J554" i="3"/>
  <c r="I554" i="3" s="1"/>
  <c r="G554" i="3"/>
  <c r="F554" i="3" s="1"/>
  <c r="G547" i="3"/>
  <c r="F547" i="3" s="1"/>
  <c r="J547" i="3"/>
  <c r="I547" i="3" s="1"/>
  <c r="M547" i="3"/>
  <c r="L547" i="3" s="1"/>
  <c r="G529" i="3"/>
  <c r="F529" i="3" s="1"/>
  <c r="M529" i="3"/>
  <c r="L529" i="3" s="1"/>
  <c r="J529" i="3"/>
  <c r="I529" i="3" s="1"/>
  <c r="J522" i="3"/>
  <c r="I522" i="3" s="1"/>
  <c r="G522" i="3"/>
  <c r="F522" i="3" s="1"/>
  <c r="M522" i="3"/>
  <c r="L522" i="3" s="1"/>
  <c r="J490" i="3"/>
  <c r="I490" i="3" s="1"/>
  <c r="M490" i="3"/>
  <c r="L490" i="3" s="1"/>
  <c r="G490" i="3"/>
  <c r="F490" i="3" s="1"/>
  <c r="G479" i="3"/>
  <c r="F479" i="3" s="1"/>
  <c r="J479" i="3"/>
  <c r="I479" i="3" s="1"/>
  <c r="M479" i="3"/>
  <c r="L479" i="3" s="1"/>
  <c r="M471" i="3"/>
  <c r="L471" i="3" s="1"/>
  <c r="G471" i="3"/>
  <c r="F471" i="3" s="1"/>
  <c r="J471" i="3"/>
  <c r="I471" i="3" s="1"/>
  <c r="J466" i="3"/>
  <c r="I466" i="3" s="1"/>
  <c r="G466" i="3"/>
  <c r="F466" i="3" s="1"/>
  <c r="M466" i="3"/>
  <c r="L466" i="3" s="1"/>
  <c r="G448" i="3"/>
  <c r="F448" i="3" s="1"/>
  <c r="J448" i="3"/>
  <c r="I448" i="3" s="1"/>
  <c r="M448" i="3"/>
  <c r="L448" i="3" s="1"/>
  <c r="M447" i="3"/>
  <c r="L447" i="3" s="1"/>
  <c r="G447" i="3"/>
  <c r="F447" i="3" s="1"/>
  <c r="J447" i="3"/>
  <c r="I447" i="3" s="1"/>
  <c r="G433" i="3"/>
  <c r="F433" i="3" s="1"/>
  <c r="M433" i="3"/>
  <c r="L433" i="3" s="1"/>
  <c r="J433" i="3"/>
  <c r="I433" i="3" s="1"/>
  <c r="G432" i="3"/>
  <c r="F432" i="3" s="1"/>
  <c r="M432" i="3"/>
  <c r="L432" i="3" s="1"/>
  <c r="J432" i="3"/>
  <c r="I432" i="3" s="1"/>
  <c r="M409" i="3"/>
  <c r="L409" i="3" s="1"/>
  <c r="G409" i="3"/>
  <c r="F409" i="3" s="1"/>
  <c r="J409" i="3"/>
  <c r="I409" i="3" s="1"/>
  <c r="J367" i="3"/>
  <c r="I367" i="3" s="1"/>
  <c r="G367" i="3"/>
  <c r="F367" i="3" s="1"/>
  <c r="M367" i="3"/>
  <c r="L367" i="3" s="1"/>
  <c r="M326" i="3"/>
  <c r="L326" i="3" s="1"/>
  <c r="J326" i="3"/>
  <c r="I326" i="3" s="1"/>
  <c r="G326" i="3"/>
  <c r="F326" i="3" s="1"/>
  <c r="M314" i="3"/>
  <c r="L314" i="3" s="1"/>
  <c r="G314" i="3"/>
  <c r="F314" i="3" s="1"/>
  <c r="J314" i="3"/>
  <c r="I314" i="3" s="1"/>
  <c r="G308" i="3"/>
  <c r="F308" i="3" s="1"/>
  <c r="M308" i="3"/>
  <c r="L308" i="3" s="1"/>
  <c r="J308" i="3"/>
  <c r="I308" i="3" s="1"/>
  <c r="M302" i="3"/>
  <c r="L302" i="3" s="1"/>
  <c r="J302" i="3"/>
  <c r="I302" i="3" s="1"/>
  <c r="G302" i="3"/>
  <c r="F302" i="3" s="1"/>
  <c r="M292" i="3"/>
  <c r="L292" i="3" s="1"/>
  <c r="J292" i="3"/>
  <c r="I292" i="3" s="1"/>
  <c r="G292" i="3"/>
  <c r="F292" i="3" s="1"/>
  <c r="G278" i="3"/>
  <c r="F278" i="3" s="1"/>
  <c r="J278" i="3"/>
  <c r="I278" i="3" s="1"/>
  <c r="M278" i="3"/>
  <c r="L278" i="3" s="1"/>
  <c r="G693" i="3"/>
  <c r="F693" i="3" s="1"/>
  <c r="J693" i="3"/>
  <c r="I693" i="3" s="1"/>
  <c r="M693" i="3"/>
  <c r="L693" i="3" s="1"/>
  <c r="G662" i="3"/>
  <c r="F662" i="3" s="1"/>
  <c r="J662" i="3"/>
  <c r="I662" i="3" s="1"/>
  <c r="M662" i="3"/>
  <c r="L662" i="3" s="1"/>
  <c r="G655" i="3"/>
  <c r="F655" i="3" s="1"/>
  <c r="J655" i="3"/>
  <c r="I655" i="3" s="1"/>
  <c r="M655" i="3"/>
  <c r="L655" i="3" s="1"/>
  <c r="G645" i="3"/>
  <c r="F645" i="3" s="1"/>
  <c r="J645" i="3"/>
  <c r="I645" i="3" s="1"/>
  <c r="M645" i="3"/>
  <c r="L645" i="3" s="1"/>
  <c r="G642" i="3"/>
  <c r="F642" i="3" s="1"/>
  <c r="J642" i="3"/>
  <c r="I642" i="3" s="1"/>
  <c r="M642" i="3"/>
  <c r="L642" i="3" s="1"/>
  <c r="G640" i="3"/>
  <c r="F640" i="3" s="1"/>
  <c r="J640" i="3"/>
  <c r="I640" i="3" s="1"/>
  <c r="M640" i="3"/>
  <c r="L640" i="3" s="1"/>
  <c r="G636" i="3"/>
  <c r="F636" i="3" s="1"/>
  <c r="J636" i="3"/>
  <c r="I636" i="3" s="1"/>
  <c r="M636" i="3"/>
  <c r="L636" i="3" s="1"/>
  <c r="J618" i="3"/>
  <c r="I618" i="3" s="1"/>
  <c r="M618" i="3"/>
  <c r="L618" i="3" s="1"/>
  <c r="G618" i="3"/>
  <c r="F618" i="3" s="1"/>
  <c r="M571" i="3"/>
  <c r="L571" i="3" s="1"/>
  <c r="J571" i="3"/>
  <c r="I571" i="3" s="1"/>
  <c r="G571" i="3"/>
  <c r="F571" i="3" s="1"/>
  <c r="M558" i="3"/>
  <c r="L558" i="3" s="1"/>
  <c r="J558" i="3"/>
  <c r="I558" i="3" s="1"/>
  <c r="G558" i="3"/>
  <c r="F558" i="3" s="1"/>
  <c r="M557" i="3"/>
  <c r="L557" i="3" s="1"/>
  <c r="J557" i="3"/>
  <c r="I557" i="3" s="1"/>
  <c r="G557" i="3"/>
  <c r="F557" i="3" s="1"/>
  <c r="G553" i="3"/>
  <c r="F553" i="3" s="1"/>
  <c r="J553" i="3"/>
  <c r="I553" i="3" s="1"/>
  <c r="M553" i="3"/>
  <c r="L553" i="3" s="1"/>
  <c r="G549" i="3"/>
  <c r="F549" i="3" s="1"/>
  <c r="J549" i="3"/>
  <c r="I549" i="3" s="1"/>
  <c r="M549" i="3"/>
  <c r="L549" i="3" s="1"/>
  <c r="J544" i="3"/>
  <c r="I544" i="3" s="1"/>
  <c r="M544" i="3"/>
  <c r="L544" i="3" s="1"/>
  <c r="G544" i="3"/>
  <c r="F544" i="3" s="1"/>
  <c r="G541" i="3"/>
  <c r="F541" i="3" s="1"/>
  <c r="M541" i="3"/>
  <c r="L541" i="3" s="1"/>
  <c r="J541" i="3"/>
  <c r="I541" i="3" s="1"/>
  <c r="G531" i="3"/>
  <c r="F531" i="3" s="1"/>
  <c r="J531" i="3"/>
  <c r="I531" i="3" s="1"/>
  <c r="M531" i="3"/>
  <c r="L531" i="3" s="1"/>
  <c r="G528" i="3"/>
  <c r="F528" i="3" s="1"/>
  <c r="J528" i="3"/>
  <c r="I528" i="3" s="1"/>
  <c r="M528" i="3"/>
  <c r="L528" i="3" s="1"/>
  <c r="G385" i="3"/>
  <c r="F385" i="3" s="1"/>
  <c r="J385" i="3"/>
  <c r="I385" i="3" s="1"/>
  <c r="M385" i="3"/>
  <c r="L385" i="3" s="1"/>
  <c r="G380" i="3"/>
  <c r="F380" i="3" s="1"/>
  <c r="J380" i="3"/>
  <c r="I380" i="3" s="1"/>
  <c r="M380" i="3"/>
  <c r="L380" i="3" s="1"/>
  <c r="J379" i="3"/>
  <c r="I379" i="3" s="1"/>
  <c r="M379" i="3"/>
  <c r="L379" i="3" s="1"/>
  <c r="G379" i="3"/>
  <c r="F379" i="3" s="1"/>
  <c r="M368" i="3"/>
  <c r="L368" i="3" s="1"/>
  <c r="G368" i="3"/>
  <c r="F368" i="3" s="1"/>
  <c r="J368" i="3"/>
  <c r="I368" i="3" s="1"/>
  <c r="G365" i="3"/>
  <c r="F365" i="3" s="1"/>
  <c r="M365" i="3"/>
  <c r="L365" i="3" s="1"/>
  <c r="J365" i="3"/>
  <c r="I365" i="3" s="1"/>
  <c r="J355" i="3"/>
  <c r="I355" i="3" s="1"/>
  <c r="G355" i="3"/>
  <c r="F355" i="3" s="1"/>
  <c r="M355" i="3"/>
  <c r="L355" i="3" s="1"/>
  <c r="J305" i="3"/>
  <c r="I305" i="3" s="1"/>
  <c r="M305" i="3"/>
  <c r="L305" i="3" s="1"/>
  <c r="G305" i="3"/>
  <c r="F305" i="3" s="1"/>
  <c r="J299" i="3"/>
  <c r="I299" i="3" s="1"/>
  <c r="G299" i="3"/>
  <c r="F299" i="3" s="1"/>
  <c r="M299" i="3"/>
  <c r="L299" i="3" s="1"/>
  <c r="M290" i="3"/>
  <c r="L290" i="3" s="1"/>
  <c r="J290" i="3"/>
  <c r="I290" i="3" s="1"/>
  <c r="G290" i="3"/>
  <c r="F290" i="3" s="1"/>
  <c r="M288" i="3"/>
  <c r="L288" i="3" s="1"/>
  <c r="G288" i="3"/>
  <c r="F288" i="3" s="1"/>
  <c r="J288" i="3"/>
  <c r="I288" i="3" s="1"/>
  <c r="G285" i="3"/>
  <c r="F285" i="3" s="1"/>
  <c r="M285" i="3"/>
  <c r="L285" i="3" s="1"/>
  <c r="J285" i="3"/>
  <c r="I285" i="3" s="1"/>
  <c r="J284" i="3"/>
  <c r="I284" i="3" s="1"/>
  <c r="G284" i="3"/>
  <c r="F284" i="3" s="1"/>
  <c r="M284" i="3"/>
  <c r="L284" i="3" s="1"/>
  <c r="M282" i="3"/>
  <c r="L282" i="3" s="1"/>
  <c r="G282" i="3"/>
  <c r="F282" i="3" s="1"/>
  <c r="J282" i="3"/>
  <c r="I282" i="3" s="1"/>
  <c r="M279" i="3"/>
  <c r="L279" i="3" s="1"/>
  <c r="G279" i="3"/>
  <c r="F279" i="3" s="1"/>
  <c r="J279" i="3"/>
  <c r="I279" i="3" s="1"/>
  <c r="G270" i="3"/>
  <c r="F270" i="3" s="1"/>
  <c r="M270" i="3"/>
  <c r="L270" i="3" s="1"/>
  <c r="J270" i="3"/>
  <c r="I270" i="3" s="1"/>
  <c r="J269" i="3"/>
  <c r="I269" i="3" s="1"/>
  <c r="M269" i="3"/>
  <c r="L269" i="3" s="1"/>
  <c r="G269" i="3"/>
  <c r="F269" i="3" s="1"/>
  <c r="G267" i="3"/>
  <c r="F267" i="3" s="1"/>
  <c r="J267" i="3"/>
  <c r="I267" i="3" s="1"/>
  <c r="M267" i="3"/>
  <c r="L267" i="3" s="1"/>
  <c r="G265" i="3"/>
  <c r="F265" i="3" s="1"/>
  <c r="M265" i="3"/>
  <c r="L265" i="3" s="1"/>
  <c r="J265" i="3"/>
  <c r="I265" i="3" s="1"/>
  <c r="G257" i="3"/>
  <c r="F257" i="3" s="1"/>
  <c r="M257" i="3"/>
  <c r="L257" i="3" s="1"/>
  <c r="J257" i="3"/>
  <c r="I257" i="3" s="1"/>
  <c r="G251" i="3"/>
  <c r="F251" i="3" s="1"/>
  <c r="J251" i="3"/>
  <c r="I251" i="3" s="1"/>
  <c r="M251" i="3"/>
  <c r="L251" i="3" s="1"/>
  <c r="J247" i="3"/>
  <c r="I247" i="3" s="1"/>
  <c r="G247" i="3"/>
  <c r="F247" i="3" s="1"/>
  <c r="M247" i="3"/>
  <c r="L247" i="3" s="1"/>
  <c r="G241" i="3"/>
  <c r="F241" i="3" s="1"/>
  <c r="J241" i="3"/>
  <c r="I241" i="3" s="1"/>
  <c r="M241" i="3"/>
  <c r="L241" i="3" s="1"/>
  <c r="G237" i="3"/>
  <c r="F237" i="3" s="1"/>
  <c r="J237" i="3"/>
  <c r="I237" i="3" s="1"/>
  <c r="M237" i="3"/>
  <c r="L237" i="3" s="1"/>
  <c r="M233" i="3"/>
  <c r="L233" i="3" s="1"/>
  <c r="J233" i="3"/>
  <c r="I233" i="3" s="1"/>
  <c r="G233" i="3"/>
  <c r="F233" i="3" s="1"/>
  <c r="G229" i="3"/>
  <c r="F229" i="3" s="1"/>
  <c r="J229" i="3"/>
  <c r="I229" i="3" s="1"/>
  <c r="M229" i="3"/>
  <c r="L229" i="3" s="1"/>
  <c r="M228" i="3"/>
  <c r="L228" i="3" s="1"/>
  <c r="G228" i="3"/>
  <c r="F228" i="3" s="1"/>
  <c r="J228" i="3"/>
  <c r="I228" i="3" s="1"/>
  <c r="M227" i="3"/>
  <c r="L227" i="3" s="1"/>
  <c r="J227" i="3"/>
  <c r="I227" i="3" s="1"/>
  <c r="G227" i="3"/>
  <c r="F227" i="3" s="1"/>
  <c r="J226" i="3"/>
  <c r="I226" i="3" s="1"/>
  <c r="G226" i="3"/>
  <c r="F226" i="3" s="1"/>
  <c r="M226" i="3"/>
  <c r="L226" i="3" s="1"/>
  <c r="G221" i="3"/>
  <c r="F221" i="3" s="1"/>
  <c r="M221" i="3"/>
  <c r="L221" i="3" s="1"/>
  <c r="J221" i="3"/>
  <c r="I221" i="3" s="1"/>
  <c r="G213" i="3"/>
  <c r="F213" i="3" s="1"/>
  <c r="M213" i="3"/>
  <c r="L213" i="3" s="1"/>
  <c r="J213" i="3"/>
  <c r="I213" i="3" s="1"/>
  <c r="M209" i="3"/>
  <c r="L209" i="3" s="1"/>
  <c r="J209" i="3"/>
  <c r="I209" i="3" s="1"/>
  <c r="G209" i="3"/>
  <c r="F209" i="3" s="1"/>
  <c r="J208" i="3"/>
  <c r="I208" i="3" s="1"/>
  <c r="G208" i="3"/>
  <c r="F208" i="3" s="1"/>
  <c r="M208" i="3"/>
  <c r="L208" i="3" s="1"/>
  <c r="M198" i="3"/>
  <c r="L198" i="3" s="1"/>
  <c r="G198" i="3"/>
  <c r="F198" i="3" s="1"/>
  <c r="J198" i="3"/>
  <c r="I198" i="3" s="1"/>
  <c r="G187" i="3"/>
  <c r="F187" i="3" s="1"/>
  <c r="J187" i="3"/>
  <c r="I187" i="3" s="1"/>
  <c r="M187" i="3"/>
  <c r="L187" i="3" s="1"/>
  <c r="G185" i="3"/>
  <c r="F185" i="3" s="1"/>
  <c r="J185" i="3"/>
  <c r="I185" i="3" s="1"/>
  <c r="M185" i="3"/>
  <c r="L185" i="3" s="1"/>
  <c r="M183" i="3"/>
  <c r="L183" i="3" s="1"/>
  <c r="G183" i="3"/>
  <c r="F183" i="3" s="1"/>
  <c r="J183" i="3"/>
  <c r="I183" i="3" s="1"/>
  <c r="G182" i="3"/>
  <c r="F182" i="3" s="1"/>
  <c r="J182" i="3"/>
  <c r="I182" i="3" s="1"/>
  <c r="M182" i="3"/>
  <c r="L182" i="3" s="1"/>
  <c r="J146" i="3"/>
  <c r="I146" i="3" s="1"/>
  <c r="M146" i="3"/>
  <c r="L146" i="3" s="1"/>
  <c r="G142" i="3"/>
  <c r="F142" i="3" s="1"/>
  <c r="J142" i="3"/>
  <c r="I142" i="3" s="1"/>
  <c r="M142" i="3"/>
  <c r="L142" i="3" s="1"/>
  <c r="G129" i="3"/>
  <c r="F129" i="3" s="1"/>
  <c r="J129" i="3"/>
  <c r="I129" i="3" s="1"/>
  <c r="M129" i="3"/>
  <c r="L129" i="3" s="1"/>
  <c r="G128" i="3"/>
  <c r="F128" i="3" s="1"/>
  <c r="M128" i="3"/>
  <c r="L128" i="3" s="1"/>
  <c r="J128" i="3"/>
  <c r="I128" i="3" s="1"/>
  <c r="M126" i="3"/>
  <c r="L126" i="3" s="1"/>
  <c r="G126" i="3"/>
  <c r="F126" i="3" s="1"/>
  <c r="J126" i="3"/>
  <c r="I126" i="3" s="1"/>
  <c r="M116" i="3"/>
  <c r="L116" i="3" s="1"/>
  <c r="G116" i="3"/>
  <c r="F116" i="3" s="1"/>
  <c r="J116" i="3"/>
  <c r="I116" i="3" s="1"/>
  <c r="G114" i="3"/>
  <c r="F114" i="3" s="1"/>
  <c r="M114" i="3"/>
  <c r="L114" i="3" s="1"/>
  <c r="J114" i="3"/>
  <c r="I114" i="3" s="1"/>
  <c r="G345" i="3"/>
  <c r="F345" i="3" s="1"/>
  <c r="J345" i="3"/>
  <c r="I345" i="3" s="1"/>
  <c r="M345" i="3"/>
  <c r="L345" i="3" s="1"/>
  <c r="G327" i="3"/>
  <c r="F327" i="3" s="1"/>
  <c r="J327" i="3"/>
  <c r="I327" i="3" s="1"/>
  <c r="M327" i="3"/>
  <c r="L327" i="3" s="1"/>
  <c r="G111" i="3"/>
  <c r="F111" i="3" s="1"/>
  <c r="J111" i="3"/>
  <c r="I111" i="3" s="1"/>
  <c r="M111" i="3"/>
  <c r="L111" i="3" s="1"/>
  <c r="G110" i="3"/>
  <c r="F110" i="3" s="1"/>
  <c r="J110" i="3"/>
  <c r="I110" i="3" s="1"/>
  <c r="M110" i="3"/>
  <c r="L110" i="3" s="1"/>
  <c r="J103" i="3"/>
  <c r="I103" i="3" s="1"/>
  <c r="G103" i="3"/>
  <c r="F103" i="3" s="1"/>
  <c r="M103" i="3"/>
  <c r="L103" i="3" s="1"/>
  <c r="G101" i="3"/>
  <c r="F101" i="3" s="1"/>
  <c r="M101" i="3"/>
  <c r="L101" i="3" s="1"/>
  <c r="J101" i="3"/>
  <c r="I101" i="3" s="1"/>
  <c r="G100" i="3"/>
  <c r="F100" i="3" s="1"/>
  <c r="J100" i="3"/>
  <c r="I100" i="3" s="1"/>
  <c r="M100" i="3"/>
  <c r="L100" i="3" s="1"/>
  <c r="G99" i="3"/>
  <c r="F99" i="3" s="1"/>
  <c r="J99" i="3"/>
  <c r="I99" i="3" s="1"/>
  <c r="M99" i="3"/>
  <c r="L99" i="3" s="1"/>
  <c r="G97" i="3"/>
  <c r="F97" i="3" s="1"/>
  <c r="J97" i="3"/>
  <c r="I97" i="3" s="1"/>
  <c r="M97" i="3"/>
  <c r="L97" i="3" s="1"/>
  <c r="M91" i="3"/>
  <c r="L91" i="3" s="1"/>
  <c r="G91" i="3"/>
  <c r="F91" i="3" s="1"/>
  <c r="J91" i="3"/>
  <c r="I91" i="3" s="1"/>
  <c r="J87" i="3"/>
  <c r="I87" i="3" s="1"/>
  <c r="G87" i="3"/>
  <c r="F87" i="3" s="1"/>
  <c r="M87" i="3"/>
  <c r="L87" i="3" s="1"/>
  <c r="M86" i="3"/>
  <c r="L86" i="3" s="1"/>
  <c r="G86" i="3"/>
  <c r="F86" i="3" s="1"/>
  <c r="J86" i="3"/>
  <c r="I86" i="3" s="1"/>
  <c r="G83" i="3"/>
  <c r="F83" i="3" s="1"/>
  <c r="J83" i="3"/>
  <c r="I83" i="3" s="1"/>
  <c r="M83" i="3"/>
  <c r="L83" i="3" s="1"/>
  <c r="J81" i="3"/>
  <c r="I81" i="3" s="1"/>
  <c r="M81" i="3"/>
  <c r="L81" i="3" s="1"/>
  <c r="G81" i="3"/>
  <c r="F81" i="3" s="1"/>
  <c r="J80" i="3"/>
  <c r="I80" i="3" s="1"/>
  <c r="M80" i="3"/>
  <c r="L80" i="3" s="1"/>
  <c r="G80" i="3"/>
  <c r="F80" i="3" s="1"/>
  <c r="M74" i="3"/>
  <c r="L74" i="3" s="1"/>
  <c r="G74" i="3"/>
  <c r="F74" i="3" s="1"/>
  <c r="J74" i="3"/>
  <c r="I74" i="3" s="1"/>
  <c r="J73" i="3"/>
  <c r="I73" i="3" s="1"/>
  <c r="G73" i="3"/>
  <c r="F73" i="3" s="1"/>
  <c r="M73" i="3"/>
  <c r="L73" i="3" s="1"/>
  <c r="J70" i="3"/>
  <c r="I70" i="3" s="1"/>
  <c r="M70" i="3"/>
  <c r="L70" i="3" s="1"/>
  <c r="G70" i="3"/>
  <c r="F70" i="3" s="1"/>
  <c r="G63" i="3"/>
  <c r="F63" i="3" s="1"/>
  <c r="M63" i="3"/>
  <c r="L63" i="3" s="1"/>
  <c r="J63" i="3"/>
  <c r="I63" i="3" s="1"/>
  <c r="J59" i="3"/>
  <c r="I59" i="3" s="1"/>
  <c r="G59" i="3"/>
  <c r="F59" i="3" s="1"/>
  <c r="M59" i="3"/>
  <c r="L59" i="3" s="1"/>
  <c r="M42" i="3"/>
  <c r="L42" i="3" s="1"/>
  <c r="J42" i="3"/>
  <c r="I42" i="3" s="1"/>
  <c r="G42" i="3"/>
  <c r="F42" i="3" s="1"/>
  <c r="J41" i="3"/>
  <c r="I41" i="3" s="1"/>
  <c r="M41" i="3"/>
  <c r="L41" i="3" s="1"/>
  <c r="G41" i="3"/>
  <c r="F41" i="3" s="1"/>
  <c r="M32" i="3"/>
  <c r="L32" i="3" s="1"/>
  <c r="G32" i="3"/>
  <c r="F32" i="3" s="1"/>
  <c r="J32" i="3"/>
  <c r="I32" i="3" s="1"/>
  <c r="J28" i="3"/>
  <c r="I28" i="3" s="1"/>
  <c r="G28" i="3"/>
  <c r="F28" i="3" s="1"/>
  <c r="M28" i="3"/>
  <c r="L28" i="3" s="1"/>
  <c r="M27" i="3"/>
  <c r="L27" i="3" s="1"/>
  <c r="J27" i="3"/>
  <c r="I27" i="3" s="1"/>
  <c r="G27" i="3"/>
  <c r="F27" i="3" s="1"/>
  <c r="M21" i="3"/>
  <c r="L21" i="3" s="1"/>
  <c r="J21" i="3"/>
  <c r="I21" i="3" s="1"/>
  <c r="G21" i="3"/>
  <c r="F21" i="3" s="1"/>
  <c r="G509" i="3"/>
  <c r="F509" i="3" s="1"/>
  <c r="J509" i="3"/>
  <c r="I509" i="3" s="1"/>
  <c r="M509" i="3"/>
  <c r="L509" i="3" s="1"/>
  <c r="G499" i="3"/>
  <c r="F499" i="3" s="1"/>
  <c r="J499" i="3"/>
  <c r="I499" i="3" s="1"/>
  <c r="M499" i="3"/>
  <c r="L499" i="3" s="1"/>
  <c r="G498" i="3"/>
  <c r="F498" i="3" s="1"/>
  <c r="J498" i="3"/>
  <c r="I498" i="3" s="1"/>
  <c r="M498" i="3"/>
  <c r="L498" i="3" s="1"/>
  <c r="G493" i="3"/>
  <c r="F493" i="3" s="1"/>
  <c r="J493" i="3"/>
  <c r="I493" i="3" s="1"/>
  <c r="M493" i="3"/>
  <c r="L493" i="3" s="1"/>
  <c r="G492" i="3"/>
  <c r="F492" i="3" s="1"/>
  <c r="J492" i="3"/>
  <c r="I492" i="3" s="1"/>
  <c r="M492" i="3"/>
  <c r="L492" i="3" s="1"/>
  <c r="G489" i="3"/>
  <c r="F489" i="3" s="1"/>
  <c r="J489" i="3"/>
  <c r="I489" i="3" s="1"/>
  <c r="M489" i="3"/>
  <c r="L489" i="3" s="1"/>
  <c r="G487" i="3"/>
  <c r="F487" i="3" s="1"/>
  <c r="J487" i="3"/>
  <c r="I487" i="3" s="1"/>
  <c r="M487" i="3"/>
  <c r="L487" i="3" s="1"/>
  <c r="G481" i="3"/>
  <c r="F481" i="3" s="1"/>
  <c r="J481" i="3"/>
  <c r="I481" i="3" s="1"/>
  <c r="M481" i="3"/>
  <c r="L481" i="3" s="1"/>
  <c r="J465" i="3"/>
  <c r="I465" i="3" s="1"/>
  <c r="G465" i="3"/>
  <c r="F465" i="3" s="1"/>
  <c r="M465" i="3"/>
  <c r="L465" i="3" s="1"/>
  <c r="J455" i="3"/>
  <c r="I455" i="3" s="1"/>
  <c r="G455" i="3"/>
  <c r="F455" i="3" s="1"/>
  <c r="M455" i="3"/>
  <c r="L455" i="3" s="1"/>
  <c r="J453" i="3"/>
  <c r="I453" i="3" s="1"/>
  <c r="G453" i="3"/>
  <c r="F453" i="3" s="1"/>
  <c r="M453" i="3"/>
  <c r="L453" i="3" s="1"/>
  <c r="J446" i="3"/>
  <c r="I446" i="3" s="1"/>
  <c r="G446" i="3"/>
  <c r="F446" i="3" s="1"/>
  <c r="M446" i="3"/>
  <c r="L446" i="3" s="1"/>
  <c r="G445" i="3"/>
  <c r="F445" i="3" s="1"/>
  <c r="M445" i="3"/>
  <c r="L445" i="3" s="1"/>
  <c r="J445" i="3"/>
  <c r="I445" i="3" s="1"/>
  <c r="J438" i="3"/>
  <c r="I438" i="3" s="1"/>
  <c r="G438" i="3"/>
  <c r="F438" i="3" s="1"/>
  <c r="M438" i="3"/>
  <c r="L438" i="3" s="1"/>
  <c r="M437" i="3"/>
  <c r="L437" i="3" s="1"/>
  <c r="G437" i="3"/>
  <c r="F437" i="3" s="1"/>
  <c r="J437" i="3"/>
  <c r="I437" i="3" s="1"/>
  <c r="J435" i="3"/>
  <c r="I435" i="3" s="1"/>
  <c r="M435" i="3"/>
  <c r="L435" i="3" s="1"/>
  <c r="G435" i="3"/>
  <c r="F435" i="3" s="1"/>
  <c r="G429" i="3"/>
  <c r="F429" i="3" s="1"/>
  <c r="J429" i="3"/>
  <c r="I429" i="3" s="1"/>
  <c r="M429" i="3"/>
  <c r="L429" i="3" s="1"/>
  <c r="G419" i="3"/>
  <c r="F419" i="3" s="1"/>
  <c r="J419" i="3"/>
  <c r="I419" i="3" s="1"/>
  <c r="M419" i="3"/>
  <c r="L419" i="3" s="1"/>
  <c r="G414" i="3"/>
  <c r="F414" i="3" s="1"/>
  <c r="J414" i="3"/>
  <c r="I414" i="3" s="1"/>
  <c r="M414" i="3"/>
  <c r="L414" i="3" s="1"/>
  <c r="G407" i="3"/>
  <c r="F407" i="3" s="1"/>
  <c r="J407" i="3"/>
  <c r="I407" i="3" s="1"/>
  <c r="M407" i="3"/>
  <c r="L407" i="3" s="1"/>
  <c r="G405" i="3"/>
  <c r="F405" i="3" s="1"/>
  <c r="J405" i="3"/>
  <c r="I405" i="3" s="1"/>
  <c r="M405" i="3"/>
  <c r="L405" i="3" s="1"/>
  <c r="G398" i="3"/>
  <c r="F398" i="3" s="1"/>
  <c r="J398" i="3"/>
  <c r="I398" i="3" s="1"/>
  <c r="M398" i="3"/>
  <c r="L398" i="3" s="1"/>
  <c r="G395" i="3"/>
  <c r="F395" i="3" s="1"/>
  <c r="J395" i="3"/>
  <c r="I395" i="3" s="1"/>
  <c r="M395" i="3"/>
  <c r="L395" i="3" s="1"/>
  <c r="G394" i="3"/>
  <c r="F394" i="3" s="1"/>
  <c r="J394" i="3"/>
  <c r="I394" i="3" s="1"/>
  <c r="M394" i="3"/>
  <c r="L394" i="3" s="1"/>
  <c r="O746" i="3"/>
  <c r="M2" i="3"/>
  <c r="Q746" i="3"/>
  <c r="G2" i="3"/>
  <c r="J2" i="3"/>
  <c r="M743" i="3"/>
  <c r="L743" i="3" s="1"/>
  <c r="J743" i="3"/>
  <c r="I743" i="3" s="1"/>
  <c r="G743" i="3"/>
  <c r="F743" i="3" s="1"/>
  <c r="M732" i="3"/>
  <c r="L732" i="3" s="1"/>
  <c r="J732" i="3"/>
  <c r="I732" i="3" s="1"/>
  <c r="G732" i="3"/>
  <c r="F732" i="3" s="1"/>
  <c r="M718" i="3"/>
  <c r="L718" i="3" s="1"/>
  <c r="J718" i="3"/>
  <c r="I718" i="3" s="1"/>
  <c r="G718" i="3"/>
  <c r="F718" i="3" s="1"/>
  <c r="M685" i="3"/>
  <c r="L685" i="3" s="1"/>
  <c r="J685" i="3"/>
  <c r="I685" i="3" s="1"/>
  <c r="G685" i="3"/>
  <c r="F685" i="3" s="1"/>
  <c r="M683" i="3"/>
  <c r="L683" i="3" s="1"/>
  <c r="J683" i="3"/>
  <c r="I683" i="3" s="1"/>
  <c r="G683" i="3"/>
  <c r="F683" i="3" s="1"/>
  <c r="M681" i="3"/>
  <c r="L681" i="3" s="1"/>
  <c r="J681" i="3"/>
  <c r="I681" i="3" s="1"/>
  <c r="G681" i="3"/>
  <c r="F681" i="3" s="1"/>
  <c r="M680" i="3"/>
  <c r="L680" i="3" s="1"/>
  <c r="J680" i="3"/>
  <c r="I680" i="3" s="1"/>
  <c r="G680" i="3"/>
  <c r="F680" i="3" s="1"/>
  <c r="M678" i="3"/>
  <c r="L678" i="3" s="1"/>
  <c r="J678" i="3"/>
  <c r="I678" i="3" s="1"/>
  <c r="G678" i="3"/>
  <c r="F678" i="3" s="1"/>
  <c r="M673" i="3"/>
  <c r="L673" i="3" s="1"/>
  <c r="J673" i="3"/>
  <c r="I673" i="3" s="1"/>
  <c r="G673" i="3"/>
  <c r="F673" i="3" s="1"/>
  <c r="M672" i="3"/>
  <c r="L672" i="3" s="1"/>
  <c r="J672" i="3"/>
  <c r="I672" i="3" s="1"/>
  <c r="G672" i="3"/>
  <c r="F672" i="3" s="1"/>
  <c r="M671" i="3"/>
  <c r="L671" i="3" s="1"/>
  <c r="J671" i="3"/>
  <c r="I671" i="3" s="1"/>
  <c r="G671" i="3"/>
  <c r="F671" i="3" s="1"/>
  <c r="M670" i="3"/>
  <c r="L670" i="3" s="1"/>
  <c r="J670" i="3"/>
  <c r="I670" i="3" s="1"/>
  <c r="G670" i="3"/>
  <c r="F670" i="3" s="1"/>
  <c r="M668" i="3"/>
  <c r="L668" i="3" s="1"/>
  <c r="J668" i="3"/>
  <c r="I668" i="3" s="1"/>
  <c r="G668" i="3"/>
  <c r="F668" i="3" s="1"/>
  <c r="M665" i="3"/>
  <c r="L665" i="3" s="1"/>
  <c r="J665" i="3"/>
  <c r="I665" i="3" s="1"/>
  <c r="G665" i="3"/>
  <c r="F665" i="3" s="1"/>
  <c r="M664" i="3"/>
  <c r="L664" i="3" s="1"/>
  <c r="J664" i="3"/>
  <c r="I664" i="3" s="1"/>
  <c r="G664" i="3"/>
  <c r="F664" i="3" s="1"/>
  <c r="M661" i="3"/>
  <c r="L661" i="3" s="1"/>
  <c r="J661" i="3"/>
  <c r="I661" i="3" s="1"/>
  <c r="G661" i="3"/>
  <c r="F661" i="3" s="1"/>
  <c r="M660" i="3"/>
  <c r="L660" i="3" s="1"/>
  <c r="J660" i="3"/>
  <c r="I660" i="3" s="1"/>
  <c r="G660" i="3"/>
  <c r="F660" i="3" s="1"/>
  <c r="M658" i="3"/>
  <c r="L658" i="3" s="1"/>
  <c r="J658" i="3"/>
  <c r="I658" i="3" s="1"/>
  <c r="G658" i="3"/>
  <c r="F658" i="3" s="1"/>
  <c r="M657" i="3"/>
  <c r="L657" i="3" s="1"/>
  <c r="J657" i="3"/>
  <c r="I657" i="3" s="1"/>
  <c r="G657" i="3"/>
  <c r="F657" i="3" s="1"/>
  <c r="M656" i="3"/>
  <c r="L656" i="3" s="1"/>
  <c r="J656" i="3"/>
  <c r="I656" i="3" s="1"/>
  <c r="G656" i="3"/>
  <c r="F656" i="3" s="1"/>
  <c r="M653" i="3"/>
  <c r="L653" i="3" s="1"/>
  <c r="J653" i="3"/>
  <c r="I653" i="3" s="1"/>
  <c r="G653" i="3"/>
  <c r="F653" i="3" s="1"/>
  <c r="M650" i="3"/>
  <c r="L650" i="3" s="1"/>
  <c r="J650" i="3"/>
  <c r="I650" i="3" s="1"/>
  <c r="G650" i="3"/>
  <c r="F650" i="3" s="1"/>
  <c r="M644" i="3"/>
  <c r="L644" i="3" s="1"/>
  <c r="J644" i="3"/>
  <c r="I644" i="3" s="1"/>
  <c r="G644" i="3"/>
  <c r="F644" i="3" s="1"/>
  <c r="M643" i="3"/>
  <c r="L643" i="3" s="1"/>
  <c r="J643" i="3"/>
  <c r="I643" i="3" s="1"/>
  <c r="G643" i="3"/>
  <c r="F643" i="3" s="1"/>
  <c r="M641" i="3"/>
  <c r="L641" i="3" s="1"/>
  <c r="J641" i="3"/>
  <c r="I641" i="3" s="1"/>
  <c r="G641" i="3"/>
  <c r="F641" i="3" s="1"/>
  <c r="M638" i="3"/>
  <c r="L638" i="3" s="1"/>
  <c r="J638" i="3"/>
  <c r="I638" i="3" s="1"/>
  <c r="G638" i="3"/>
  <c r="F638" i="3" s="1"/>
  <c r="M635" i="3"/>
  <c r="L635" i="3" s="1"/>
  <c r="J635" i="3"/>
  <c r="I635" i="3" s="1"/>
  <c r="G635" i="3"/>
  <c r="F635" i="3" s="1"/>
  <c r="M633" i="3"/>
  <c r="L633" i="3" s="1"/>
  <c r="J633" i="3"/>
  <c r="I633" i="3" s="1"/>
  <c r="G633" i="3"/>
  <c r="F633" i="3" s="1"/>
  <c r="M632" i="3"/>
  <c r="L632" i="3" s="1"/>
  <c r="J632" i="3"/>
  <c r="I632" i="3" s="1"/>
  <c r="G632" i="3"/>
  <c r="F632" i="3" s="1"/>
  <c r="M631" i="3"/>
  <c r="L631" i="3" s="1"/>
  <c r="J631" i="3"/>
  <c r="I631" i="3" s="1"/>
  <c r="G631" i="3"/>
  <c r="F631" i="3" s="1"/>
  <c r="M630" i="3"/>
  <c r="L630" i="3" s="1"/>
  <c r="J630" i="3"/>
  <c r="I630" i="3" s="1"/>
  <c r="G630" i="3"/>
  <c r="F630" i="3" s="1"/>
  <c r="M629" i="3"/>
  <c r="L629" i="3" s="1"/>
  <c r="J629" i="3"/>
  <c r="I629" i="3" s="1"/>
  <c r="G629" i="3"/>
  <c r="F629" i="3" s="1"/>
  <c r="M628" i="3"/>
  <c r="L628" i="3" s="1"/>
  <c r="J628" i="3"/>
  <c r="I628" i="3" s="1"/>
  <c r="G628" i="3"/>
  <c r="F628" i="3" s="1"/>
  <c r="M627" i="3"/>
  <c r="L627" i="3" s="1"/>
  <c r="J627" i="3"/>
  <c r="I627" i="3" s="1"/>
  <c r="G627" i="3"/>
  <c r="F627" i="3" s="1"/>
  <c r="M626" i="3"/>
  <c r="L626" i="3" s="1"/>
  <c r="J626" i="3"/>
  <c r="I626" i="3" s="1"/>
  <c r="G626" i="3"/>
  <c r="F626" i="3" s="1"/>
  <c r="M625" i="3"/>
  <c r="L625" i="3" s="1"/>
  <c r="J625" i="3"/>
  <c r="I625" i="3" s="1"/>
  <c r="G625" i="3"/>
  <c r="F625" i="3" s="1"/>
  <c r="M624" i="3"/>
  <c r="L624" i="3" s="1"/>
  <c r="J624" i="3"/>
  <c r="I624" i="3" s="1"/>
  <c r="G624" i="3"/>
  <c r="F624" i="3" s="1"/>
  <c r="M623" i="3"/>
  <c r="L623" i="3" s="1"/>
  <c r="J623" i="3"/>
  <c r="I623" i="3" s="1"/>
  <c r="G623" i="3"/>
  <c r="F623" i="3" s="1"/>
  <c r="M622" i="3"/>
  <c r="L622" i="3" s="1"/>
  <c r="J622" i="3"/>
  <c r="I622" i="3" s="1"/>
  <c r="G622" i="3"/>
  <c r="F622" i="3" s="1"/>
  <c r="M620" i="3"/>
  <c r="L620" i="3" s="1"/>
  <c r="J620" i="3"/>
  <c r="I620" i="3" s="1"/>
  <c r="G620" i="3"/>
  <c r="F620" i="3" s="1"/>
  <c r="M619" i="3"/>
  <c r="L619" i="3" s="1"/>
  <c r="J619" i="3"/>
  <c r="I619" i="3" s="1"/>
  <c r="G619" i="3"/>
  <c r="F619" i="3" s="1"/>
  <c r="M617" i="3"/>
  <c r="L617" i="3" s="1"/>
  <c r="J617" i="3"/>
  <c r="I617" i="3" s="1"/>
  <c r="G617" i="3"/>
  <c r="F617" i="3" s="1"/>
  <c r="M615" i="3"/>
  <c r="L615" i="3" s="1"/>
  <c r="J615" i="3"/>
  <c r="I615" i="3" s="1"/>
  <c r="G615" i="3"/>
  <c r="F615" i="3" s="1"/>
  <c r="M612" i="3"/>
  <c r="L612" i="3" s="1"/>
  <c r="J612" i="3"/>
  <c r="I612" i="3" s="1"/>
  <c r="G612" i="3"/>
  <c r="F612" i="3" s="1"/>
  <c r="M611" i="3"/>
  <c r="L611" i="3" s="1"/>
  <c r="J611" i="3"/>
  <c r="I611" i="3" s="1"/>
  <c r="G611" i="3"/>
  <c r="F611" i="3" s="1"/>
  <c r="M610" i="3"/>
  <c r="L610" i="3" s="1"/>
  <c r="J610" i="3"/>
  <c r="I610" i="3" s="1"/>
  <c r="G610" i="3"/>
  <c r="F610" i="3" s="1"/>
  <c r="M609" i="3"/>
  <c r="L609" i="3" s="1"/>
  <c r="J609" i="3"/>
  <c r="I609" i="3" s="1"/>
  <c r="G609" i="3"/>
  <c r="F609" i="3" s="1"/>
  <c r="M608" i="3"/>
  <c r="L608" i="3" s="1"/>
  <c r="J608" i="3"/>
  <c r="I608" i="3" s="1"/>
  <c r="G608" i="3"/>
  <c r="F608" i="3" s="1"/>
  <c r="M607" i="3"/>
  <c r="L607" i="3" s="1"/>
  <c r="J607" i="3"/>
  <c r="I607" i="3" s="1"/>
  <c r="G607" i="3"/>
  <c r="F607" i="3" s="1"/>
  <c r="M606" i="3"/>
  <c r="L606" i="3" s="1"/>
  <c r="J606" i="3"/>
  <c r="I606" i="3" s="1"/>
  <c r="G606" i="3"/>
  <c r="F606" i="3" s="1"/>
  <c r="M605" i="3"/>
  <c r="L605" i="3" s="1"/>
  <c r="J605" i="3"/>
  <c r="I605" i="3" s="1"/>
  <c r="G605" i="3"/>
  <c r="F605" i="3" s="1"/>
  <c r="M601" i="3"/>
  <c r="L601" i="3" s="1"/>
  <c r="J601" i="3"/>
  <c r="I601" i="3" s="1"/>
  <c r="G601" i="3"/>
  <c r="F601" i="3" s="1"/>
  <c r="M600" i="3"/>
  <c r="L600" i="3" s="1"/>
  <c r="J600" i="3"/>
  <c r="I600" i="3" s="1"/>
  <c r="G600" i="3"/>
  <c r="F600" i="3" s="1"/>
  <c r="M599" i="3"/>
  <c r="L599" i="3" s="1"/>
  <c r="J599" i="3"/>
  <c r="I599" i="3" s="1"/>
  <c r="G599" i="3"/>
  <c r="F599" i="3" s="1"/>
  <c r="M598" i="3"/>
  <c r="L598" i="3" s="1"/>
  <c r="J598" i="3"/>
  <c r="I598" i="3" s="1"/>
  <c r="G598" i="3"/>
  <c r="F598" i="3" s="1"/>
  <c r="M597" i="3"/>
  <c r="L597" i="3" s="1"/>
  <c r="J597" i="3"/>
  <c r="I597" i="3" s="1"/>
  <c r="G597" i="3"/>
  <c r="F597" i="3" s="1"/>
  <c r="M596" i="3"/>
  <c r="L596" i="3" s="1"/>
  <c r="J596" i="3"/>
  <c r="I596" i="3" s="1"/>
  <c r="G596" i="3"/>
  <c r="F596" i="3" s="1"/>
  <c r="M595" i="3"/>
  <c r="L595" i="3" s="1"/>
  <c r="J595" i="3"/>
  <c r="I595" i="3" s="1"/>
  <c r="G595" i="3"/>
  <c r="F595" i="3" s="1"/>
  <c r="M594" i="3"/>
  <c r="L594" i="3" s="1"/>
  <c r="J594" i="3"/>
  <c r="I594" i="3" s="1"/>
  <c r="G594" i="3"/>
  <c r="F594" i="3" s="1"/>
  <c r="M593" i="3"/>
  <c r="L593" i="3" s="1"/>
  <c r="J593" i="3"/>
  <c r="I593" i="3" s="1"/>
  <c r="G593" i="3"/>
  <c r="F593" i="3" s="1"/>
  <c r="M592" i="3"/>
  <c r="L592" i="3" s="1"/>
  <c r="J592" i="3"/>
  <c r="I592" i="3" s="1"/>
  <c r="G592" i="3"/>
  <c r="F592" i="3" s="1"/>
  <c r="M591" i="3"/>
  <c r="L591" i="3" s="1"/>
  <c r="J591" i="3"/>
  <c r="I591" i="3" s="1"/>
  <c r="G591" i="3"/>
  <c r="F591" i="3" s="1"/>
  <c r="M587" i="3"/>
  <c r="L587" i="3" s="1"/>
  <c r="J587" i="3"/>
  <c r="I587" i="3" s="1"/>
  <c r="G587" i="3"/>
  <c r="F587" i="3" s="1"/>
  <c r="M586" i="3"/>
  <c r="L586" i="3" s="1"/>
  <c r="J586" i="3"/>
  <c r="I586" i="3" s="1"/>
  <c r="G586" i="3"/>
  <c r="F586" i="3" s="1"/>
  <c r="M585" i="3"/>
  <c r="L585" i="3" s="1"/>
  <c r="J585" i="3"/>
  <c r="I585" i="3" s="1"/>
  <c r="G585" i="3"/>
  <c r="F585" i="3" s="1"/>
  <c r="M584" i="3"/>
  <c r="L584" i="3" s="1"/>
  <c r="J584" i="3"/>
  <c r="I584" i="3" s="1"/>
  <c r="G584" i="3"/>
  <c r="F584" i="3" s="1"/>
  <c r="M583" i="3"/>
  <c r="L583" i="3" s="1"/>
  <c r="J583" i="3"/>
  <c r="I583" i="3" s="1"/>
  <c r="G583" i="3"/>
  <c r="F583" i="3" s="1"/>
  <c r="M582" i="3"/>
  <c r="L582" i="3" s="1"/>
  <c r="J582" i="3"/>
  <c r="I582" i="3" s="1"/>
  <c r="G582" i="3"/>
  <c r="F582" i="3" s="1"/>
  <c r="M581" i="3"/>
  <c r="L581" i="3" s="1"/>
  <c r="J581" i="3"/>
  <c r="I581" i="3" s="1"/>
  <c r="G581" i="3"/>
  <c r="F581" i="3" s="1"/>
  <c r="M580" i="3"/>
  <c r="L580" i="3" s="1"/>
  <c r="J580" i="3"/>
  <c r="I580" i="3" s="1"/>
  <c r="G580" i="3"/>
  <c r="F580" i="3" s="1"/>
  <c r="M579" i="3"/>
  <c r="L579" i="3" s="1"/>
  <c r="J579" i="3"/>
  <c r="I579" i="3" s="1"/>
  <c r="G579" i="3"/>
  <c r="F579" i="3" s="1"/>
  <c r="M578" i="3"/>
  <c r="L578" i="3" s="1"/>
  <c r="J578" i="3"/>
  <c r="I578" i="3" s="1"/>
  <c r="G578" i="3"/>
  <c r="F578" i="3" s="1"/>
  <c r="M577" i="3"/>
  <c r="L577" i="3" s="1"/>
  <c r="J577" i="3"/>
  <c r="I577" i="3" s="1"/>
  <c r="G577" i="3"/>
  <c r="F577" i="3" s="1"/>
  <c r="M575" i="3"/>
  <c r="L575" i="3" s="1"/>
  <c r="J575" i="3"/>
  <c r="I575" i="3" s="1"/>
  <c r="G575" i="3"/>
  <c r="F575" i="3" s="1"/>
  <c r="M574" i="3"/>
  <c r="L574" i="3" s="1"/>
  <c r="J574" i="3"/>
  <c r="I574" i="3" s="1"/>
  <c r="G574" i="3"/>
  <c r="F574" i="3" s="1"/>
  <c r="M573" i="3"/>
  <c r="L573" i="3" s="1"/>
  <c r="J573" i="3"/>
  <c r="I573" i="3" s="1"/>
  <c r="G573" i="3"/>
  <c r="F573" i="3" s="1"/>
  <c r="M572" i="3"/>
  <c r="L572" i="3" s="1"/>
  <c r="J572" i="3"/>
  <c r="I572" i="3" s="1"/>
  <c r="G572" i="3"/>
  <c r="F572" i="3" s="1"/>
  <c r="M569" i="3"/>
  <c r="L569" i="3" s="1"/>
  <c r="J569" i="3"/>
  <c r="I569" i="3" s="1"/>
  <c r="G569" i="3"/>
  <c r="F569" i="3" s="1"/>
  <c r="M568" i="3"/>
  <c r="L568" i="3" s="1"/>
  <c r="J568" i="3"/>
  <c r="I568" i="3" s="1"/>
  <c r="G568" i="3"/>
  <c r="F568" i="3" s="1"/>
  <c r="M567" i="3"/>
  <c r="L567" i="3" s="1"/>
  <c r="J567" i="3"/>
  <c r="I567" i="3" s="1"/>
  <c r="G567" i="3"/>
  <c r="F567" i="3" s="1"/>
  <c r="M563" i="3"/>
  <c r="L563" i="3" s="1"/>
  <c r="J563" i="3"/>
  <c r="I563" i="3" s="1"/>
  <c r="G563" i="3"/>
  <c r="F563" i="3" s="1"/>
  <c r="M561" i="3"/>
  <c r="L561" i="3" s="1"/>
  <c r="J561" i="3"/>
  <c r="I561" i="3" s="1"/>
  <c r="G561" i="3"/>
  <c r="F561" i="3" s="1"/>
  <c r="M559" i="3"/>
  <c r="L559" i="3" s="1"/>
  <c r="J559" i="3"/>
  <c r="I559" i="3" s="1"/>
  <c r="G559" i="3"/>
  <c r="F559" i="3" s="1"/>
  <c r="M556" i="3"/>
  <c r="L556" i="3" s="1"/>
  <c r="J556" i="3"/>
  <c r="I556" i="3" s="1"/>
  <c r="G556" i="3"/>
  <c r="F556" i="3" s="1"/>
  <c r="M552" i="3"/>
  <c r="L552" i="3" s="1"/>
  <c r="J552" i="3"/>
  <c r="I552" i="3" s="1"/>
  <c r="G552" i="3"/>
  <c r="F552" i="3" s="1"/>
  <c r="M551" i="3"/>
  <c r="L551" i="3" s="1"/>
  <c r="J551" i="3"/>
  <c r="I551" i="3" s="1"/>
  <c r="G551" i="3"/>
  <c r="F551" i="3" s="1"/>
  <c r="M550" i="3"/>
  <c r="L550" i="3" s="1"/>
  <c r="J550" i="3"/>
  <c r="I550" i="3" s="1"/>
  <c r="G550" i="3"/>
  <c r="F550" i="3" s="1"/>
  <c r="M548" i="3"/>
  <c r="L548" i="3" s="1"/>
  <c r="J548" i="3"/>
  <c r="I548" i="3" s="1"/>
  <c r="G548" i="3"/>
  <c r="F548" i="3" s="1"/>
  <c r="M546" i="3"/>
  <c r="L546" i="3" s="1"/>
  <c r="J546" i="3"/>
  <c r="I546" i="3" s="1"/>
  <c r="G546" i="3"/>
  <c r="F546" i="3" s="1"/>
  <c r="M545" i="3"/>
  <c r="L545" i="3" s="1"/>
  <c r="J545" i="3"/>
  <c r="I545" i="3" s="1"/>
  <c r="G545" i="3"/>
  <c r="F545" i="3" s="1"/>
  <c r="M542" i="3"/>
  <c r="L542" i="3" s="1"/>
  <c r="J542" i="3"/>
  <c r="I542" i="3" s="1"/>
  <c r="G542" i="3"/>
  <c r="F542" i="3" s="1"/>
  <c r="M540" i="3"/>
  <c r="L540" i="3" s="1"/>
  <c r="J540" i="3"/>
  <c r="I540" i="3" s="1"/>
  <c r="G540" i="3"/>
  <c r="F540" i="3" s="1"/>
  <c r="M539" i="3"/>
  <c r="L539" i="3" s="1"/>
  <c r="J539" i="3"/>
  <c r="I539" i="3" s="1"/>
  <c r="G539" i="3"/>
  <c r="F539" i="3" s="1"/>
  <c r="M538" i="3"/>
  <c r="L538" i="3" s="1"/>
  <c r="J538" i="3"/>
  <c r="I538" i="3" s="1"/>
  <c r="G538" i="3"/>
  <c r="F538" i="3" s="1"/>
  <c r="M537" i="3"/>
  <c r="L537" i="3" s="1"/>
  <c r="J537" i="3"/>
  <c r="I537" i="3" s="1"/>
  <c r="G537" i="3"/>
  <c r="F537" i="3" s="1"/>
  <c r="M536" i="3"/>
  <c r="L536" i="3" s="1"/>
  <c r="J536" i="3"/>
  <c r="I536" i="3" s="1"/>
  <c r="G536" i="3"/>
  <c r="F536" i="3" s="1"/>
  <c r="M535" i="3"/>
  <c r="L535" i="3" s="1"/>
  <c r="J535" i="3"/>
  <c r="I535" i="3" s="1"/>
  <c r="G535" i="3"/>
  <c r="F535" i="3" s="1"/>
  <c r="M534" i="3"/>
  <c r="L534" i="3" s="1"/>
  <c r="J534" i="3"/>
  <c r="I534" i="3" s="1"/>
  <c r="G534" i="3"/>
  <c r="F534" i="3" s="1"/>
  <c r="M533" i="3"/>
  <c r="L533" i="3" s="1"/>
  <c r="J533" i="3"/>
  <c r="I533" i="3" s="1"/>
  <c r="G533" i="3"/>
  <c r="F533" i="3" s="1"/>
  <c r="M532" i="3"/>
  <c r="L532" i="3" s="1"/>
  <c r="J532" i="3"/>
  <c r="I532" i="3" s="1"/>
  <c r="G532" i="3"/>
  <c r="F532" i="3" s="1"/>
  <c r="M530" i="3"/>
  <c r="L530" i="3" s="1"/>
  <c r="J530" i="3"/>
  <c r="I530" i="3" s="1"/>
  <c r="G530" i="3"/>
  <c r="F530" i="3" s="1"/>
  <c r="M527" i="3"/>
  <c r="L527" i="3" s="1"/>
  <c r="J527" i="3"/>
  <c r="I527" i="3" s="1"/>
  <c r="G527" i="3"/>
  <c r="F527" i="3" s="1"/>
  <c r="M525" i="3"/>
  <c r="L525" i="3" s="1"/>
  <c r="J525" i="3"/>
  <c r="I525" i="3" s="1"/>
  <c r="G525" i="3"/>
  <c r="F525" i="3" s="1"/>
  <c r="M520" i="3"/>
  <c r="L520" i="3" s="1"/>
  <c r="J520" i="3"/>
  <c r="I520" i="3" s="1"/>
  <c r="G520" i="3"/>
  <c r="F520" i="3" s="1"/>
  <c r="M519" i="3"/>
  <c r="L519" i="3" s="1"/>
  <c r="J519" i="3"/>
  <c r="I519" i="3" s="1"/>
  <c r="G519" i="3"/>
  <c r="F519" i="3" s="1"/>
  <c r="M518" i="3"/>
  <c r="L518" i="3" s="1"/>
  <c r="J518" i="3"/>
  <c r="I518" i="3" s="1"/>
  <c r="G518" i="3"/>
  <c r="F518" i="3" s="1"/>
  <c r="M517" i="3"/>
  <c r="L517" i="3" s="1"/>
  <c r="J517" i="3"/>
  <c r="I517" i="3" s="1"/>
  <c r="G517" i="3"/>
  <c r="F517" i="3" s="1"/>
  <c r="M516" i="3"/>
  <c r="L516" i="3" s="1"/>
  <c r="J516" i="3"/>
  <c r="I516" i="3" s="1"/>
  <c r="G516" i="3"/>
  <c r="F516" i="3" s="1"/>
  <c r="M514" i="3"/>
  <c r="L514" i="3" s="1"/>
  <c r="J514" i="3"/>
  <c r="I514" i="3" s="1"/>
  <c r="G514" i="3"/>
  <c r="F514" i="3" s="1"/>
  <c r="M513" i="3"/>
  <c r="L513" i="3" s="1"/>
  <c r="J513" i="3"/>
  <c r="I513" i="3" s="1"/>
  <c r="G513" i="3"/>
  <c r="F513" i="3" s="1"/>
  <c r="M512" i="3"/>
  <c r="L512" i="3" s="1"/>
  <c r="J512" i="3"/>
  <c r="I512" i="3" s="1"/>
  <c r="G512" i="3"/>
  <c r="F512" i="3" s="1"/>
  <c r="M511" i="3"/>
  <c r="L511" i="3" s="1"/>
  <c r="J511" i="3"/>
  <c r="I511" i="3" s="1"/>
  <c r="G511" i="3"/>
  <c r="F511" i="3" s="1"/>
  <c r="M510" i="3"/>
  <c r="L510" i="3" s="1"/>
  <c r="J510" i="3"/>
  <c r="I510" i="3" s="1"/>
  <c r="G510" i="3"/>
  <c r="F510" i="3" s="1"/>
  <c r="M507" i="3"/>
  <c r="L507" i="3" s="1"/>
  <c r="J507" i="3"/>
  <c r="I507" i="3" s="1"/>
  <c r="G507" i="3"/>
  <c r="F507" i="3" s="1"/>
  <c r="M506" i="3"/>
  <c r="L506" i="3" s="1"/>
  <c r="J506" i="3"/>
  <c r="I506" i="3" s="1"/>
  <c r="G506" i="3"/>
  <c r="F506" i="3" s="1"/>
  <c r="M505" i="3"/>
  <c r="L505" i="3" s="1"/>
  <c r="J505" i="3"/>
  <c r="I505" i="3" s="1"/>
  <c r="G505" i="3"/>
  <c r="F505" i="3" s="1"/>
  <c r="M504" i="3"/>
  <c r="L504" i="3" s="1"/>
  <c r="J504" i="3"/>
  <c r="I504" i="3" s="1"/>
  <c r="G504" i="3"/>
  <c r="F504" i="3" s="1"/>
  <c r="M503" i="3"/>
  <c r="L503" i="3" s="1"/>
  <c r="J503" i="3"/>
  <c r="I503" i="3" s="1"/>
  <c r="G503" i="3"/>
  <c r="F503" i="3" s="1"/>
  <c r="M502" i="3"/>
  <c r="L502" i="3" s="1"/>
  <c r="J502" i="3"/>
  <c r="I502" i="3" s="1"/>
  <c r="G502" i="3"/>
  <c r="F502" i="3" s="1"/>
  <c r="M501" i="3"/>
  <c r="L501" i="3" s="1"/>
  <c r="J501" i="3"/>
  <c r="I501" i="3" s="1"/>
  <c r="G501" i="3"/>
  <c r="F501" i="3" s="1"/>
  <c r="M497" i="3"/>
  <c r="L497" i="3" s="1"/>
  <c r="J497" i="3"/>
  <c r="I497" i="3" s="1"/>
  <c r="G497" i="3"/>
  <c r="F497" i="3" s="1"/>
  <c r="M496" i="3"/>
  <c r="L496" i="3" s="1"/>
  <c r="J496" i="3"/>
  <c r="I496" i="3" s="1"/>
  <c r="G496" i="3"/>
  <c r="F496" i="3" s="1"/>
  <c r="M495" i="3"/>
  <c r="L495" i="3" s="1"/>
  <c r="J495" i="3"/>
  <c r="I495" i="3" s="1"/>
  <c r="G495" i="3"/>
  <c r="F495" i="3" s="1"/>
  <c r="M488" i="3"/>
  <c r="L488" i="3" s="1"/>
  <c r="J488" i="3"/>
  <c r="I488" i="3" s="1"/>
  <c r="G488" i="3"/>
  <c r="F488" i="3" s="1"/>
  <c r="M486" i="3"/>
  <c r="L486" i="3" s="1"/>
  <c r="J486" i="3"/>
  <c r="I486" i="3" s="1"/>
  <c r="G486" i="3"/>
  <c r="F486" i="3" s="1"/>
  <c r="M485" i="3"/>
  <c r="L485" i="3" s="1"/>
  <c r="J485" i="3"/>
  <c r="I485" i="3" s="1"/>
  <c r="G485" i="3"/>
  <c r="F485" i="3" s="1"/>
  <c r="M484" i="3"/>
  <c r="L484" i="3" s="1"/>
  <c r="J484" i="3"/>
  <c r="I484" i="3" s="1"/>
  <c r="G484" i="3"/>
  <c r="F484" i="3" s="1"/>
  <c r="M482" i="3"/>
  <c r="L482" i="3" s="1"/>
  <c r="J482" i="3"/>
  <c r="I482" i="3" s="1"/>
  <c r="G482" i="3"/>
  <c r="F482" i="3" s="1"/>
  <c r="M478" i="3"/>
  <c r="L478" i="3" s="1"/>
  <c r="J478" i="3"/>
  <c r="I478" i="3" s="1"/>
  <c r="G478" i="3"/>
  <c r="F478" i="3" s="1"/>
  <c r="M477" i="3"/>
  <c r="L477" i="3" s="1"/>
  <c r="J477" i="3"/>
  <c r="I477" i="3" s="1"/>
  <c r="G477" i="3"/>
  <c r="F477" i="3" s="1"/>
  <c r="M476" i="3"/>
  <c r="L476" i="3" s="1"/>
  <c r="J476" i="3"/>
  <c r="I476" i="3" s="1"/>
  <c r="G476" i="3"/>
  <c r="F476" i="3" s="1"/>
  <c r="M474" i="3"/>
  <c r="L474" i="3" s="1"/>
  <c r="J474" i="3"/>
  <c r="I474" i="3" s="1"/>
  <c r="G474" i="3"/>
  <c r="F474" i="3" s="1"/>
  <c r="M473" i="3"/>
  <c r="L473" i="3" s="1"/>
  <c r="J473" i="3"/>
  <c r="I473" i="3" s="1"/>
  <c r="G473" i="3"/>
  <c r="F473" i="3" s="1"/>
  <c r="M472" i="3"/>
  <c r="L472" i="3" s="1"/>
  <c r="J472" i="3"/>
  <c r="I472" i="3" s="1"/>
  <c r="G472" i="3"/>
  <c r="F472" i="3" s="1"/>
  <c r="M470" i="3"/>
  <c r="L470" i="3" s="1"/>
  <c r="J470" i="3"/>
  <c r="I470" i="3" s="1"/>
  <c r="G470" i="3"/>
  <c r="F470" i="3" s="1"/>
  <c r="J469" i="3"/>
  <c r="I469" i="3" s="1"/>
  <c r="G469" i="3"/>
  <c r="F469" i="3" s="1"/>
  <c r="M469" i="3"/>
  <c r="L469" i="3" s="1"/>
  <c r="J468" i="3"/>
  <c r="I468" i="3" s="1"/>
  <c r="M468" i="3"/>
  <c r="L468" i="3" s="1"/>
  <c r="G468" i="3"/>
  <c r="F468" i="3" s="1"/>
  <c r="J467" i="3"/>
  <c r="I467" i="3" s="1"/>
  <c r="G467" i="3"/>
  <c r="F467" i="3" s="1"/>
  <c r="M467" i="3"/>
  <c r="L467" i="3" s="1"/>
  <c r="G464" i="3"/>
  <c r="F464" i="3" s="1"/>
  <c r="M464" i="3"/>
  <c r="L464" i="3" s="1"/>
  <c r="J464" i="3"/>
  <c r="I464" i="3" s="1"/>
  <c r="J463" i="3"/>
  <c r="I463" i="3" s="1"/>
  <c r="G463" i="3"/>
  <c r="F463" i="3" s="1"/>
  <c r="M463" i="3"/>
  <c r="L463" i="3" s="1"/>
  <c r="M462" i="3"/>
  <c r="L462" i="3" s="1"/>
  <c r="G462" i="3"/>
  <c r="F462" i="3" s="1"/>
  <c r="J462" i="3"/>
  <c r="I462" i="3" s="1"/>
  <c r="M461" i="3"/>
  <c r="L461" i="3" s="1"/>
  <c r="G461" i="3"/>
  <c r="F461" i="3" s="1"/>
  <c r="J461" i="3"/>
  <c r="I461" i="3" s="1"/>
  <c r="J459" i="3"/>
  <c r="I459" i="3" s="1"/>
  <c r="M459" i="3"/>
  <c r="L459" i="3" s="1"/>
  <c r="G459" i="3"/>
  <c r="F459" i="3" s="1"/>
  <c r="J458" i="3"/>
  <c r="I458" i="3" s="1"/>
  <c r="M458" i="3"/>
  <c r="L458" i="3" s="1"/>
  <c r="G458" i="3"/>
  <c r="F458" i="3" s="1"/>
  <c r="J457" i="3"/>
  <c r="I457" i="3" s="1"/>
  <c r="M457" i="3"/>
  <c r="L457" i="3" s="1"/>
  <c r="G457" i="3"/>
  <c r="F457" i="3" s="1"/>
  <c r="M456" i="3"/>
  <c r="L456" i="3" s="1"/>
  <c r="G456" i="3"/>
  <c r="F456" i="3" s="1"/>
  <c r="J456" i="3"/>
  <c r="I456" i="3" s="1"/>
  <c r="G454" i="3"/>
  <c r="F454" i="3" s="1"/>
  <c r="M454" i="3"/>
  <c r="L454" i="3" s="1"/>
  <c r="J454" i="3"/>
  <c r="I454" i="3" s="1"/>
  <c r="G452" i="3"/>
  <c r="F452" i="3" s="1"/>
  <c r="M452" i="3"/>
  <c r="L452" i="3" s="1"/>
  <c r="J452" i="3"/>
  <c r="I452" i="3" s="1"/>
  <c r="J451" i="3"/>
  <c r="I451" i="3" s="1"/>
  <c r="M451" i="3"/>
  <c r="L451" i="3" s="1"/>
  <c r="G451" i="3"/>
  <c r="F451" i="3" s="1"/>
  <c r="G450" i="3"/>
  <c r="F450" i="3" s="1"/>
  <c r="J450" i="3"/>
  <c r="I450" i="3" s="1"/>
  <c r="M450" i="3"/>
  <c r="L450" i="3" s="1"/>
  <c r="J449" i="3"/>
  <c r="I449" i="3" s="1"/>
  <c r="G449" i="3"/>
  <c r="F449" i="3" s="1"/>
  <c r="M449" i="3"/>
  <c r="L449" i="3" s="1"/>
  <c r="J442" i="3"/>
  <c r="I442" i="3" s="1"/>
  <c r="M442" i="3"/>
  <c r="L442" i="3" s="1"/>
  <c r="G442" i="3"/>
  <c r="F442" i="3" s="1"/>
  <c r="M441" i="3"/>
  <c r="L441" i="3" s="1"/>
  <c r="G441" i="3"/>
  <c r="F441" i="3" s="1"/>
  <c r="J441" i="3"/>
  <c r="I441" i="3" s="1"/>
  <c r="M440" i="3"/>
  <c r="L440" i="3" s="1"/>
  <c r="G440" i="3"/>
  <c r="F440" i="3" s="1"/>
  <c r="J440" i="3"/>
  <c r="I440" i="3" s="1"/>
  <c r="M436" i="3"/>
  <c r="L436" i="3" s="1"/>
  <c r="G436" i="3"/>
  <c r="F436" i="3" s="1"/>
  <c r="J436" i="3"/>
  <c r="I436" i="3" s="1"/>
  <c r="M434" i="3"/>
  <c r="L434" i="3" s="1"/>
  <c r="G434" i="3"/>
  <c r="F434" i="3" s="1"/>
  <c r="J434" i="3"/>
  <c r="I434" i="3" s="1"/>
  <c r="M431" i="3"/>
  <c r="L431" i="3" s="1"/>
  <c r="J431" i="3"/>
  <c r="I431" i="3" s="1"/>
  <c r="G431" i="3"/>
  <c r="F431" i="3" s="1"/>
  <c r="M430" i="3"/>
  <c r="L430" i="3" s="1"/>
  <c r="J430" i="3"/>
  <c r="I430" i="3" s="1"/>
  <c r="G430" i="3"/>
  <c r="F430" i="3" s="1"/>
  <c r="M428" i="3"/>
  <c r="L428" i="3" s="1"/>
  <c r="J428" i="3"/>
  <c r="I428" i="3" s="1"/>
  <c r="G428" i="3"/>
  <c r="F428" i="3" s="1"/>
  <c r="M427" i="3"/>
  <c r="L427" i="3" s="1"/>
  <c r="J427" i="3"/>
  <c r="I427" i="3" s="1"/>
  <c r="G427" i="3"/>
  <c r="F427" i="3" s="1"/>
  <c r="M425" i="3"/>
  <c r="L425" i="3" s="1"/>
  <c r="J425" i="3"/>
  <c r="I425" i="3" s="1"/>
  <c r="G425" i="3"/>
  <c r="F425" i="3" s="1"/>
  <c r="M424" i="3"/>
  <c r="L424" i="3" s="1"/>
  <c r="J424" i="3"/>
  <c r="I424" i="3" s="1"/>
  <c r="G424" i="3"/>
  <c r="F424" i="3" s="1"/>
  <c r="M423" i="3"/>
  <c r="L423" i="3" s="1"/>
  <c r="J423" i="3"/>
  <c r="I423" i="3" s="1"/>
  <c r="G423" i="3"/>
  <c r="F423" i="3" s="1"/>
  <c r="M421" i="3"/>
  <c r="L421" i="3" s="1"/>
  <c r="J421" i="3"/>
  <c r="I421" i="3" s="1"/>
  <c r="G421" i="3"/>
  <c r="F421" i="3" s="1"/>
  <c r="M420" i="3"/>
  <c r="L420" i="3" s="1"/>
  <c r="J420" i="3"/>
  <c r="I420" i="3" s="1"/>
  <c r="G420" i="3"/>
  <c r="F420" i="3" s="1"/>
  <c r="M417" i="3"/>
  <c r="L417" i="3" s="1"/>
  <c r="J417" i="3"/>
  <c r="I417" i="3" s="1"/>
  <c r="G417" i="3"/>
  <c r="F417" i="3" s="1"/>
  <c r="M415" i="3"/>
  <c r="L415" i="3" s="1"/>
  <c r="J415" i="3"/>
  <c r="I415" i="3" s="1"/>
  <c r="G415" i="3"/>
  <c r="F415" i="3" s="1"/>
  <c r="M411" i="3"/>
  <c r="L411" i="3" s="1"/>
  <c r="J411" i="3"/>
  <c r="I411" i="3" s="1"/>
  <c r="G411" i="3"/>
  <c r="F411" i="3" s="1"/>
  <c r="M408" i="3"/>
  <c r="L408" i="3" s="1"/>
  <c r="J408" i="3"/>
  <c r="I408" i="3" s="1"/>
  <c r="G408" i="3"/>
  <c r="F408" i="3" s="1"/>
  <c r="M406" i="3"/>
  <c r="L406" i="3" s="1"/>
  <c r="J406" i="3"/>
  <c r="I406" i="3" s="1"/>
  <c r="G406" i="3"/>
  <c r="F406" i="3" s="1"/>
  <c r="M404" i="3"/>
  <c r="L404" i="3" s="1"/>
  <c r="J404" i="3"/>
  <c r="I404" i="3" s="1"/>
  <c r="G404" i="3"/>
  <c r="F404" i="3" s="1"/>
  <c r="M403" i="3"/>
  <c r="L403" i="3" s="1"/>
  <c r="J403" i="3"/>
  <c r="I403" i="3" s="1"/>
  <c r="G403" i="3"/>
  <c r="F403" i="3" s="1"/>
  <c r="M402" i="3"/>
  <c r="L402" i="3" s="1"/>
  <c r="J402" i="3"/>
  <c r="I402" i="3" s="1"/>
  <c r="G402" i="3"/>
  <c r="F402" i="3" s="1"/>
  <c r="M401" i="3"/>
  <c r="L401" i="3" s="1"/>
  <c r="J401" i="3"/>
  <c r="I401" i="3" s="1"/>
  <c r="G401" i="3"/>
  <c r="F401" i="3" s="1"/>
  <c r="M393" i="3"/>
  <c r="L393" i="3" s="1"/>
  <c r="J393" i="3"/>
  <c r="I393" i="3" s="1"/>
  <c r="G393" i="3"/>
  <c r="F393" i="3" s="1"/>
  <c r="M392" i="3"/>
  <c r="L392" i="3" s="1"/>
  <c r="J392" i="3"/>
  <c r="I392" i="3" s="1"/>
  <c r="G392" i="3"/>
  <c r="F392" i="3" s="1"/>
  <c r="M391" i="3"/>
  <c r="L391" i="3" s="1"/>
  <c r="J391" i="3"/>
  <c r="I391" i="3" s="1"/>
  <c r="G391" i="3"/>
  <c r="F391" i="3" s="1"/>
  <c r="M390" i="3"/>
  <c r="L390" i="3" s="1"/>
  <c r="J390" i="3"/>
  <c r="I390" i="3" s="1"/>
  <c r="G390" i="3"/>
  <c r="F390" i="3" s="1"/>
  <c r="M389" i="3"/>
  <c r="L389" i="3" s="1"/>
  <c r="J389" i="3"/>
  <c r="I389" i="3" s="1"/>
  <c r="G389" i="3"/>
  <c r="F389" i="3" s="1"/>
  <c r="M386" i="3"/>
  <c r="L386" i="3" s="1"/>
  <c r="J386" i="3"/>
  <c r="I386" i="3" s="1"/>
  <c r="G386" i="3"/>
  <c r="F386" i="3" s="1"/>
  <c r="M384" i="3"/>
  <c r="L384" i="3" s="1"/>
  <c r="J384" i="3"/>
  <c r="I384" i="3" s="1"/>
  <c r="G384" i="3"/>
  <c r="F384" i="3" s="1"/>
  <c r="M383" i="3"/>
  <c r="L383" i="3" s="1"/>
  <c r="J383" i="3"/>
  <c r="I383" i="3" s="1"/>
  <c r="G383" i="3"/>
  <c r="F383" i="3" s="1"/>
  <c r="M382" i="3"/>
  <c r="L382" i="3" s="1"/>
  <c r="J382" i="3"/>
  <c r="I382" i="3" s="1"/>
  <c r="G382" i="3"/>
  <c r="F382" i="3" s="1"/>
  <c r="M381" i="3"/>
  <c r="L381" i="3" s="1"/>
  <c r="J381" i="3"/>
  <c r="I381" i="3" s="1"/>
  <c r="G381" i="3"/>
  <c r="F381" i="3" s="1"/>
  <c r="M377" i="3"/>
  <c r="L377" i="3" s="1"/>
  <c r="J377" i="3"/>
  <c r="I377" i="3" s="1"/>
  <c r="G377" i="3"/>
  <c r="F377" i="3" s="1"/>
  <c r="M374" i="3"/>
  <c r="L374" i="3" s="1"/>
  <c r="J374" i="3"/>
  <c r="I374" i="3" s="1"/>
  <c r="G374" i="3"/>
  <c r="F374" i="3" s="1"/>
  <c r="M373" i="3"/>
  <c r="L373" i="3" s="1"/>
  <c r="J373" i="3"/>
  <c r="I373" i="3" s="1"/>
  <c r="G373" i="3"/>
  <c r="F373" i="3" s="1"/>
  <c r="M371" i="3"/>
  <c r="L371" i="3" s="1"/>
  <c r="J371" i="3"/>
  <c r="I371" i="3" s="1"/>
  <c r="G371" i="3"/>
  <c r="F371" i="3" s="1"/>
  <c r="M369" i="3"/>
  <c r="L369" i="3" s="1"/>
  <c r="J369" i="3"/>
  <c r="I369" i="3" s="1"/>
  <c r="G369" i="3"/>
  <c r="F369" i="3" s="1"/>
  <c r="M366" i="3"/>
  <c r="L366" i="3" s="1"/>
  <c r="J366" i="3"/>
  <c r="I366" i="3" s="1"/>
  <c r="G366" i="3"/>
  <c r="F366" i="3" s="1"/>
  <c r="M364" i="3"/>
  <c r="L364" i="3" s="1"/>
  <c r="J364" i="3"/>
  <c r="I364" i="3" s="1"/>
  <c r="G364" i="3"/>
  <c r="F364" i="3" s="1"/>
  <c r="M363" i="3"/>
  <c r="L363" i="3" s="1"/>
  <c r="J363" i="3"/>
  <c r="I363" i="3" s="1"/>
  <c r="G363" i="3"/>
  <c r="F363" i="3" s="1"/>
  <c r="M362" i="3"/>
  <c r="L362" i="3" s="1"/>
  <c r="J362" i="3"/>
  <c r="I362" i="3" s="1"/>
  <c r="G362" i="3"/>
  <c r="F362" i="3" s="1"/>
  <c r="M360" i="3"/>
  <c r="L360" i="3" s="1"/>
  <c r="J360" i="3"/>
  <c r="I360" i="3" s="1"/>
  <c r="G360" i="3"/>
  <c r="F360" i="3" s="1"/>
  <c r="M359" i="3"/>
  <c r="L359" i="3" s="1"/>
  <c r="J359" i="3"/>
  <c r="I359" i="3" s="1"/>
  <c r="G359" i="3"/>
  <c r="F359" i="3" s="1"/>
  <c r="M358" i="3"/>
  <c r="L358" i="3" s="1"/>
  <c r="J358" i="3"/>
  <c r="I358" i="3" s="1"/>
  <c r="G358" i="3"/>
  <c r="F358" i="3" s="1"/>
  <c r="M357" i="3"/>
  <c r="L357" i="3" s="1"/>
  <c r="J357" i="3"/>
  <c r="I357" i="3" s="1"/>
  <c r="G357" i="3"/>
  <c r="F357" i="3" s="1"/>
  <c r="M356" i="3"/>
  <c r="L356" i="3" s="1"/>
  <c r="J356" i="3"/>
  <c r="I356" i="3" s="1"/>
  <c r="G356" i="3"/>
  <c r="F356" i="3" s="1"/>
  <c r="M352" i="3"/>
  <c r="L352" i="3" s="1"/>
  <c r="J352" i="3"/>
  <c r="I352" i="3" s="1"/>
  <c r="G352" i="3"/>
  <c r="F352" i="3" s="1"/>
  <c r="M351" i="3"/>
  <c r="L351" i="3" s="1"/>
  <c r="J351" i="3"/>
  <c r="I351" i="3" s="1"/>
  <c r="G351" i="3"/>
  <c r="F351" i="3" s="1"/>
  <c r="M350" i="3"/>
  <c r="L350" i="3" s="1"/>
  <c r="J350" i="3"/>
  <c r="I350" i="3" s="1"/>
  <c r="G350" i="3"/>
  <c r="F350" i="3" s="1"/>
  <c r="M349" i="3"/>
  <c r="L349" i="3" s="1"/>
  <c r="J349" i="3"/>
  <c r="I349" i="3" s="1"/>
  <c r="G349" i="3"/>
  <c r="F349" i="3" s="1"/>
  <c r="M347" i="3"/>
  <c r="L347" i="3" s="1"/>
  <c r="J347" i="3"/>
  <c r="I347" i="3" s="1"/>
  <c r="G347" i="3"/>
  <c r="F347" i="3" s="1"/>
  <c r="M346" i="3"/>
  <c r="L346" i="3" s="1"/>
  <c r="J346" i="3"/>
  <c r="I346" i="3" s="1"/>
  <c r="G346" i="3"/>
  <c r="F346" i="3" s="1"/>
  <c r="M344" i="3"/>
  <c r="L344" i="3" s="1"/>
  <c r="J344" i="3"/>
  <c r="I344" i="3" s="1"/>
  <c r="G344" i="3"/>
  <c r="F344" i="3" s="1"/>
  <c r="M343" i="3"/>
  <c r="L343" i="3" s="1"/>
  <c r="J343" i="3"/>
  <c r="I343" i="3" s="1"/>
  <c r="G343" i="3"/>
  <c r="F343" i="3" s="1"/>
  <c r="M342" i="3"/>
  <c r="L342" i="3" s="1"/>
  <c r="J342" i="3"/>
  <c r="I342" i="3" s="1"/>
  <c r="G342" i="3"/>
  <c r="F342" i="3" s="1"/>
  <c r="M341" i="3"/>
  <c r="L341" i="3" s="1"/>
  <c r="J341" i="3"/>
  <c r="I341" i="3" s="1"/>
  <c r="G341" i="3"/>
  <c r="F341" i="3" s="1"/>
  <c r="M340" i="3"/>
  <c r="L340" i="3" s="1"/>
  <c r="J340" i="3"/>
  <c r="I340" i="3" s="1"/>
  <c r="G340" i="3"/>
  <c r="F340" i="3" s="1"/>
  <c r="M339" i="3"/>
  <c r="L339" i="3" s="1"/>
  <c r="J339" i="3"/>
  <c r="I339" i="3" s="1"/>
  <c r="G339" i="3"/>
  <c r="F339" i="3" s="1"/>
  <c r="M338" i="3"/>
  <c r="L338" i="3" s="1"/>
  <c r="J338" i="3"/>
  <c r="I338" i="3" s="1"/>
  <c r="G338" i="3"/>
  <c r="F338" i="3" s="1"/>
  <c r="M337" i="3"/>
  <c r="L337" i="3" s="1"/>
  <c r="J337" i="3"/>
  <c r="I337" i="3" s="1"/>
  <c r="G337" i="3"/>
  <c r="F337" i="3" s="1"/>
  <c r="M336" i="3"/>
  <c r="L336" i="3" s="1"/>
  <c r="J336" i="3"/>
  <c r="I336" i="3" s="1"/>
  <c r="G336" i="3"/>
  <c r="F336" i="3" s="1"/>
  <c r="M335" i="3"/>
  <c r="L335" i="3" s="1"/>
  <c r="J335" i="3"/>
  <c r="I335" i="3" s="1"/>
  <c r="G335" i="3"/>
  <c r="F335" i="3" s="1"/>
  <c r="M334" i="3"/>
  <c r="L334" i="3" s="1"/>
  <c r="J334" i="3"/>
  <c r="I334" i="3" s="1"/>
  <c r="G334" i="3"/>
  <c r="F334" i="3" s="1"/>
  <c r="M333" i="3"/>
  <c r="L333" i="3" s="1"/>
  <c r="J333" i="3"/>
  <c r="I333" i="3" s="1"/>
  <c r="G333" i="3"/>
  <c r="F333" i="3" s="1"/>
  <c r="M332" i="3"/>
  <c r="L332" i="3" s="1"/>
  <c r="J332" i="3"/>
  <c r="I332" i="3" s="1"/>
  <c r="G332" i="3"/>
  <c r="F332" i="3" s="1"/>
  <c r="M331" i="3"/>
  <c r="L331" i="3" s="1"/>
  <c r="J331" i="3"/>
  <c r="I331" i="3" s="1"/>
  <c r="G331" i="3"/>
  <c r="F331" i="3" s="1"/>
  <c r="M329" i="3"/>
  <c r="L329" i="3" s="1"/>
  <c r="J329" i="3"/>
  <c r="I329" i="3" s="1"/>
  <c r="G329" i="3"/>
  <c r="F329" i="3" s="1"/>
  <c r="M325" i="3"/>
  <c r="L325" i="3" s="1"/>
  <c r="J325" i="3"/>
  <c r="I325" i="3" s="1"/>
  <c r="G325" i="3"/>
  <c r="F325" i="3" s="1"/>
  <c r="M324" i="3"/>
  <c r="L324" i="3" s="1"/>
  <c r="J324" i="3"/>
  <c r="I324" i="3" s="1"/>
  <c r="G324" i="3"/>
  <c r="F324" i="3" s="1"/>
  <c r="M323" i="3"/>
  <c r="L323" i="3" s="1"/>
  <c r="J323" i="3"/>
  <c r="I323" i="3" s="1"/>
  <c r="G323" i="3"/>
  <c r="F323" i="3" s="1"/>
  <c r="M322" i="3"/>
  <c r="L322" i="3" s="1"/>
  <c r="J322" i="3"/>
  <c r="I322" i="3" s="1"/>
  <c r="G322" i="3"/>
  <c r="F322" i="3" s="1"/>
  <c r="M321" i="3"/>
  <c r="L321" i="3" s="1"/>
  <c r="J321" i="3"/>
  <c r="I321" i="3" s="1"/>
  <c r="G321" i="3"/>
  <c r="F321" i="3" s="1"/>
  <c r="M320" i="3"/>
  <c r="L320" i="3" s="1"/>
  <c r="J320" i="3"/>
  <c r="I320" i="3" s="1"/>
  <c r="G320" i="3"/>
  <c r="F320" i="3" s="1"/>
  <c r="M319" i="3"/>
  <c r="L319" i="3" s="1"/>
  <c r="J319" i="3"/>
  <c r="I319" i="3" s="1"/>
  <c r="G319" i="3"/>
  <c r="F319" i="3" s="1"/>
  <c r="M318" i="3"/>
  <c r="L318" i="3" s="1"/>
  <c r="J318" i="3"/>
  <c r="I318" i="3" s="1"/>
  <c r="G318" i="3"/>
  <c r="F318" i="3" s="1"/>
  <c r="M317" i="3"/>
  <c r="L317" i="3" s="1"/>
  <c r="J317" i="3"/>
  <c r="I317" i="3" s="1"/>
  <c r="G317" i="3"/>
  <c r="F317" i="3" s="1"/>
  <c r="M316" i="3"/>
  <c r="L316" i="3" s="1"/>
  <c r="J316" i="3"/>
  <c r="I316" i="3" s="1"/>
  <c r="G316" i="3"/>
  <c r="F316" i="3" s="1"/>
  <c r="M315" i="3"/>
  <c r="L315" i="3" s="1"/>
  <c r="J315" i="3"/>
  <c r="I315" i="3" s="1"/>
  <c r="G315" i="3"/>
  <c r="F315" i="3" s="1"/>
  <c r="M313" i="3"/>
  <c r="L313" i="3" s="1"/>
  <c r="J313" i="3"/>
  <c r="I313" i="3" s="1"/>
  <c r="G313" i="3"/>
  <c r="F313" i="3" s="1"/>
  <c r="M312" i="3"/>
  <c r="L312" i="3" s="1"/>
  <c r="J312" i="3"/>
  <c r="I312" i="3" s="1"/>
  <c r="G312" i="3"/>
  <c r="F312" i="3" s="1"/>
  <c r="M311" i="3"/>
  <c r="L311" i="3" s="1"/>
  <c r="J311" i="3"/>
  <c r="I311" i="3" s="1"/>
  <c r="G311" i="3"/>
  <c r="F311" i="3" s="1"/>
  <c r="M310" i="3"/>
  <c r="L310" i="3" s="1"/>
  <c r="J310" i="3"/>
  <c r="I310" i="3" s="1"/>
  <c r="G310" i="3"/>
  <c r="F310" i="3" s="1"/>
  <c r="M309" i="3"/>
  <c r="L309" i="3" s="1"/>
  <c r="J309" i="3"/>
  <c r="I309" i="3" s="1"/>
  <c r="G309" i="3"/>
  <c r="F309" i="3" s="1"/>
  <c r="M304" i="3"/>
  <c r="L304" i="3" s="1"/>
  <c r="J304" i="3"/>
  <c r="I304" i="3" s="1"/>
  <c r="G304" i="3"/>
  <c r="F304" i="3" s="1"/>
  <c r="M303" i="3"/>
  <c r="L303" i="3" s="1"/>
  <c r="J303" i="3"/>
  <c r="I303" i="3" s="1"/>
  <c r="G303" i="3"/>
  <c r="F303" i="3" s="1"/>
  <c r="M298" i="3"/>
  <c r="L298" i="3" s="1"/>
  <c r="J298" i="3"/>
  <c r="I298" i="3" s="1"/>
  <c r="G298" i="3"/>
  <c r="F298" i="3" s="1"/>
  <c r="M297" i="3"/>
  <c r="L297" i="3" s="1"/>
  <c r="J297" i="3"/>
  <c r="I297" i="3" s="1"/>
  <c r="G297" i="3"/>
  <c r="F297" i="3" s="1"/>
  <c r="M296" i="3"/>
  <c r="L296" i="3" s="1"/>
  <c r="J296" i="3"/>
  <c r="I296" i="3" s="1"/>
  <c r="G296" i="3"/>
  <c r="F296" i="3" s="1"/>
  <c r="M295" i="3"/>
  <c r="L295" i="3" s="1"/>
  <c r="J295" i="3"/>
  <c r="I295" i="3" s="1"/>
  <c r="G295" i="3"/>
  <c r="F295" i="3" s="1"/>
  <c r="M293" i="3"/>
  <c r="L293" i="3" s="1"/>
  <c r="J293" i="3"/>
  <c r="I293" i="3" s="1"/>
  <c r="G293" i="3"/>
  <c r="F293" i="3" s="1"/>
  <c r="J291" i="3"/>
  <c r="I291" i="3" s="1"/>
  <c r="M291" i="3"/>
  <c r="L291" i="3" s="1"/>
  <c r="G291" i="3"/>
  <c r="F291" i="3" s="1"/>
  <c r="M289" i="3"/>
  <c r="L289" i="3" s="1"/>
  <c r="J289" i="3"/>
  <c r="I289" i="3" s="1"/>
  <c r="G289" i="3"/>
  <c r="F289" i="3" s="1"/>
  <c r="M286" i="3"/>
  <c r="L286" i="3" s="1"/>
  <c r="J286" i="3"/>
  <c r="I286" i="3" s="1"/>
  <c r="G286" i="3"/>
  <c r="F286" i="3" s="1"/>
  <c r="G281" i="3"/>
  <c r="F281" i="3" s="1"/>
  <c r="M281" i="3"/>
  <c r="L281" i="3" s="1"/>
  <c r="J281" i="3"/>
  <c r="I281" i="3" s="1"/>
  <c r="M277" i="3"/>
  <c r="L277" i="3" s="1"/>
  <c r="G277" i="3"/>
  <c r="F277" i="3" s="1"/>
  <c r="J277" i="3"/>
  <c r="I277" i="3" s="1"/>
  <c r="J276" i="3"/>
  <c r="I276" i="3" s="1"/>
  <c r="G276" i="3"/>
  <c r="F276" i="3" s="1"/>
  <c r="M276" i="3"/>
  <c r="L276" i="3" s="1"/>
  <c r="M275" i="3"/>
  <c r="L275" i="3" s="1"/>
  <c r="J275" i="3"/>
  <c r="I275" i="3" s="1"/>
  <c r="G275" i="3"/>
  <c r="F275" i="3" s="1"/>
  <c r="M273" i="3"/>
  <c r="L273" i="3" s="1"/>
  <c r="J273" i="3"/>
  <c r="I273" i="3" s="1"/>
  <c r="G273" i="3"/>
  <c r="F273" i="3" s="1"/>
  <c r="J272" i="3"/>
  <c r="I272" i="3" s="1"/>
  <c r="G272" i="3"/>
  <c r="F272" i="3" s="1"/>
  <c r="M272" i="3"/>
  <c r="L272" i="3" s="1"/>
  <c r="J266" i="3"/>
  <c r="I266" i="3" s="1"/>
  <c r="M266" i="3"/>
  <c r="L266" i="3" s="1"/>
  <c r="G266" i="3"/>
  <c r="F266" i="3" s="1"/>
  <c r="M264" i="3"/>
  <c r="L264" i="3" s="1"/>
  <c r="J264" i="3"/>
  <c r="I264" i="3" s="1"/>
  <c r="G264" i="3"/>
  <c r="F264" i="3" s="1"/>
  <c r="J263" i="3"/>
  <c r="I263" i="3" s="1"/>
  <c r="M263" i="3"/>
  <c r="L263" i="3" s="1"/>
  <c r="G263" i="3"/>
  <c r="F263" i="3" s="1"/>
  <c r="J261" i="3"/>
  <c r="I261" i="3" s="1"/>
  <c r="M261" i="3"/>
  <c r="L261" i="3" s="1"/>
  <c r="G261" i="3"/>
  <c r="F261" i="3" s="1"/>
  <c r="G260" i="3"/>
  <c r="F260" i="3" s="1"/>
  <c r="J260" i="3"/>
  <c r="I260" i="3" s="1"/>
  <c r="M260" i="3"/>
  <c r="L260" i="3" s="1"/>
  <c r="J259" i="3"/>
  <c r="I259" i="3" s="1"/>
  <c r="G259" i="3"/>
  <c r="F259" i="3" s="1"/>
  <c r="M259" i="3"/>
  <c r="L259" i="3" s="1"/>
  <c r="M256" i="3"/>
  <c r="L256" i="3" s="1"/>
  <c r="J256" i="3"/>
  <c r="I256" i="3" s="1"/>
  <c r="G256" i="3"/>
  <c r="F256" i="3" s="1"/>
  <c r="G255" i="3"/>
  <c r="F255" i="3" s="1"/>
  <c r="M255" i="3"/>
  <c r="L255" i="3" s="1"/>
  <c r="J255" i="3"/>
  <c r="I255" i="3" s="1"/>
  <c r="J254" i="3"/>
  <c r="I254" i="3" s="1"/>
  <c r="M254" i="3"/>
  <c r="L254" i="3" s="1"/>
  <c r="G254" i="3"/>
  <c r="F254" i="3" s="1"/>
  <c r="M250" i="3"/>
  <c r="L250" i="3" s="1"/>
  <c r="J250" i="3"/>
  <c r="I250" i="3" s="1"/>
  <c r="G250" i="3"/>
  <c r="F250" i="3" s="1"/>
  <c r="J249" i="3"/>
  <c r="I249" i="3" s="1"/>
  <c r="G249" i="3"/>
  <c r="F249" i="3" s="1"/>
  <c r="M249" i="3"/>
  <c r="L249" i="3" s="1"/>
  <c r="M246" i="3"/>
  <c r="L246" i="3" s="1"/>
  <c r="G246" i="3"/>
  <c r="F246" i="3" s="1"/>
  <c r="J246" i="3"/>
  <c r="I246" i="3" s="1"/>
  <c r="M245" i="3"/>
  <c r="L245" i="3" s="1"/>
  <c r="J245" i="3"/>
  <c r="I245" i="3" s="1"/>
  <c r="G245" i="3"/>
  <c r="F245" i="3" s="1"/>
  <c r="M244" i="3"/>
  <c r="L244" i="3" s="1"/>
  <c r="G244" i="3"/>
  <c r="F244" i="3" s="1"/>
  <c r="J244" i="3"/>
  <c r="I244" i="3" s="1"/>
  <c r="M243" i="3"/>
  <c r="L243" i="3" s="1"/>
  <c r="G243" i="3"/>
  <c r="F243" i="3" s="1"/>
  <c r="J243" i="3"/>
  <c r="I243" i="3" s="1"/>
  <c r="J242" i="3"/>
  <c r="I242" i="3" s="1"/>
  <c r="M242" i="3"/>
  <c r="L242" i="3" s="1"/>
  <c r="G242" i="3"/>
  <c r="F242" i="3" s="1"/>
  <c r="M239" i="3"/>
  <c r="L239" i="3" s="1"/>
  <c r="J239" i="3"/>
  <c r="I239" i="3" s="1"/>
  <c r="G239" i="3"/>
  <c r="F239" i="3" s="1"/>
  <c r="M236" i="3"/>
  <c r="L236" i="3" s="1"/>
  <c r="J236" i="3"/>
  <c r="I236" i="3" s="1"/>
  <c r="G236" i="3"/>
  <c r="F236" i="3" s="1"/>
  <c r="M235" i="3"/>
  <c r="L235" i="3" s="1"/>
  <c r="J235" i="3"/>
  <c r="I235" i="3" s="1"/>
  <c r="G235" i="3"/>
  <c r="F235" i="3" s="1"/>
  <c r="M234" i="3"/>
  <c r="L234" i="3" s="1"/>
  <c r="J234" i="3"/>
  <c r="I234" i="3" s="1"/>
  <c r="G234" i="3"/>
  <c r="F234" i="3" s="1"/>
  <c r="M225" i="3"/>
  <c r="L225" i="3" s="1"/>
  <c r="J225" i="3"/>
  <c r="I225" i="3" s="1"/>
  <c r="G225" i="3"/>
  <c r="F225" i="3" s="1"/>
  <c r="M220" i="3"/>
  <c r="L220" i="3" s="1"/>
  <c r="J220" i="3"/>
  <c r="I220" i="3" s="1"/>
  <c r="G220" i="3"/>
  <c r="F220" i="3" s="1"/>
  <c r="M218" i="3"/>
  <c r="L218" i="3" s="1"/>
  <c r="J218" i="3"/>
  <c r="I218" i="3" s="1"/>
  <c r="G218" i="3"/>
  <c r="F218" i="3" s="1"/>
  <c r="M216" i="3"/>
  <c r="L216" i="3" s="1"/>
  <c r="J216" i="3"/>
  <c r="I216" i="3" s="1"/>
  <c r="G216" i="3"/>
  <c r="F216" i="3" s="1"/>
  <c r="M215" i="3"/>
  <c r="L215" i="3" s="1"/>
  <c r="J215" i="3"/>
  <c r="I215" i="3" s="1"/>
  <c r="G215" i="3"/>
  <c r="F215" i="3" s="1"/>
  <c r="M214" i="3"/>
  <c r="L214" i="3" s="1"/>
  <c r="J214" i="3"/>
  <c r="I214" i="3" s="1"/>
  <c r="G214" i="3"/>
  <c r="F214" i="3" s="1"/>
  <c r="M212" i="3"/>
  <c r="L212" i="3" s="1"/>
  <c r="J212" i="3"/>
  <c r="I212" i="3" s="1"/>
  <c r="G212" i="3"/>
  <c r="F212" i="3" s="1"/>
  <c r="M211" i="3"/>
  <c r="L211" i="3" s="1"/>
  <c r="J211" i="3"/>
  <c r="I211" i="3" s="1"/>
  <c r="G211" i="3"/>
  <c r="F211" i="3" s="1"/>
  <c r="M207" i="3"/>
  <c r="L207" i="3" s="1"/>
  <c r="J207" i="3"/>
  <c r="I207" i="3" s="1"/>
  <c r="G207" i="3"/>
  <c r="F207" i="3" s="1"/>
  <c r="M206" i="3"/>
  <c r="L206" i="3" s="1"/>
  <c r="J206" i="3"/>
  <c r="I206" i="3" s="1"/>
  <c r="G206" i="3"/>
  <c r="F206" i="3" s="1"/>
  <c r="M205" i="3"/>
  <c r="L205" i="3" s="1"/>
  <c r="J205" i="3"/>
  <c r="I205" i="3" s="1"/>
  <c r="G205" i="3"/>
  <c r="F205" i="3" s="1"/>
  <c r="M204" i="3"/>
  <c r="L204" i="3" s="1"/>
  <c r="J204" i="3"/>
  <c r="I204" i="3" s="1"/>
  <c r="G204" i="3"/>
  <c r="F204" i="3" s="1"/>
  <c r="M203" i="3"/>
  <c r="L203" i="3" s="1"/>
  <c r="J203" i="3"/>
  <c r="I203" i="3" s="1"/>
  <c r="G203" i="3"/>
  <c r="F203" i="3" s="1"/>
  <c r="M201" i="3"/>
  <c r="L201" i="3" s="1"/>
  <c r="J201" i="3"/>
  <c r="I201" i="3" s="1"/>
  <c r="G201" i="3"/>
  <c r="F201" i="3" s="1"/>
  <c r="M200" i="3"/>
  <c r="L200" i="3" s="1"/>
  <c r="J200" i="3"/>
  <c r="I200" i="3" s="1"/>
  <c r="G200" i="3"/>
  <c r="F200" i="3" s="1"/>
  <c r="M196" i="3"/>
  <c r="L196" i="3" s="1"/>
  <c r="J196" i="3"/>
  <c r="I196" i="3" s="1"/>
  <c r="G196" i="3"/>
  <c r="F196" i="3" s="1"/>
  <c r="M195" i="3"/>
  <c r="L195" i="3" s="1"/>
  <c r="J195" i="3"/>
  <c r="I195" i="3" s="1"/>
  <c r="G195" i="3"/>
  <c r="F195" i="3" s="1"/>
  <c r="M194" i="3"/>
  <c r="L194" i="3" s="1"/>
  <c r="J194" i="3"/>
  <c r="I194" i="3" s="1"/>
  <c r="G194" i="3"/>
  <c r="F194" i="3" s="1"/>
  <c r="M193" i="3"/>
  <c r="L193" i="3" s="1"/>
  <c r="J193" i="3"/>
  <c r="I193" i="3" s="1"/>
  <c r="G193" i="3"/>
  <c r="F193" i="3" s="1"/>
  <c r="M192" i="3"/>
  <c r="L192" i="3" s="1"/>
  <c r="J192" i="3"/>
  <c r="I192" i="3" s="1"/>
  <c r="G192" i="3"/>
  <c r="F192" i="3" s="1"/>
  <c r="M191" i="3"/>
  <c r="L191" i="3" s="1"/>
  <c r="J191" i="3"/>
  <c r="I191" i="3" s="1"/>
  <c r="G191" i="3"/>
  <c r="F191" i="3" s="1"/>
  <c r="M190" i="3"/>
  <c r="L190" i="3" s="1"/>
  <c r="J190" i="3"/>
  <c r="I190" i="3" s="1"/>
  <c r="G190" i="3"/>
  <c r="F190" i="3" s="1"/>
  <c r="M189" i="3"/>
  <c r="L189" i="3" s="1"/>
  <c r="J189" i="3"/>
  <c r="I189" i="3" s="1"/>
  <c r="G189" i="3"/>
  <c r="F189" i="3" s="1"/>
  <c r="M188" i="3"/>
  <c r="L188" i="3" s="1"/>
  <c r="J188" i="3"/>
  <c r="I188" i="3" s="1"/>
  <c r="G188" i="3"/>
  <c r="F188" i="3" s="1"/>
  <c r="M186" i="3"/>
  <c r="L186" i="3" s="1"/>
  <c r="J186" i="3"/>
  <c r="I186" i="3" s="1"/>
  <c r="G186" i="3"/>
  <c r="F186" i="3" s="1"/>
  <c r="M179" i="3"/>
  <c r="L179" i="3" s="1"/>
  <c r="J179" i="3"/>
  <c r="I179" i="3" s="1"/>
  <c r="G179" i="3"/>
  <c r="F179" i="3" s="1"/>
  <c r="M175" i="3"/>
  <c r="L175" i="3" s="1"/>
  <c r="J175" i="3"/>
  <c r="I175" i="3" s="1"/>
  <c r="G175" i="3"/>
  <c r="F175" i="3" s="1"/>
  <c r="M170" i="3"/>
  <c r="L170" i="3" s="1"/>
  <c r="J170" i="3"/>
  <c r="I170" i="3" s="1"/>
  <c r="G170" i="3"/>
  <c r="F170" i="3" s="1"/>
  <c r="M163" i="3"/>
  <c r="L163" i="3" s="1"/>
  <c r="J163" i="3"/>
  <c r="I163" i="3" s="1"/>
  <c r="G163" i="3"/>
  <c r="F163" i="3" s="1"/>
  <c r="M162" i="3"/>
  <c r="L162" i="3" s="1"/>
  <c r="J162" i="3"/>
  <c r="I162" i="3" s="1"/>
  <c r="G162" i="3"/>
  <c r="F162" i="3" s="1"/>
  <c r="M160" i="3"/>
  <c r="L160" i="3" s="1"/>
  <c r="J160" i="3"/>
  <c r="I160" i="3" s="1"/>
  <c r="G160" i="3"/>
  <c r="F160" i="3" s="1"/>
  <c r="M158" i="3"/>
  <c r="L158" i="3" s="1"/>
  <c r="J158" i="3"/>
  <c r="I158" i="3" s="1"/>
  <c r="G158" i="3"/>
  <c r="F158" i="3" s="1"/>
  <c r="M155" i="3"/>
  <c r="L155" i="3" s="1"/>
  <c r="J155" i="3"/>
  <c r="I155" i="3" s="1"/>
  <c r="G155" i="3"/>
  <c r="F155" i="3" s="1"/>
  <c r="M153" i="3"/>
  <c r="L153" i="3" s="1"/>
  <c r="J153" i="3"/>
  <c r="I153" i="3" s="1"/>
  <c r="G153" i="3"/>
  <c r="F153" i="3" s="1"/>
  <c r="M151" i="3"/>
  <c r="L151" i="3" s="1"/>
  <c r="J151" i="3"/>
  <c r="I151" i="3" s="1"/>
  <c r="G151" i="3"/>
  <c r="F151" i="3" s="1"/>
  <c r="M149" i="3"/>
  <c r="L149" i="3" s="1"/>
  <c r="J149" i="3"/>
  <c r="I149" i="3" s="1"/>
  <c r="G149" i="3"/>
  <c r="F149" i="3" s="1"/>
  <c r="J144" i="3"/>
  <c r="I144" i="3" s="1"/>
  <c r="G144" i="3"/>
  <c r="F144" i="3" s="1"/>
  <c r="M144" i="3"/>
  <c r="L144" i="3" s="1"/>
  <c r="M141" i="3"/>
  <c r="L141" i="3" s="1"/>
  <c r="J141" i="3"/>
  <c r="I141" i="3" s="1"/>
  <c r="G141" i="3"/>
  <c r="F141" i="3" s="1"/>
  <c r="M140" i="3"/>
  <c r="L140" i="3" s="1"/>
  <c r="J140" i="3"/>
  <c r="I140" i="3" s="1"/>
  <c r="G140" i="3"/>
  <c r="F140" i="3" s="1"/>
  <c r="M139" i="3"/>
  <c r="L139" i="3" s="1"/>
  <c r="J139" i="3"/>
  <c r="I139" i="3" s="1"/>
  <c r="G139" i="3"/>
  <c r="F139" i="3" s="1"/>
  <c r="M138" i="3"/>
  <c r="L138" i="3" s="1"/>
  <c r="J138" i="3"/>
  <c r="I138" i="3" s="1"/>
  <c r="G138" i="3"/>
  <c r="F138" i="3" s="1"/>
  <c r="M136" i="3"/>
  <c r="L136" i="3" s="1"/>
  <c r="J136" i="3"/>
  <c r="I136" i="3" s="1"/>
  <c r="G136" i="3"/>
  <c r="F136" i="3" s="1"/>
  <c r="J134" i="3"/>
  <c r="I134" i="3" s="1"/>
  <c r="G134" i="3"/>
  <c r="F134" i="3" s="1"/>
  <c r="M134" i="3"/>
  <c r="L134" i="3" s="1"/>
  <c r="G132" i="3"/>
  <c r="F132" i="3" s="1"/>
  <c r="M132" i="3"/>
  <c r="L132" i="3" s="1"/>
  <c r="J132" i="3"/>
  <c r="I132" i="3" s="1"/>
  <c r="M131" i="3"/>
  <c r="L131" i="3" s="1"/>
  <c r="J131" i="3"/>
  <c r="I131" i="3" s="1"/>
  <c r="G131" i="3"/>
  <c r="F131" i="3" s="1"/>
  <c r="M130" i="3"/>
  <c r="L130" i="3" s="1"/>
  <c r="J130" i="3"/>
  <c r="I130" i="3" s="1"/>
  <c r="G130" i="3"/>
  <c r="F130" i="3" s="1"/>
  <c r="M127" i="3"/>
  <c r="L127" i="3" s="1"/>
  <c r="J127" i="3"/>
  <c r="I127" i="3" s="1"/>
  <c r="G127" i="3"/>
  <c r="F127" i="3" s="1"/>
  <c r="M125" i="3"/>
  <c r="L125" i="3" s="1"/>
  <c r="J125" i="3"/>
  <c r="I125" i="3" s="1"/>
  <c r="G125" i="3"/>
  <c r="F125" i="3" s="1"/>
  <c r="J122" i="3"/>
  <c r="I122" i="3" s="1"/>
  <c r="G122" i="3"/>
  <c r="F122" i="3" s="1"/>
  <c r="M122" i="3"/>
  <c r="L122" i="3" s="1"/>
  <c r="M121" i="3"/>
  <c r="L121" i="3" s="1"/>
  <c r="J121" i="3"/>
  <c r="I121" i="3" s="1"/>
  <c r="G121" i="3"/>
  <c r="F121" i="3" s="1"/>
  <c r="J118" i="3"/>
  <c r="I118" i="3" s="1"/>
  <c r="G118" i="3"/>
  <c r="F118" i="3" s="1"/>
  <c r="M118" i="3"/>
  <c r="L118" i="3" s="1"/>
  <c r="M113" i="3"/>
  <c r="L113" i="3" s="1"/>
  <c r="J113" i="3"/>
  <c r="I113" i="3" s="1"/>
  <c r="G113" i="3"/>
  <c r="F113" i="3" s="1"/>
  <c r="J108" i="3"/>
  <c r="I108" i="3" s="1"/>
  <c r="M108" i="3"/>
  <c r="L108" i="3" s="1"/>
  <c r="G108" i="3"/>
  <c r="F108" i="3" s="1"/>
  <c r="J107" i="3"/>
  <c r="I107" i="3" s="1"/>
  <c r="G107" i="3"/>
  <c r="F107" i="3" s="1"/>
  <c r="M107" i="3"/>
  <c r="L107" i="3" s="1"/>
  <c r="J102" i="3"/>
  <c r="I102" i="3" s="1"/>
  <c r="G102" i="3"/>
  <c r="F102" i="3" s="1"/>
  <c r="M102" i="3"/>
  <c r="L102" i="3" s="1"/>
  <c r="M98" i="3"/>
  <c r="L98" i="3" s="1"/>
  <c r="G98" i="3"/>
  <c r="F98" i="3" s="1"/>
  <c r="J98" i="3"/>
  <c r="I98" i="3" s="1"/>
  <c r="G96" i="3"/>
  <c r="F96" i="3" s="1"/>
  <c r="M96" i="3"/>
  <c r="L96" i="3" s="1"/>
  <c r="J96" i="3"/>
  <c r="I96" i="3" s="1"/>
  <c r="M94" i="3"/>
  <c r="L94" i="3" s="1"/>
  <c r="J94" i="3"/>
  <c r="I94" i="3" s="1"/>
  <c r="G94" i="3"/>
  <c r="F94" i="3" s="1"/>
  <c r="J92" i="3"/>
  <c r="I92" i="3" s="1"/>
  <c r="M92" i="3"/>
  <c r="L92" i="3" s="1"/>
  <c r="G92" i="3"/>
  <c r="F92" i="3" s="1"/>
  <c r="J90" i="3"/>
  <c r="I90" i="3" s="1"/>
  <c r="G90" i="3"/>
  <c r="F90" i="3" s="1"/>
  <c r="M90" i="3"/>
  <c r="L90" i="3" s="1"/>
  <c r="M88" i="3"/>
  <c r="L88" i="3" s="1"/>
  <c r="G88" i="3"/>
  <c r="F88" i="3" s="1"/>
  <c r="J88" i="3"/>
  <c r="I88" i="3" s="1"/>
  <c r="M85" i="3"/>
  <c r="L85" i="3" s="1"/>
  <c r="G85" i="3"/>
  <c r="F85" i="3" s="1"/>
  <c r="J85" i="3"/>
  <c r="I85" i="3" s="1"/>
  <c r="J82" i="3"/>
  <c r="I82" i="3" s="1"/>
  <c r="M82" i="3"/>
  <c r="L82" i="3" s="1"/>
  <c r="G82" i="3"/>
  <c r="F82" i="3" s="1"/>
  <c r="J79" i="3"/>
  <c r="I79" i="3" s="1"/>
  <c r="G79" i="3"/>
  <c r="F79" i="3" s="1"/>
  <c r="M79" i="3"/>
  <c r="L79" i="3" s="1"/>
  <c r="M77" i="3"/>
  <c r="L77" i="3" s="1"/>
  <c r="J77" i="3"/>
  <c r="I77" i="3" s="1"/>
  <c r="G77" i="3"/>
  <c r="F77" i="3" s="1"/>
  <c r="J75" i="3"/>
  <c r="I75" i="3" s="1"/>
  <c r="G75" i="3"/>
  <c r="F75" i="3" s="1"/>
  <c r="M75" i="3"/>
  <c r="L75" i="3" s="1"/>
  <c r="M72" i="3"/>
  <c r="L72" i="3" s="1"/>
  <c r="G72" i="3"/>
  <c r="F72" i="3" s="1"/>
  <c r="J72" i="3"/>
  <c r="I72" i="3" s="1"/>
  <c r="G69" i="3"/>
  <c r="F69" i="3" s="1"/>
  <c r="J69" i="3"/>
  <c r="I69" i="3" s="1"/>
  <c r="M69" i="3"/>
  <c r="L69" i="3" s="1"/>
  <c r="G66" i="3"/>
  <c r="F66" i="3" s="1"/>
  <c r="J66" i="3"/>
  <c r="I66" i="3" s="1"/>
  <c r="M66" i="3"/>
  <c r="L66" i="3" s="1"/>
  <c r="M64" i="3"/>
  <c r="L64" i="3" s="1"/>
  <c r="G64" i="3"/>
  <c r="F64" i="3" s="1"/>
  <c r="J64" i="3"/>
  <c r="I64" i="3" s="1"/>
  <c r="G62" i="3"/>
  <c r="F62" i="3" s="1"/>
  <c r="M62" i="3"/>
  <c r="L62" i="3" s="1"/>
  <c r="J62" i="3"/>
  <c r="I62" i="3" s="1"/>
  <c r="M55" i="3"/>
  <c r="L55" i="3" s="1"/>
  <c r="G55" i="3"/>
  <c r="F55" i="3" s="1"/>
  <c r="J55" i="3"/>
  <c r="I55" i="3" s="1"/>
  <c r="J53" i="3"/>
  <c r="I53" i="3" s="1"/>
  <c r="G53" i="3"/>
  <c r="F53" i="3" s="1"/>
  <c r="M53" i="3"/>
  <c r="L53" i="3" s="1"/>
  <c r="M52" i="3"/>
  <c r="L52" i="3" s="1"/>
  <c r="G52" i="3"/>
  <c r="F52" i="3" s="1"/>
  <c r="J52" i="3"/>
  <c r="I52" i="3" s="1"/>
  <c r="M50" i="3"/>
  <c r="L50" i="3" s="1"/>
  <c r="J50" i="3"/>
  <c r="I50" i="3" s="1"/>
  <c r="G50" i="3"/>
  <c r="F50" i="3" s="1"/>
  <c r="G49" i="3"/>
  <c r="F49" i="3" s="1"/>
  <c r="M49" i="3"/>
  <c r="L49" i="3" s="1"/>
  <c r="J49" i="3"/>
  <c r="I49" i="3" s="1"/>
  <c r="M48" i="3"/>
  <c r="L48" i="3" s="1"/>
  <c r="G48" i="3"/>
  <c r="F48" i="3" s="1"/>
  <c r="J48" i="3"/>
  <c r="I48" i="3" s="1"/>
  <c r="M46" i="3"/>
  <c r="L46" i="3" s="1"/>
  <c r="G46" i="3"/>
  <c r="F46" i="3" s="1"/>
  <c r="J46" i="3"/>
  <c r="I46" i="3" s="1"/>
  <c r="M44" i="3"/>
  <c r="L44" i="3" s="1"/>
  <c r="G44" i="3"/>
  <c r="F44" i="3" s="1"/>
  <c r="J44" i="3"/>
  <c r="I44" i="3" s="1"/>
  <c r="J39" i="3"/>
  <c r="I39" i="3" s="1"/>
  <c r="M39" i="3"/>
  <c r="L39" i="3" s="1"/>
  <c r="G39" i="3"/>
  <c r="F39" i="3" s="1"/>
  <c r="G37" i="3"/>
  <c r="F37" i="3" s="1"/>
  <c r="M37" i="3"/>
  <c r="L37" i="3" s="1"/>
  <c r="J37" i="3"/>
  <c r="I37" i="3" s="1"/>
  <c r="G36" i="3"/>
  <c r="F36" i="3" s="1"/>
  <c r="J36" i="3"/>
  <c r="I36" i="3" s="1"/>
  <c r="M36" i="3"/>
  <c r="L36" i="3" s="1"/>
  <c r="G35" i="3"/>
  <c r="F35" i="3" s="1"/>
  <c r="M35" i="3"/>
  <c r="L35" i="3" s="1"/>
  <c r="J35" i="3"/>
  <c r="I35" i="3" s="1"/>
  <c r="G26" i="3"/>
  <c r="F26" i="3" s="1"/>
  <c r="J26" i="3"/>
  <c r="I26" i="3" s="1"/>
  <c r="M26" i="3"/>
  <c r="L26" i="3" s="1"/>
  <c r="J24" i="3"/>
  <c r="I24" i="3" s="1"/>
  <c r="G24" i="3"/>
  <c r="F24" i="3" s="1"/>
  <c r="M24" i="3"/>
  <c r="L24" i="3" s="1"/>
  <c r="M23" i="3"/>
  <c r="L23" i="3" s="1"/>
  <c r="J23" i="3"/>
  <c r="I23" i="3" s="1"/>
  <c r="G23" i="3"/>
  <c r="F23" i="3" s="1"/>
  <c r="J22" i="3"/>
  <c r="I22" i="3" s="1"/>
  <c r="M22" i="3"/>
  <c r="L22" i="3" s="1"/>
  <c r="G22" i="3"/>
  <c r="F22" i="3" s="1"/>
  <c r="M19" i="3"/>
  <c r="L19" i="3" s="1"/>
  <c r="G19" i="3"/>
  <c r="F19" i="3" s="1"/>
  <c r="J19" i="3"/>
  <c r="I19" i="3" s="1"/>
  <c r="M16" i="3"/>
  <c r="L16" i="3" s="1"/>
  <c r="J16" i="3"/>
  <c r="I16" i="3" s="1"/>
  <c r="G16" i="3"/>
  <c r="F16" i="3" s="1"/>
  <c r="G12" i="3"/>
  <c r="F12" i="3" s="1"/>
  <c r="M12" i="3"/>
  <c r="L12" i="3" s="1"/>
  <c r="J12" i="3"/>
  <c r="I12" i="3" s="1"/>
  <c r="G10" i="3"/>
  <c r="F10" i="3" s="1"/>
  <c r="M10" i="3"/>
  <c r="L10" i="3" s="1"/>
  <c r="J10" i="3"/>
  <c r="I10" i="3" s="1"/>
  <c r="M8" i="3"/>
  <c r="L8" i="3" s="1"/>
  <c r="J8" i="3"/>
  <c r="I8" i="3" s="1"/>
  <c r="G8" i="3"/>
  <c r="F8" i="3" s="1"/>
  <c r="J7" i="3"/>
  <c r="I7" i="3" s="1"/>
  <c r="G7" i="3"/>
  <c r="F7" i="3" s="1"/>
  <c r="M7" i="3"/>
  <c r="L7" i="3" s="1"/>
  <c r="G6" i="3"/>
  <c r="F6" i="3" s="1"/>
  <c r="M6" i="3"/>
  <c r="L6" i="3" s="1"/>
  <c r="J6" i="3"/>
  <c r="I6" i="3" s="1"/>
  <c r="J5" i="3"/>
  <c r="I5" i="3" s="1"/>
  <c r="M5" i="3"/>
  <c r="L5" i="3" s="1"/>
  <c r="G5" i="3"/>
  <c r="F5" i="3" s="1"/>
  <c r="J539" i="2"/>
  <c r="I539" i="2" s="1"/>
  <c r="J527" i="2"/>
  <c r="I527" i="2" s="1"/>
  <c r="G539" i="2"/>
  <c r="F539" i="2" s="1"/>
  <c r="M527" i="2"/>
  <c r="L527" i="2" s="1"/>
  <c r="G508" i="2"/>
  <c r="F508" i="2" s="1"/>
  <c r="G548" i="2"/>
  <c r="F548" i="2" s="1"/>
  <c r="J508" i="2"/>
  <c r="I508" i="2" s="1"/>
  <c r="G542" i="2"/>
  <c r="F542" i="2" s="1"/>
  <c r="J542" i="2"/>
  <c r="I542" i="2" s="1"/>
  <c r="M707" i="2"/>
  <c r="L707" i="2" s="1"/>
  <c r="M522" i="2"/>
  <c r="L522" i="2" s="1"/>
  <c r="J707" i="2"/>
  <c r="I707" i="2" s="1"/>
  <c r="J700" i="2"/>
  <c r="I700" i="2" s="1"/>
  <c r="J555" i="2"/>
  <c r="I555" i="2" s="1"/>
  <c r="J523" i="2"/>
  <c r="I523" i="2" s="1"/>
  <c r="M523" i="2"/>
  <c r="L523" i="2" s="1"/>
  <c r="G501" i="2"/>
  <c r="F501" i="2" s="1"/>
  <c r="M555" i="2"/>
  <c r="L555" i="2" s="1"/>
  <c r="M501" i="2"/>
  <c r="L501" i="2" s="1"/>
  <c r="J543" i="2"/>
  <c r="I543" i="2" s="1"/>
  <c r="M352" i="2"/>
  <c r="L352" i="2" s="1"/>
  <c r="M613" i="2"/>
  <c r="L613" i="2" s="1"/>
  <c r="J356" i="2"/>
  <c r="I356" i="2" s="1"/>
  <c r="G356" i="2"/>
  <c r="F356" i="2" s="1"/>
  <c r="G613" i="2"/>
  <c r="F613" i="2" s="1"/>
  <c r="J352" i="2"/>
  <c r="I352" i="2" s="1"/>
  <c r="J421" i="2"/>
  <c r="I421" i="2" s="1"/>
  <c r="M419" i="2"/>
  <c r="L419" i="2" s="1"/>
  <c r="M421" i="2"/>
  <c r="L421" i="2" s="1"/>
  <c r="J71" i="2"/>
  <c r="I71" i="2" s="1"/>
  <c r="M71" i="2"/>
  <c r="L71" i="2" s="1"/>
  <c r="G71" i="2"/>
  <c r="F71" i="2" s="1"/>
  <c r="G710" i="2"/>
  <c r="F710" i="2" s="1"/>
  <c r="M710" i="2"/>
  <c r="L710" i="2" s="1"/>
  <c r="J710" i="2"/>
  <c r="I710" i="2" s="1"/>
  <c r="G349" i="2"/>
  <c r="F349" i="2" s="1"/>
  <c r="J349" i="2"/>
  <c r="I349" i="2" s="1"/>
  <c r="M349" i="2"/>
  <c r="L349" i="2" s="1"/>
  <c r="M612" i="2"/>
  <c r="L612" i="2" s="1"/>
  <c r="G612" i="2"/>
  <c r="F612" i="2" s="1"/>
  <c r="J612" i="2"/>
  <c r="I612" i="2" s="1"/>
  <c r="G614" i="2"/>
  <c r="F614" i="2" s="1"/>
  <c r="M614" i="2"/>
  <c r="L614" i="2" s="1"/>
  <c r="J614" i="2"/>
  <c r="I614" i="2" s="1"/>
  <c r="G615" i="2"/>
  <c r="F615" i="2" s="1"/>
  <c r="M615" i="2"/>
  <c r="L615" i="2" s="1"/>
  <c r="J615" i="2"/>
  <c r="I615" i="2" s="1"/>
  <c r="M622" i="2"/>
  <c r="L622" i="2" s="1"/>
  <c r="J622" i="2"/>
  <c r="I622" i="2" s="1"/>
  <c r="G622" i="2"/>
  <c r="F622" i="2" s="1"/>
  <c r="M624" i="2"/>
  <c r="L624" i="2" s="1"/>
  <c r="J624" i="2"/>
  <c r="I624" i="2" s="1"/>
  <c r="G624" i="2"/>
  <c r="F624" i="2" s="1"/>
  <c r="M625" i="2"/>
  <c r="L625" i="2" s="1"/>
  <c r="G625" i="2"/>
  <c r="F625" i="2" s="1"/>
  <c r="J625" i="2"/>
  <c r="I625" i="2" s="1"/>
  <c r="J626" i="2"/>
  <c r="I626" i="2" s="1"/>
  <c r="M626" i="2"/>
  <c r="L626" i="2" s="1"/>
  <c r="G626" i="2"/>
  <c r="F626" i="2" s="1"/>
  <c r="J620" i="2"/>
  <c r="I620" i="2" s="1"/>
  <c r="G620" i="2"/>
  <c r="F620" i="2" s="1"/>
  <c r="M620" i="2"/>
  <c r="L620" i="2" s="1"/>
  <c r="G627" i="2"/>
  <c r="F627" i="2" s="1"/>
  <c r="M627" i="2"/>
  <c r="L627" i="2" s="1"/>
  <c r="J627" i="2"/>
  <c r="I627" i="2" s="1"/>
  <c r="J628" i="2"/>
  <c r="I628" i="2" s="1"/>
  <c r="G628" i="2"/>
  <c r="F628" i="2" s="1"/>
  <c r="M628" i="2"/>
  <c r="L628" i="2" s="1"/>
  <c r="M629" i="2"/>
  <c r="L629" i="2" s="1"/>
  <c r="J629" i="2"/>
  <c r="I629" i="2" s="1"/>
  <c r="G629" i="2"/>
  <c r="F629" i="2" s="1"/>
  <c r="M631" i="2"/>
  <c r="L631" i="2" s="1"/>
  <c r="J631" i="2"/>
  <c r="I631" i="2" s="1"/>
  <c r="G631" i="2"/>
  <c r="F631" i="2" s="1"/>
  <c r="M30" i="2"/>
  <c r="L30" i="2" s="1"/>
  <c r="G30" i="2"/>
  <c r="F30" i="2" s="1"/>
  <c r="J30" i="2"/>
  <c r="I30" i="2" s="1"/>
  <c r="J40" i="2"/>
  <c r="I40" i="2" s="1"/>
  <c r="M40" i="2"/>
  <c r="L40" i="2" s="1"/>
  <c r="G40" i="2"/>
  <c r="F40" i="2" s="1"/>
  <c r="G48" i="2"/>
  <c r="F48" i="2" s="1"/>
  <c r="M48" i="2"/>
  <c r="L48" i="2" s="1"/>
  <c r="J48" i="2"/>
  <c r="I48" i="2" s="1"/>
  <c r="G58" i="2"/>
  <c r="F58" i="2" s="1"/>
  <c r="J58" i="2"/>
  <c r="I58" i="2" s="1"/>
  <c r="M58" i="2"/>
  <c r="L58" i="2" s="1"/>
  <c r="M73" i="2"/>
  <c r="L73" i="2" s="1"/>
  <c r="J73" i="2"/>
  <c r="I73" i="2" s="1"/>
  <c r="G73" i="2"/>
  <c r="F73" i="2" s="1"/>
  <c r="J84" i="2"/>
  <c r="I84" i="2" s="1"/>
  <c r="M84" i="2"/>
  <c r="L84" i="2" s="1"/>
  <c r="G84" i="2"/>
  <c r="F84" i="2" s="1"/>
  <c r="M86" i="2"/>
  <c r="L86" i="2" s="1"/>
  <c r="G86" i="2"/>
  <c r="F86" i="2" s="1"/>
  <c r="J86" i="2"/>
  <c r="I86" i="2" s="1"/>
  <c r="M89" i="2"/>
  <c r="L89" i="2" s="1"/>
  <c r="G89" i="2"/>
  <c r="F89" i="2" s="1"/>
  <c r="J89" i="2"/>
  <c r="I89" i="2" s="1"/>
  <c r="M90" i="2"/>
  <c r="L90" i="2" s="1"/>
  <c r="G90" i="2"/>
  <c r="F90" i="2" s="1"/>
  <c r="J90" i="2"/>
  <c r="I90" i="2" s="1"/>
  <c r="G92" i="2"/>
  <c r="F92" i="2" s="1"/>
  <c r="M92" i="2"/>
  <c r="L92" i="2" s="1"/>
  <c r="J92" i="2"/>
  <c r="I92" i="2" s="1"/>
  <c r="M95" i="2"/>
  <c r="L95" i="2" s="1"/>
  <c r="G95" i="2"/>
  <c r="F95" i="2" s="1"/>
  <c r="J95" i="2"/>
  <c r="I95" i="2" s="1"/>
  <c r="M105" i="2"/>
  <c r="L105" i="2" s="1"/>
  <c r="G105" i="2"/>
  <c r="F105" i="2" s="1"/>
  <c r="J105" i="2"/>
  <c r="I105" i="2" s="1"/>
  <c r="M233" i="2"/>
  <c r="L233" i="2" s="1"/>
  <c r="J233" i="2"/>
  <c r="I233" i="2" s="1"/>
  <c r="G233" i="2"/>
  <c r="F233" i="2" s="1"/>
  <c r="G234" i="2"/>
  <c r="F234" i="2" s="1"/>
  <c r="M234" i="2"/>
  <c r="L234" i="2" s="1"/>
  <c r="J234" i="2"/>
  <c r="I234" i="2" s="1"/>
  <c r="G235" i="2"/>
  <c r="F235" i="2" s="1"/>
  <c r="M235" i="2"/>
  <c r="L235" i="2" s="1"/>
  <c r="J235" i="2"/>
  <c r="I235" i="2" s="1"/>
  <c r="G237" i="2"/>
  <c r="F237" i="2" s="1"/>
  <c r="M237" i="2"/>
  <c r="L237" i="2" s="1"/>
  <c r="J237" i="2"/>
  <c r="I237" i="2" s="1"/>
  <c r="M238" i="2"/>
  <c r="L238" i="2" s="1"/>
  <c r="G238" i="2"/>
  <c r="F238" i="2" s="1"/>
  <c r="J238" i="2"/>
  <c r="I238" i="2" s="1"/>
  <c r="G239" i="2"/>
  <c r="F239" i="2" s="1"/>
  <c r="M239" i="2"/>
  <c r="L239" i="2" s="1"/>
  <c r="J239" i="2"/>
  <c r="I239" i="2" s="1"/>
  <c r="J267" i="2"/>
  <c r="I267" i="2" s="1"/>
  <c r="G267" i="2"/>
  <c r="F267" i="2" s="1"/>
  <c r="M267" i="2"/>
  <c r="L267" i="2" s="1"/>
  <c r="G268" i="2"/>
  <c r="F268" i="2" s="1"/>
  <c r="M268" i="2"/>
  <c r="L268" i="2" s="1"/>
  <c r="J268" i="2"/>
  <c r="I268" i="2" s="1"/>
  <c r="G269" i="2"/>
  <c r="F269" i="2" s="1"/>
  <c r="M269" i="2"/>
  <c r="L269" i="2" s="1"/>
  <c r="J269" i="2"/>
  <c r="I269" i="2" s="1"/>
  <c r="M270" i="2"/>
  <c r="L270" i="2" s="1"/>
  <c r="J270" i="2"/>
  <c r="I270" i="2" s="1"/>
  <c r="G270" i="2"/>
  <c r="F270" i="2" s="1"/>
  <c r="J271" i="2"/>
  <c r="I271" i="2" s="1"/>
  <c r="M271" i="2"/>
  <c r="L271" i="2" s="1"/>
  <c r="G271" i="2"/>
  <c r="F271" i="2" s="1"/>
  <c r="J272" i="2"/>
  <c r="I272" i="2" s="1"/>
  <c r="G272" i="2"/>
  <c r="F272" i="2" s="1"/>
  <c r="M272" i="2"/>
  <c r="L272" i="2" s="1"/>
  <c r="J276" i="2"/>
  <c r="I276" i="2" s="1"/>
  <c r="M276" i="2"/>
  <c r="L276" i="2" s="1"/>
  <c r="G276" i="2"/>
  <c r="F276" i="2" s="1"/>
  <c r="M279" i="2"/>
  <c r="L279" i="2" s="1"/>
  <c r="J279" i="2"/>
  <c r="I279" i="2" s="1"/>
  <c r="G279" i="2"/>
  <c r="F279" i="2" s="1"/>
  <c r="G283" i="2"/>
  <c r="F283" i="2" s="1"/>
  <c r="M283" i="2"/>
  <c r="L283" i="2" s="1"/>
  <c r="J283" i="2"/>
  <c r="I283" i="2" s="1"/>
  <c r="M285" i="2"/>
  <c r="L285" i="2" s="1"/>
  <c r="J285" i="2"/>
  <c r="I285" i="2" s="1"/>
  <c r="G285" i="2"/>
  <c r="F285" i="2" s="1"/>
  <c r="G660" i="2"/>
  <c r="F660" i="2" s="1"/>
  <c r="J660" i="2"/>
  <c r="I660" i="2" s="1"/>
  <c r="M660" i="2"/>
  <c r="L660" i="2" s="1"/>
  <c r="J298" i="2"/>
  <c r="I298" i="2" s="1"/>
  <c r="M298" i="2"/>
  <c r="L298" i="2" s="1"/>
  <c r="G298" i="2"/>
  <c r="F298" i="2" s="1"/>
  <c r="J301" i="2"/>
  <c r="I301" i="2" s="1"/>
  <c r="M301" i="2"/>
  <c r="L301" i="2" s="1"/>
  <c r="G301" i="2"/>
  <c r="F301" i="2" s="1"/>
  <c r="J302" i="2"/>
  <c r="I302" i="2" s="1"/>
  <c r="M302" i="2"/>
  <c r="L302" i="2" s="1"/>
  <c r="G302" i="2"/>
  <c r="F302" i="2" s="1"/>
  <c r="M314" i="2"/>
  <c r="L314" i="2" s="1"/>
  <c r="G314" i="2"/>
  <c r="F314" i="2" s="1"/>
  <c r="J314" i="2"/>
  <c r="I314" i="2" s="1"/>
  <c r="J661" i="2"/>
  <c r="I661" i="2" s="1"/>
  <c r="M661" i="2"/>
  <c r="L661" i="2" s="1"/>
  <c r="G661" i="2"/>
  <c r="F661" i="2" s="1"/>
  <c r="M374" i="2"/>
  <c r="L374" i="2" s="1"/>
  <c r="G374" i="2"/>
  <c r="F374" i="2" s="1"/>
  <c r="J374" i="2"/>
  <c r="I374" i="2" s="1"/>
  <c r="J405" i="2"/>
  <c r="I405" i="2" s="1"/>
  <c r="M405" i="2"/>
  <c r="L405" i="2" s="1"/>
  <c r="G405" i="2"/>
  <c r="F405" i="2" s="1"/>
  <c r="G410" i="2"/>
  <c r="F410" i="2" s="1"/>
  <c r="J410" i="2"/>
  <c r="I410" i="2" s="1"/>
  <c r="M410" i="2"/>
  <c r="L410" i="2" s="1"/>
  <c r="M411" i="2"/>
  <c r="L411" i="2" s="1"/>
  <c r="J411" i="2"/>
  <c r="I411" i="2" s="1"/>
  <c r="G411" i="2"/>
  <c r="F411" i="2" s="1"/>
  <c r="M412" i="2"/>
  <c r="L412" i="2" s="1"/>
  <c r="J412" i="2"/>
  <c r="I412" i="2" s="1"/>
  <c r="G412" i="2"/>
  <c r="F412" i="2" s="1"/>
  <c r="G415" i="2"/>
  <c r="F415" i="2" s="1"/>
  <c r="J415" i="2"/>
  <c r="I415" i="2" s="1"/>
  <c r="M415" i="2"/>
  <c r="L415" i="2" s="1"/>
  <c r="M2" i="2"/>
  <c r="J2" i="2"/>
  <c r="G2" i="2"/>
  <c r="M15" i="2"/>
  <c r="L15" i="2" s="1"/>
  <c r="J15" i="2"/>
  <c r="I15" i="2" s="1"/>
  <c r="G15" i="2"/>
  <c r="F15" i="2" s="1"/>
  <c r="M20" i="2"/>
  <c r="L20" i="2" s="1"/>
  <c r="G20" i="2"/>
  <c r="F20" i="2" s="1"/>
  <c r="J20" i="2"/>
  <c r="I20" i="2" s="1"/>
  <c r="M27" i="2"/>
  <c r="L27" i="2" s="1"/>
  <c r="J27" i="2"/>
  <c r="I27" i="2" s="1"/>
  <c r="G27" i="2"/>
  <c r="F27" i="2" s="1"/>
  <c r="G28" i="2"/>
  <c r="F28" i="2" s="1"/>
  <c r="M28" i="2"/>
  <c r="L28" i="2" s="1"/>
  <c r="J28" i="2"/>
  <c r="I28" i="2" s="1"/>
  <c r="J41" i="2"/>
  <c r="I41" i="2" s="1"/>
  <c r="M41" i="2"/>
  <c r="L41" i="2" s="1"/>
  <c r="G41" i="2"/>
  <c r="F41" i="2" s="1"/>
  <c r="M56" i="2"/>
  <c r="L56" i="2" s="1"/>
  <c r="J56" i="2"/>
  <c r="I56" i="2" s="1"/>
  <c r="G56" i="2"/>
  <c r="F56" i="2" s="1"/>
  <c r="G59" i="2"/>
  <c r="F59" i="2" s="1"/>
  <c r="M59" i="2"/>
  <c r="L59" i="2" s="1"/>
  <c r="J59" i="2"/>
  <c r="I59" i="2" s="1"/>
  <c r="J78" i="2"/>
  <c r="I78" i="2" s="1"/>
  <c r="M78" i="2"/>
  <c r="L78" i="2" s="1"/>
  <c r="G78" i="2"/>
  <c r="F78" i="2" s="1"/>
  <c r="M103" i="2"/>
  <c r="L103" i="2" s="1"/>
  <c r="G103" i="2"/>
  <c r="F103" i="2" s="1"/>
  <c r="J103" i="2"/>
  <c r="I103" i="2" s="1"/>
  <c r="M104" i="2"/>
  <c r="L104" i="2" s="1"/>
  <c r="G104" i="2"/>
  <c r="F104" i="2" s="1"/>
  <c r="J104" i="2"/>
  <c r="I104" i="2" s="1"/>
  <c r="G106" i="2"/>
  <c r="F106" i="2" s="1"/>
  <c r="M106" i="2"/>
  <c r="L106" i="2" s="1"/>
  <c r="J106" i="2"/>
  <c r="I106" i="2" s="1"/>
  <c r="J120" i="2"/>
  <c r="I120" i="2" s="1"/>
  <c r="G120" i="2"/>
  <c r="F120" i="2" s="1"/>
  <c r="M120" i="2"/>
  <c r="L120" i="2" s="1"/>
  <c r="J125" i="2"/>
  <c r="I125" i="2" s="1"/>
  <c r="G125" i="2"/>
  <c r="F125" i="2" s="1"/>
  <c r="M125" i="2"/>
  <c r="L125" i="2" s="1"/>
  <c r="M131" i="2"/>
  <c r="L131" i="2" s="1"/>
  <c r="G131" i="2"/>
  <c r="F131" i="2" s="1"/>
  <c r="J131" i="2"/>
  <c r="I131" i="2" s="1"/>
  <c r="J132" i="2"/>
  <c r="I132" i="2" s="1"/>
  <c r="G132" i="2"/>
  <c r="F132" i="2" s="1"/>
  <c r="M132" i="2"/>
  <c r="L132" i="2" s="1"/>
  <c r="J137" i="2"/>
  <c r="I137" i="2" s="1"/>
  <c r="G137" i="2"/>
  <c r="F137" i="2" s="1"/>
  <c r="M137" i="2"/>
  <c r="L137" i="2" s="1"/>
  <c r="G153" i="2"/>
  <c r="F153" i="2" s="1"/>
  <c r="J153" i="2"/>
  <c r="I153" i="2" s="1"/>
  <c r="M153" i="2"/>
  <c r="L153" i="2" s="1"/>
  <c r="M164" i="2"/>
  <c r="L164" i="2" s="1"/>
  <c r="G164" i="2"/>
  <c r="F164" i="2" s="1"/>
  <c r="J164" i="2"/>
  <c r="I164" i="2" s="1"/>
  <c r="M166" i="2"/>
  <c r="L166" i="2" s="1"/>
  <c r="G166" i="2"/>
  <c r="F166" i="2" s="1"/>
  <c r="J166" i="2"/>
  <c r="I166" i="2" s="1"/>
  <c r="J183" i="2"/>
  <c r="I183" i="2" s="1"/>
  <c r="G183" i="2"/>
  <c r="F183" i="2" s="1"/>
  <c r="M183" i="2"/>
  <c r="L183" i="2" s="1"/>
  <c r="J242" i="2"/>
  <c r="I242" i="2" s="1"/>
  <c r="G242" i="2"/>
  <c r="F242" i="2" s="1"/>
  <c r="M242" i="2"/>
  <c r="L242" i="2" s="1"/>
  <c r="J243" i="2"/>
  <c r="I243" i="2" s="1"/>
  <c r="M243" i="2"/>
  <c r="L243" i="2" s="1"/>
  <c r="G243" i="2"/>
  <c r="F243" i="2" s="1"/>
  <c r="G245" i="2"/>
  <c r="F245" i="2" s="1"/>
  <c r="J245" i="2"/>
  <c r="I245" i="2" s="1"/>
  <c r="M245" i="2"/>
  <c r="L245" i="2" s="1"/>
  <c r="M249" i="2"/>
  <c r="L249" i="2" s="1"/>
  <c r="G249" i="2"/>
  <c r="F249" i="2" s="1"/>
  <c r="J249" i="2"/>
  <c r="I249" i="2" s="1"/>
  <c r="G257" i="2"/>
  <c r="F257" i="2" s="1"/>
  <c r="M257" i="2"/>
  <c r="L257" i="2" s="1"/>
  <c r="J257" i="2"/>
  <c r="I257" i="2" s="1"/>
  <c r="M260" i="2"/>
  <c r="L260" i="2" s="1"/>
  <c r="G260" i="2"/>
  <c r="F260" i="2" s="1"/>
  <c r="J260" i="2"/>
  <c r="I260" i="2" s="1"/>
  <c r="G304" i="2"/>
  <c r="F304" i="2" s="1"/>
  <c r="M304" i="2"/>
  <c r="L304" i="2" s="1"/>
  <c r="J304" i="2"/>
  <c r="I304" i="2" s="1"/>
  <c r="G306" i="2"/>
  <c r="F306" i="2" s="1"/>
  <c r="J306" i="2"/>
  <c r="I306" i="2" s="1"/>
  <c r="M306" i="2"/>
  <c r="L306" i="2" s="1"/>
  <c r="J309" i="2"/>
  <c r="I309" i="2" s="1"/>
  <c r="G309" i="2"/>
  <c r="F309" i="2" s="1"/>
  <c r="M309" i="2"/>
  <c r="L309" i="2" s="1"/>
  <c r="G311" i="2"/>
  <c r="F311" i="2" s="1"/>
  <c r="M311" i="2"/>
  <c r="L311" i="2" s="1"/>
  <c r="J311" i="2"/>
  <c r="I311" i="2" s="1"/>
  <c r="G312" i="2"/>
  <c r="F312" i="2" s="1"/>
  <c r="J312" i="2"/>
  <c r="I312" i="2" s="1"/>
  <c r="M312" i="2"/>
  <c r="L312" i="2" s="1"/>
  <c r="M316" i="2"/>
  <c r="L316" i="2" s="1"/>
  <c r="G316" i="2"/>
  <c r="F316" i="2" s="1"/>
  <c r="J316" i="2"/>
  <c r="I316" i="2" s="1"/>
  <c r="G317" i="2"/>
  <c r="F317" i="2" s="1"/>
  <c r="M317" i="2"/>
  <c r="L317" i="2" s="1"/>
  <c r="J317" i="2"/>
  <c r="I317" i="2" s="1"/>
  <c r="J318" i="2"/>
  <c r="I318" i="2" s="1"/>
  <c r="G318" i="2"/>
  <c r="F318" i="2" s="1"/>
  <c r="M318" i="2"/>
  <c r="L318" i="2" s="1"/>
  <c r="M319" i="2"/>
  <c r="L319" i="2" s="1"/>
  <c r="J319" i="2"/>
  <c r="I319" i="2" s="1"/>
  <c r="G319" i="2"/>
  <c r="F319" i="2" s="1"/>
  <c r="G320" i="2"/>
  <c r="F320" i="2" s="1"/>
  <c r="M320" i="2"/>
  <c r="L320" i="2" s="1"/>
  <c r="J320" i="2"/>
  <c r="I320" i="2" s="1"/>
  <c r="G322" i="2"/>
  <c r="F322" i="2" s="1"/>
  <c r="J322" i="2"/>
  <c r="I322" i="2" s="1"/>
  <c r="M322" i="2"/>
  <c r="L322" i="2" s="1"/>
  <c r="M325" i="2"/>
  <c r="L325" i="2" s="1"/>
  <c r="G325" i="2"/>
  <c r="F325" i="2" s="1"/>
  <c r="J325" i="2"/>
  <c r="I325" i="2" s="1"/>
  <c r="M329" i="2"/>
  <c r="L329" i="2" s="1"/>
  <c r="J329" i="2"/>
  <c r="I329" i="2" s="1"/>
  <c r="G329" i="2"/>
  <c r="F329" i="2" s="1"/>
  <c r="G330" i="2"/>
  <c r="F330" i="2" s="1"/>
  <c r="M330" i="2"/>
  <c r="L330" i="2" s="1"/>
  <c r="J330" i="2"/>
  <c r="I330" i="2" s="1"/>
  <c r="G331" i="2"/>
  <c r="F331" i="2" s="1"/>
  <c r="J331" i="2"/>
  <c r="I331" i="2" s="1"/>
  <c r="M331" i="2"/>
  <c r="L331" i="2" s="1"/>
  <c r="M332" i="2"/>
  <c r="L332" i="2" s="1"/>
  <c r="G332" i="2"/>
  <c r="F332" i="2" s="1"/>
  <c r="J332" i="2"/>
  <c r="I332" i="2" s="1"/>
  <c r="G333" i="2"/>
  <c r="F333" i="2" s="1"/>
  <c r="M333" i="2"/>
  <c r="L333" i="2" s="1"/>
  <c r="J333" i="2"/>
  <c r="I333" i="2" s="1"/>
  <c r="G334" i="2"/>
  <c r="F334" i="2" s="1"/>
  <c r="J334" i="2"/>
  <c r="I334" i="2" s="1"/>
  <c r="M334" i="2"/>
  <c r="L334" i="2" s="1"/>
  <c r="G336" i="2"/>
  <c r="F336" i="2" s="1"/>
  <c r="J336" i="2"/>
  <c r="I336" i="2" s="1"/>
  <c r="M336" i="2"/>
  <c r="L336" i="2" s="1"/>
  <c r="G337" i="2"/>
  <c r="F337" i="2" s="1"/>
  <c r="J337" i="2"/>
  <c r="I337" i="2" s="1"/>
  <c r="M337" i="2"/>
  <c r="L337" i="2" s="1"/>
  <c r="G338" i="2"/>
  <c r="F338" i="2" s="1"/>
  <c r="J338" i="2"/>
  <c r="I338" i="2" s="1"/>
  <c r="M338" i="2"/>
  <c r="L338" i="2" s="1"/>
  <c r="J351" i="2"/>
  <c r="I351" i="2" s="1"/>
  <c r="M351" i="2"/>
  <c r="L351" i="2" s="1"/>
  <c r="G351" i="2"/>
  <c r="F351" i="2" s="1"/>
  <c r="G560" i="2"/>
  <c r="F560" i="2" s="1"/>
  <c r="M560" i="2"/>
  <c r="L560" i="2" s="1"/>
  <c r="J560" i="2"/>
  <c r="I560" i="2" s="1"/>
  <c r="M561" i="2"/>
  <c r="L561" i="2" s="1"/>
  <c r="G561" i="2"/>
  <c r="F561" i="2" s="1"/>
  <c r="J561" i="2"/>
  <c r="I561" i="2" s="1"/>
  <c r="G562" i="2"/>
  <c r="F562" i="2" s="1"/>
  <c r="M562" i="2"/>
  <c r="L562" i="2" s="1"/>
  <c r="J562" i="2"/>
  <c r="I562" i="2" s="1"/>
  <c r="M567" i="2"/>
  <c r="L567" i="2" s="1"/>
  <c r="J567" i="2"/>
  <c r="I567" i="2" s="1"/>
  <c r="G567" i="2"/>
  <c r="F567" i="2" s="1"/>
  <c r="J569" i="2"/>
  <c r="I569" i="2" s="1"/>
  <c r="M569" i="2"/>
  <c r="L569" i="2" s="1"/>
  <c r="G569" i="2"/>
  <c r="F569" i="2" s="1"/>
  <c r="M570" i="2"/>
  <c r="L570" i="2" s="1"/>
  <c r="J570" i="2"/>
  <c r="I570" i="2" s="1"/>
  <c r="G570" i="2"/>
  <c r="F570" i="2" s="1"/>
  <c r="M571" i="2"/>
  <c r="L571" i="2" s="1"/>
  <c r="J571" i="2"/>
  <c r="I571" i="2" s="1"/>
  <c r="G571" i="2"/>
  <c r="F571" i="2" s="1"/>
  <c r="M572" i="2"/>
  <c r="L572" i="2" s="1"/>
  <c r="J572" i="2"/>
  <c r="I572" i="2" s="1"/>
  <c r="G572" i="2"/>
  <c r="F572" i="2" s="1"/>
  <c r="G617" i="2"/>
  <c r="F617" i="2" s="1"/>
  <c r="M617" i="2"/>
  <c r="L617" i="2" s="1"/>
  <c r="J617" i="2"/>
  <c r="I617" i="2" s="1"/>
  <c r="J224" i="2"/>
  <c r="I224" i="2" s="1"/>
  <c r="G224" i="2"/>
  <c r="F224" i="2" s="1"/>
  <c r="M224" i="2"/>
  <c r="L224" i="2" s="1"/>
  <c r="G230" i="2"/>
  <c r="F230" i="2" s="1"/>
  <c r="J230" i="2"/>
  <c r="I230" i="2" s="1"/>
  <c r="M230" i="2"/>
  <c r="L230" i="2" s="1"/>
  <c r="J231" i="2"/>
  <c r="I231" i="2" s="1"/>
  <c r="M231" i="2"/>
  <c r="L231" i="2" s="1"/>
  <c r="G231" i="2"/>
  <c r="F231" i="2" s="1"/>
  <c r="J232" i="2"/>
  <c r="I232" i="2" s="1"/>
  <c r="M232" i="2"/>
  <c r="L232" i="2" s="1"/>
  <c r="G232" i="2"/>
  <c r="F232" i="2" s="1"/>
  <c r="J236" i="2"/>
  <c r="I236" i="2" s="1"/>
  <c r="M236" i="2"/>
  <c r="L236" i="2" s="1"/>
  <c r="G236" i="2"/>
  <c r="F236" i="2" s="1"/>
  <c r="G240" i="2"/>
  <c r="F240" i="2" s="1"/>
  <c r="J240" i="2"/>
  <c r="I240" i="2" s="1"/>
  <c r="M240" i="2"/>
  <c r="L240" i="2" s="1"/>
  <c r="J244" i="2"/>
  <c r="I244" i="2" s="1"/>
  <c r="G244" i="2"/>
  <c r="F244" i="2" s="1"/>
  <c r="M244" i="2"/>
  <c r="L244" i="2" s="1"/>
  <c r="J247" i="2"/>
  <c r="I247" i="2" s="1"/>
  <c r="M247" i="2"/>
  <c r="L247" i="2" s="1"/>
  <c r="G247" i="2"/>
  <c r="F247" i="2" s="1"/>
  <c r="J248" i="2"/>
  <c r="I248" i="2" s="1"/>
  <c r="M248" i="2"/>
  <c r="L248" i="2" s="1"/>
  <c r="G248" i="2"/>
  <c r="F248" i="2" s="1"/>
  <c r="M251" i="2"/>
  <c r="L251" i="2" s="1"/>
  <c r="G251" i="2"/>
  <c r="F251" i="2" s="1"/>
  <c r="J251" i="2"/>
  <c r="I251" i="2" s="1"/>
  <c r="G253" i="2"/>
  <c r="F253" i="2" s="1"/>
  <c r="J253" i="2"/>
  <c r="I253" i="2" s="1"/>
  <c r="M253" i="2"/>
  <c r="L253" i="2" s="1"/>
  <c r="M255" i="2"/>
  <c r="L255" i="2" s="1"/>
  <c r="G255" i="2"/>
  <c r="F255" i="2" s="1"/>
  <c r="J255" i="2"/>
  <c r="I255" i="2" s="1"/>
  <c r="M256" i="2"/>
  <c r="L256" i="2" s="1"/>
  <c r="J256" i="2"/>
  <c r="I256" i="2" s="1"/>
  <c r="G256" i="2"/>
  <c r="F256" i="2" s="1"/>
  <c r="M262" i="2"/>
  <c r="L262" i="2" s="1"/>
  <c r="J262" i="2"/>
  <c r="I262" i="2" s="1"/>
  <c r="G262" i="2"/>
  <c r="F262" i="2" s="1"/>
  <c r="M263" i="2"/>
  <c r="L263" i="2" s="1"/>
  <c r="J263" i="2"/>
  <c r="I263" i="2" s="1"/>
  <c r="G263" i="2"/>
  <c r="F263" i="2" s="1"/>
  <c r="M264" i="2"/>
  <c r="L264" i="2" s="1"/>
  <c r="J264" i="2"/>
  <c r="I264" i="2" s="1"/>
  <c r="G264" i="2"/>
  <c r="F264" i="2" s="1"/>
  <c r="G265" i="2"/>
  <c r="F265" i="2" s="1"/>
  <c r="J265" i="2"/>
  <c r="I265" i="2" s="1"/>
  <c r="M265" i="2"/>
  <c r="L265" i="2" s="1"/>
  <c r="M266" i="2"/>
  <c r="L266" i="2" s="1"/>
  <c r="G266" i="2"/>
  <c r="F266" i="2" s="1"/>
  <c r="J266" i="2"/>
  <c r="I266" i="2" s="1"/>
  <c r="M274" i="2"/>
  <c r="L274" i="2" s="1"/>
  <c r="G274" i="2"/>
  <c r="F274" i="2" s="1"/>
  <c r="J274" i="2"/>
  <c r="I274" i="2" s="1"/>
  <c r="G280" i="2"/>
  <c r="F280" i="2" s="1"/>
  <c r="J280" i="2"/>
  <c r="I280" i="2" s="1"/>
  <c r="M280" i="2"/>
  <c r="L280" i="2" s="1"/>
  <c r="G292" i="2"/>
  <c r="F292" i="2" s="1"/>
  <c r="J292" i="2"/>
  <c r="I292" i="2" s="1"/>
  <c r="M292" i="2"/>
  <c r="L292" i="2" s="1"/>
  <c r="M646" i="2"/>
  <c r="L646" i="2" s="1"/>
  <c r="G646" i="2"/>
  <c r="F646" i="2" s="1"/>
  <c r="J646" i="2"/>
  <c r="I646" i="2" s="1"/>
  <c r="G655" i="2"/>
  <c r="F655" i="2" s="1"/>
  <c r="M655" i="2"/>
  <c r="L655" i="2" s="1"/>
  <c r="J655" i="2"/>
  <c r="I655" i="2" s="1"/>
  <c r="G667" i="2"/>
  <c r="F667" i="2" s="1"/>
  <c r="J667" i="2"/>
  <c r="I667" i="2" s="1"/>
  <c r="M667" i="2"/>
  <c r="L667" i="2" s="1"/>
  <c r="G673" i="2"/>
  <c r="F673" i="2" s="1"/>
  <c r="M673" i="2"/>
  <c r="L673" i="2" s="1"/>
  <c r="J673" i="2"/>
  <c r="I673" i="2" s="1"/>
  <c r="M677" i="2"/>
  <c r="L677" i="2" s="1"/>
  <c r="G677" i="2"/>
  <c r="F677" i="2" s="1"/>
  <c r="J677" i="2"/>
  <c r="I677" i="2" s="1"/>
  <c r="G685" i="2"/>
  <c r="F685" i="2" s="1"/>
  <c r="J685" i="2"/>
  <c r="I685" i="2" s="1"/>
  <c r="M685" i="2"/>
  <c r="L685" i="2" s="1"/>
  <c r="J695" i="2"/>
  <c r="I695" i="2" s="1"/>
  <c r="M695" i="2"/>
  <c r="L695" i="2" s="1"/>
  <c r="G695" i="2"/>
  <c r="F695" i="2" s="1"/>
  <c r="M299" i="2"/>
  <c r="L299" i="2" s="1"/>
  <c r="J299" i="2"/>
  <c r="I299" i="2" s="1"/>
  <c r="G299" i="2"/>
  <c r="F299" i="2" s="1"/>
  <c r="J307" i="2"/>
  <c r="I307" i="2" s="1"/>
  <c r="M307" i="2"/>
  <c r="L307" i="2" s="1"/>
  <c r="G307" i="2"/>
  <c r="F307" i="2" s="1"/>
  <c r="G308" i="2"/>
  <c r="F308" i="2" s="1"/>
  <c r="J308" i="2"/>
  <c r="I308" i="2" s="1"/>
  <c r="M308" i="2"/>
  <c r="L308" i="2" s="1"/>
  <c r="M310" i="2"/>
  <c r="L310" i="2" s="1"/>
  <c r="J310" i="2"/>
  <c r="I310" i="2" s="1"/>
  <c r="G310" i="2"/>
  <c r="F310" i="2" s="1"/>
  <c r="J315" i="2"/>
  <c r="I315" i="2" s="1"/>
  <c r="M315" i="2"/>
  <c r="L315" i="2" s="1"/>
  <c r="G315" i="2"/>
  <c r="F315" i="2" s="1"/>
  <c r="M321" i="2"/>
  <c r="L321" i="2" s="1"/>
  <c r="J321" i="2"/>
  <c r="I321" i="2" s="1"/>
  <c r="G321" i="2"/>
  <c r="F321" i="2" s="1"/>
  <c r="G327" i="2"/>
  <c r="F327" i="2" s="1"/>
  <c r="M327" i="2"/>
  <c r="L327" i="2" s="1"/>
  <c r="J327" i="2"/>
  <c r="I327" i="2" s="1"/>
  <c r="M328" i="2"/>
  <c r="L328" i="2" s="1"/>
  <c r="G328" i="2"/>
  <c r="F328" i="2" s="1"/>
  <c r="J328" i="2"/>
  <c r="I328" i="2" s="1"/>
  <c r="J339" i="2"/>
  <c r="I339" i="2" s="1"/>
  <c r="M339" i="2"/>
  <c r="L339" i="2" s="1"/>
  <c r="G339" i="2"/>
  <c r="F339" i="2" s="1"/>
  <c r="G340" i="2"/>
  <c r="F340" i="2" s="1"/>
  <c r="M340" i="2"/>
  <c r="L340" i="2" s="1"/>
  <c r="J340" i="2"/>
  <c r="I340" i="2" s="1"/>
  <c r="G341" i="2"/>
  <c r="F341" i="2" s="1"/>
  <c r="M341" i="2"/>
  <c r="L341" i="2" s="1"/>
  <c r="J341" i="2"/>
  <c r="I341" i="2" s="1"/>
  <c r="J342" i="2"/>
  <c r="I342" i="2" s="1"/>
  <c r="M342" i="2"/>
  <c r="L342" i="2" s="1"/>
  <c r="G342" i="2"/>
  <c r="F342" i="2" s="1"/>
  <c r="M344" i="2"/>
  <c r="L344" i="2" s="1"/>
  <c r="G344" i="2"/>
  <c r="F344" i="2" s="1"/>
  <c r="J344" i="2"/>
  <c r="I344" i="2" s="1"/>
  <c r="G346" i="2"/>
  <c r="F346" i="2" s="1"/>
  <c r="M346" i="2"/>
  <c r="L346" i="2" s="1"/>
  <c r="J346" i="2"/>
  <c r="I346" i="2" s="1"/>
  <c r="J357" i="2"/>
  <c r="I357" i="2" s="1"/>
  <c r="M357" i="2"/>
  <c r="L357" i="2" s="1"/>
  <c r="G357" i="2"/>
  <c r="F357" i="2" s="1"/>
  <c r="G654" i="2"/>
  <c r="F654" i="2" s="1"/>
  <c r="J654" i="2"/>
  <c r="I654" i="2" s="1"/>
  <c r="M654" i="2"/>
  <c r="L654" i="2" s="1"/>
  <c r="M664" i="2"/>
  <c r="L664" i="2" s="1"/>
  <c r="G664" i="2"/>
  <c r="F664" i="2" s="1"/>
  <c r="J664" i="2"/>
  <c r="I664" i="2" s="1"/>
  <c r="M669" i="2"/>
  <c r="L669" i="2" s="1"/>
  <c r="G669" i="2"/>
  <c r="F669" i="2" s="1"/>
  <c r="J669" i="2"/>
  <c r="I669" i="2" s="1"/>
  <c r="M679" i="2"/>
  <c r="L679" i="2" s="1"/>
  <c r="J679" i="2"/>
  <c r="I679" i="2" s="1"/>
  <c r="G679" i="2"/>
  <c r="F679" i="2" s="1"/>
  <c r="J686" i="2"/>
  <c r="I686" i="2" s="1"/>
  <c r="M686" i="2"/>
  <c r="L686" i="2" s="1"/>
  <c r="G686" i="2"/>
  <c r="F686" i="2" s="1"/>
  <c r="J692" i="2"/>
  <c r="I692" i="2" s="1"/>
  <c r="G692" i="2"/>
  <c r="F692" i="2" s="1"/>
  <c r="M692" i="2"/>
  <c r="L692" i="2" s="1"/>
  <c r="M378" i="2"/>
  <c r="L378" i="2" s="1"/>
  <c r="J378" i="2"/>
  <c r="I378" i="2" s="1"/>
  <c r="G378" i="2"/>
  <c r="F378" i="2" s="1"/>
  <c r="M380" i="2"/>
  <c r="L380" i="2" s="1"/>
  <c r="J380" i="2"/>
  <c r="I380" i="2" s="1"/>
  <c r="G380" i="2"/>
  <c r="F380" i="2" s="1"/>
  <c r="J382" i="2"/>
  <c r="I382" i="2" s="1"/>
  <c r="M382" i="2"/>
  <c r="L382" i="2" s="1"/>
  <c r="G382" i="2"/>
  <c r="F382" i="2" s="1"/>
  <c r="G392" i="2"/>
  <c r="F392" i="2" s="1"/>
  <c r="J392" i="2"/>
  <c r="I392" i="2" s="1"/>
  <c r="M392" i="2"/>
  <c r="L392" i="2" s="1"/>
  <c r="M393" i="2"/>
  <c r="L393" i="2" s="1"/>
  <c r="J393" i="2"/>
  <c r="I393" i="2" s="1"/>
  <c r="G393" i="2"/>
  <c r="F393" i="2" s="1"/>
  <c r="M396" i="2"/>
  <c r="L396" i="2" s="1"/>
  <c r="G396" i="2"/>
  <c r="F396" i="2" s="1"/>
  <c r="J396" i="2"/>
  <c r="I396" i="2" s="1"/>
  <c r="J397" i="2"/>
  <c r="I397" i="2" s="1"/>
  <c r="G397" i="2"/>
  <c r="F397" i="2" s="1"/>
  <c r="M397" i="2"/>
  <c r="L397" i="2" s="1"/>
  <c r="J402" i="2"/>
  <c r="I402" i="2" s="1"/>
  <c r="G402" i="2"/>
  <c r="F402" i="2" s="1"/>
  <c r="M402" i="2"/>
  <c r="L402" i="2" s="1"/>
  <c r="J427" i="2"/>
  <c r="I427" i="2" s="1"/>
  <c r="G427" i="2"/>
  <c r="F427" i="2" s="1"/>
  <c r="M427" i="2"/>
  <c r="L427" i="2" s="1"/>
  <c r="G428" i="2"/>
  <c r="F428" i="2" s="1"/>
  <c r="J428" i="2"/>
  <c r="I428" i="2" s="1"/>
  <c r="M428" i="2"/>
  <c r="L428" i="2" s="1"/>
  <c r="M435" i="2"/>
  <c r="L435" i="2" s="1"/>
  <c r="G435" i="2"/>
  <c r="F435" i="2" s="1"/>
  <c r="J435" i="2"/>
  <c r="I435" i="2" s="1"/>
  <c r="M436" i="2"/>
  <c r="L436" i="2" s="1"/>
  <c r="G436" i="2"/>
  <c r="F436" i="2" s="1"/>
  <c r="J436" i="2"/>
  <c r="I436" i="2" s="1"/>
  <c r="M439" i="2"/>
  <c r="L439" i="2" s="1"/>
  <c r="G439" i="2"/>
  <c r="F439" i="2" s="1"/>
  <c r="J439" i="2"/>
  <c r="I439" i="2" s="1"/>
  <c r="M440" i="2"/>
  <c r="L440" i="2" s="1"/>
  <c r="G440" i="2"/>
  <c r="F440" i="2" s="1"/>
  <c r="J440" i="2"/>
  <c r="I440" i="2" s="1"/>
  <c r="M441" i="2"/>
  <c r="L441" i="2" s="1"/>
  <c r="J441" i="2"/>
  <c r="I441" i="2" s="1"/>
  <c r="G441" i="2"/>
  <c r="F441" i="2" s="1"/>
  <c r="G445" i="2"/>
  <c r="F445" i="2" s="1"/>
  <c r="M445" i="2"/>
  <c r="L445" i="2" s="1"/>
  <c r="J445" i="2"/>
  <c r="I445" i="2" s="1"/>
  <c r="G453" i="2"/>
  <c r="F453" i="2" s="1"/>
  <c r="M453" i="2"/>
  <c r="L453" i="2" s="1"/>
  <c r="J453" i="2"/>
  <c r="I453" i="2" s="1"/>
  <c r="G456" i="2"/>
  <c r="F456" i="2" s="1"/>
  <c r="M456" i="2"/>
  <c r="L456" i="2" s="1"/>
  <c r="J456" i="2"/>
  <c r="I456" i="2" s="1"/>
  <c r="G653" i="2"/>
  <c r="F653" i="2" s="1"/>
  <c r="J653" i="2"/>
  <c r="I653" i="2" s="1"/>
  <c r="M653" i="2"/>
  <c r="L653" i="2" s="1"/>
  <c r="J662" i="2"/>
  <c r="I662" i="2" s="1"/>
  <c r="M662" i="2"/>
  <c r="L662" i="2" s="1"/>
  <c r="G662" i="2"/>
  <c r="F662" i="2" s="1"/>
  <c r="J670" i="2"/>
  <c r="I670" i="2" s="1"/>
  <c r="M670" i="2"/>
  <c r="L670" i="2" s="1"/>
  <c r="G670" i="2"/>
  <c r="F670" i="2" s="1"/>
  <c r="J674" i="2"/>
  <c r="I674" i="2" s="1"/>
  <c r="G674" i="2"/>
  <c r="F674" i="2" s="1"/>
  <c r="M674" i="2"/>
  <c r="L674" i="2" s="1"/>
  <c r="G458" i="2"/>
  <c r="F458" i="2" s="1"/>
  <c r="J458" i="2"/>
  <c r="I458" i="2" s="1"/>
  <c r="M458" i="2"/>
  <c r="L458" i="2" s="1"/>
  <c r="G459" i="2"/>
  <c r="F459" i="2" s="1"/>
  <c r="M459" i="2"/>
  <c r="L459" i="2" s="1"/>
  <c r="J459" i="2"/>
  <c r="I459" i="2" s="1"/>
  <c r="G460" i="2"/>
  <c r="F460" i="2" s="1"/>
  <c r="M460" i="2"/>
  <c r="L460" i="2" s="1"/>
  <c r="J460" i="2"/>
  <c r="I460" i="2" s="1"/>
  <c r="G465" i="2"/>
  <c r="F465" i="2" s="1"/>
  <c r="M465" i="2"/>
  <c r="L465" i="2" s="1"/>
  <c r="J465" i="2"/>
  <c r="I465" i="2" s="1"/>
  <c r="M466" i="2"/>
  <c r="L466" i="2" s="1"/>
  <c r="J466" i="2"/>
  <c r="I466" i="2" s="1"/>
  <c r="G466" i="2"/>
  <c r="F466" i="2" s="1"/>
  <c r="J468" i="2"/>
  <c r="I468" i="2" s="1"/>
  <c r="M468" i="2"/>
  <c r="L468" i="2" s="1"/>
  <c r="G468" i="2"/>
  <c r="F468" i="2" s="1"/>
  <c r="G469" i="2"/>
  <c r="F469" i="2" s="1"/>
  <c r="M469" i="2"/>
  <c r="L469" i="2" s="1"/>
  <c r="J469" i="2"/>
  <c r="I469" i="2" s="1"/>
  <c r="J470" i="2"/>
  <c r="I470" i="2" s="1"/>
  <c r="M470" i="2"/>
  <c r="L470" i="2" s="1"/>
  <c r="G470" i="2"/>
  <c r="F470" i="2" s="1"/>
  <c r="G471" i="2"/>
  <c r="F471" i="2" s="1"/>
  <c r="M471" i="2"/>
  <c r="L471" i="2" s="1"/>
  <c r="J471" i="2"/>
  <c r="I471" i="2" s="1"/>
  <c r="M575" i="2"/>
  <c r="L575" i="2" s="1"/>
  <c r="J575" i="2"/>
  <c r="I575" i="2" s="1"/>
  <c r="G575" i="2"/>
  <c r="F575" i="2" s="1"/>
  <c r="M576" i="2"/>
  <c r="L576" i="2" s="1"/>
  <c r="G576" i="2"/>
  <c r="F576" i="2" s="1"/>
  <c r="J576" i="2"/>
  <c r="I576" i="2" s="1"/>
  <c r="J577" i="2"/>
  <c r="I577" i="2" s="1"/>
  <c r="M577" i="2"/>
  <c r="L577" i="2" s="1"/>
  <c r="G577" i="2"/>
  <c r="F577" i="2" s="1"/>
  <c r="G580" i="2"/>
  <c r="F580" i="2" s="1"/>
  <c r="M580" i="2"/>
  <c r="L580" i="2" s="1"/>
  <c r="J580" i="2"/>
  <c r="I580" i="2" s="1"/>
  <c r="G581" i="2"/>
  <c r="F581" i="2" s="1"/>
  <c r="M581" i="2"/>
  <c r="L581" i="2" s="1"/>
  <c r="J581" i="2"/>
  <c r="I581" i="2" s="1"/>
  <c r="G582" i="2"/>
  <c r="F582" i="2" s="1"/>
  <c r="M582" i="2"/>
  <c r="L582" i="2" s="1"/>
  <c r="J582" i="2"/>
  <c r="I582" i="2" s="1"/>
  <c r="J585" i="2"/>
  <c r="I585" i="2" s="1"/>
  <c r="M585" i="2"/>
  <c r="L585" i="2" s="1"/>
  <c r="G585" i="2"/>
  <c r="F585" i="2" s="1"/>
  <c r="J586" i="2"/>
  <c r="I586" i="2" s="1"/>
  <c r="G586" i="2"/>
  <c r="F586" i="2" s="1"/>
  <c r="M586" i="2"/>
  <c r="L586" i="2" s="1"/>
  <c r="G588" i="2"/>
  <c r="F588" i="2" s="1"/>
  <c r="M588" i="2"/>
  <c r="L588" i="2" s="1"/>
  <c r="J588" i="2"/>
  <c r="I588" i="2" s="1"/>
  <c r="M589" i="2"/>
  <c r="L589" i="2" s="1"/>
  <c r="J589" i="2"/>
  <c r="I589" i="2" s="1"/>
  <c r="G589" i="2"/>
  <c r="F589" i="2" s="1"/>
  <c r="M591" i="2"/>
  <c r="L591" i="2" s="1"/>
  <c r="J591" i="2"/>
  <c r="I591" i="2" s="1"/>
  <c r="G591" i="2"/>
  <c r="F591" i="2" s="1"/>
  <c r="J592" i="2"/>
  <c r="I592" i="2" s="1"/>
  <c r="M592" i="2"/>
  <c r="L592" i="2" s="1"/>
  <c r="G592" i="2"/>
  <c r="F592" i="2" s="1"/>
  <c r="J598" i="2"/>
  <c r="I598" i="2" s="1"/>
  <c r="M598" i="2"/>
  <c r="L598" i="2" s="1"/>
  <c r="G598" i="2"/>
  <c r="F598" i="2" s="1"/>
  <c r="J599" i="2"/>
  <c r="I599" i="2" s="1"/>
  <c r="M599" i="2"/>
  <c r="L599" i="2" s="1"/>
  <c r="G599" i="2"/>
  <c r="F599" i="2" s="1"/>
  <c r="G605" i="2"/>
  <c r="F605" i="2" s="1"/>
  <c r="M605" i="2"/>
  <c r="L605" i="2" s="1"/>
  <c r="J605" i="2"/>
  <c r="I605" i="2" s="1"/>
  <c r="M608" i="2"/>
  <c r="L608" i="2" s="1"/>
  <c r="G608" i="2"/>
  <c r="F608" i="2" s="1"/>
  <c r="J608" i="2"/>
  <c r="I608" i="2" s="1"/>
  <c r="M609" i="2"/>
  <c r="L609" i="2" s="1"/>
  <c r="J609" i="2"/>
  <c r="I609" i="2" s="1"/>
  <c r="G609" i="2"/>
  <c r="F609" i="2" s="1"/>
  <c r="M610" i="2"/>
  <c r="L610" i="2" s="1"/>
  <c r="G610" i="2"/>
  <c r="F610" i="2" s="1"/>
  <c r="J610" i="2"/>
  <c r="I610" i="2" s="1"/>
  <c r="G611" i="2"/>
  <c r="F611" i="2" s="1"/>
  <c r="M611" i="2"/>
  <c r="L611" i="2" s="1"/>
  <c r="J611" i="2"/>
  <c r="I611" i="2" s="1"/>
  <c r="J633" i="2"/>
  <c r="I633" i="2" s="1"/>
  <c r="G633" i="2"/>
  <c r="F633" i="2" s="1"/>
  <c r="M633" i="2"/>
  <c r="L633" i="2" s="1"/>
  <c r="M636" i="2"/>
  <c r="L636" i="2" s="1"/>
  <c r="G636" i="2"/>
  <c r="F636" i="2" s="1"/>
  <c r="J636" i="2"/>
  <c r="I636" i="2" s="1"/>
  <c r="J648" i="2"/>
  <c r="I648" i="2" s="1"/>
  <c r="M648" i="2"/>
  <c r="L648" i="2" s="1"/>
  <c r="G648" i="2"/>
  <c r="F648" i="2" s="1"/>
  <c r="J663" i="2"/>
  <c r="I663" i="2" s="1"/>
  <c r="G663" i="2"/>
  <c r="F663" i="2" s="1"/>
  <c r="M663" i="2"/>
  <c r="L663" i="2" s="1"/>
  <c r="J672" i="2"/>
  <c r="I672" i="2" s="1"/>
  <c r="G672" i="2"/>
  <c r="F672" i="2" s="1"/>
  <c r="M672" i="2"/>
  <c r="L672" i="2" s="1"/>
  <c r="M676" i="2"/>
  <c r="L676" i="2" s="1"/>
  <c r="G676" i="2"/>
  <c r="F676" i="2" s="1"/>
  <c r="J676" i="2"/>
  <c r="I676" i="2" s="1"/>
  <c r="J3" i="2"/>
  <c r="I3" i="2" s="1"/>
  <c r="M3" i="2"/>
  <c r="L3" i="2" s="1"/>
  <c r="G3" i="2"/>
  <c r="F3" i="2" s="1"/>
  <c r="M96" i="2"/>
  <c r="L96" i="2" s="1"/>
  <c r="G96" i="2"/>
  <c r="F96" i="2" s="1"/>
  <c r="J96" i="2"/>
  <c r="I96" i="2" s="1"/>
  <c r="G100" i="2"/>
  <c r="F100" i="2" s="1"/>
  <c r="M100" i="2"/>
  <c r="L100" i="2" s="1"/>
  <c r="J100" i="2"/>
  <c r="I100" i="2" s="1"/>
  <c r="J110" i="2"/>
  <c r="I110" i="2" s="1"/>
  <c r="M110" i="2"/>
  <c r="L110" i="2" s="1"/>
  <c r="G110" i="2"/>
  <c r="F110" i="2" s="1"/>
  <c r="G136" i="2"/>
  <c r="F136" i="2" s="1"/>
  <c r="J136" i="2"/>
  <c r="I136" i="2" s="1"/>
  <c r="M136" i="2"/>
  <c r="L136" i="2" s="1"/>
  <c r="G143" i="2"/>
  <c r="F143" i="2" s="1"/>
  <c r="M143" i="2"/>
  <c r="L143" i="2" s="1"/>
  <c r="J143" i="2"/>
  <c r="I143" i="2" s="1"/>
  <c r="M162" i="2"/>
  <c r="L162" i="2" s="1"/>
  <c r="J162" i="2"/>
  <c r="I162" i="2" s="1"/>
  <c r="G162" i="2"/>
  <c r="F162" i="2" s="1"/>
  <c r="M163" i="2"/>
  <c r="L163" i="2" s="1"/>
  <c r="G163" i="2"/>
  <c r="F163" i="2" s="1"/>
  <c r="J163" i="2"/>
  <c r="I163" i="2" s="1"/>
  <c r="M177" i="2"/>
  <c r="L177" i="2" s="1"/>
  <c r="J177" i="2"/>
  <c r="I177" i="2" s="1"/>
  <c r="G177" i="2"/>
  <c r="F177" i="2" s="1"/>
  <c r="J178" i="2"/>
  <c r="I178" i="2" s="1"/>
  <c r="G178" i="2"/>
  <c r="F178" i="2" s="1"/>
  <c r="M178" i="2"/>
  <c r="L178" i="2" s="1"/>
  <c r="G191" i="2"/>
  <c r="F191" i="2" s="1"/>
  <c r="M191" i="2"/>
  <c r="L191" i="2" s="1"/>
  <c r="J191" i="2"/>
  <c r="I191" i="2" s="1"/>
  <c r="G196" i="2"/>
  <c r="F196" i="2" s="1"/>
  <c r="M196" i="2"/>
  <c r="L196" i="2" s="1"/>
  <c r="J196" i="2"/>
  <c r="I196" i="2" s="1"/>
  <c r="J199" i="2"/>
  <c r="I199" i="2" s="1"/>
  <c r="M199" i="2"/>
  <c r="L199" i="2" s="1"/>
  <c r="G199" i="2"/>
  <c r="F199" i="2" s="1"/>
  <c r="M201" i="2"/>
  <c r="L201" i="2" s="1"/>
  <c r="G201" i="2"/>
  <c r="F201" i="2" s="1"/>
  <c r="J201" i="2"/>
  <c r="I201" i="2" s="1"/>
  <c r="G204" i="2"/>
  <c r="F204" i="2" s="1"/>
  <c r="M204" i="2"/>
  <c r="L204" i="2" s="1"/>
  <c r="J204" i="2"/>
  <c r="I204" i="2" s="1"/>
  <c r="M291" i="2"/>
  <c r="L291" i="2" s="1"/>
  <c r="G291" i="2"/>
  <c r="F291" i="2" s="1"/>
  <c r="J291" i="2"/>
  <c r="I291" i="2" s="1"/>
  <c r="G370" i="2"/>
  <c r="F370" i="2" s="1"/>
  <c r="J370" i="2"/>
  <c r="I370" i="2" s="1"/>
  <c r="M370" i="2"/>
  <c r="L370" i="2" s="1"/>
  <c r="M373" i="2"/>
  <c r="L373" i="2" s="1"/>
  <c r="G373" i="2"/>
  <c r="F373" i="2" s="1"/>
  <c r="J373" i="2"/>
  <c r="I373" i="2" s="1"/>
  <c r="M647" i="2"/>
  <c r="L647" i="2" s="1"/>
  <c r="J647" i="2"/>
  <c r="I647" i="2" s="1"/>
  <c r="G647" i="2"/>
  <c r="F647" i="2" s="1"/>
  <c r="M657" i="2"/>
  <c r="L657" i="2" s="1"/>
  <c r="J657" i="2"/>
  <c r="I657" i="2" s="1"/>
  <c r="G657" i="2"/>
  <c r="F657" i="2" s="1"/>
  <c r="J666" i="2"/>
  <c r="I666" i="2" s="1"/>
  <c r="G666" i="2"/>
  <c r="F666" i="2" s="1"/>
  <c r="M666" i="2"/>
  <c r="L666" i="2" s="1"/>
  <c r="J671" i="2"/>
  <c r="I671" i="2" s="1"/>
  <c r="G671" i="2"/>
  <c r="F671" i="2" s="1"/>
  <c r="M671" i="2"/>
  <c r="L671" i="2" s="1"/>
  <c r="J675" i="2"/>
  <c r="I675" i="2" s="1"/>
  <c r="G675" i="2"/>
  <c r="F675" i="2" s="1"/>
  <c r="M675" i="2"/>
  <c r="L675" i="2" s="1"/>
  <c r="J680" i="2"/>
  <c r="I680" i="2" s="1"/>
  <c r="G680" i="2"/>
  <c r="F680" i="2" s="1"/>
  <c r="M680" i="2"/>
  <c r="L680" i="2" s="1"/>
  <c r="G688" i="2"/>
  <c r="F688" i="2" s="1"/>
  <c r="M688" i="2"/>
  <c r="L688" i="2" s="1"/>
  <c r="J688" i="2"/>
  <c r="I688" i="2" s="1"/>
  <c r="J694" i="2"/>
  <c r="I694" i="2" s="1"/>
  <c r="M694" i="2"/>
  <c r="L694" i="2" s="1"/>
  <c r="G694" i="2"/>
  <c r="F694" i="2" s="1"/>
  <c r="J213" i="2"/>
  <c r="I213" i="2" s="1"/>
  <c r="M213" i="2"/>
  <c r="L213" i="2" s="1"/>
  <c r="G213" i="2"/>
  <c r="F213" i="2" s="1"/>
  <c r="J220" i="2"/>
  <c r="I220" i="2" s="1"/>
  <c r="M220" i="2"/>
  <c r="L220" i="2" s="1"/>
  <c r="G220" i="2"/>
  <c r="F220" i="2" s="1"/>
  <c r="G222" i="2"/>
  <c r="F222" i="2" s="1"/>
  <c r="J222" i="2"/>
  <c r="I222" i="2" s="1"/>
  <c r="M222" i="2"/>
  <c r="L222" i="2" s="1"/>
  <c r="M223" i="2"/>
  <c r="L223" i="2" s="1"/>
  <c r="J223" i="2"/>
  <c r="I223" i="2" s="1"/>
  <c r="G223" i="2"/>
  <c r="F223" i="2" s="1"/>
  <c r="J345" i="2"/>
  <c r="I345" i="2" s="1"/>
  <c r="M345" i="2"/>
  <c r="L345" i="2" s="1"/>
  <c r="G345" i="2"/>
  <c r="F345" i="2" s="1"/>
  <c r="M372" i="2"/>
  <c r="L372" i="2" s="1"/>
  <c r="J372" i="2"/>
  <c r="I372" i="2" s="1"/>
  <c r="G372" i="2"/>
  <c r="F372" i="2" s="1"/>
  <c r="G643" i="2"/>
  <c r="F643" i="2" s="1"/>
  <c r="M643" i="2"/>
  <c r="L643" i="2" s="1"/>
  <c r="J643" i="2"/>
  <c r="I643" i="2" s="1"/>
  <c r="M649" i="2"/>
  <c r="L649" i="2" s="1"/>
  <c r="J649" i="2"/>
  <c r="I649" i="2" s="1"/>
  <c r="G649" i="2"/>
  <c r="F649" i="2" s="1"/>
  <c r="J391" i="2"/>
  <c r="I391" i="2" s="1"/>
  <c r="M391" i="2"/>
  <c r="L391" i="2" s="1"/>
  <c r="G391" i="2"/>
  <c r="F391" i="2" s="1"/>
  <c r="J423" i="2"/>
  <c r="I423" i="2" s="1"/>
  <c r="M423" i="2"/>
  <c r="L423" i="2" s="1"/>
  <c r="G423" i="2"/>
  <c r="F423" i="2" s="1"/>
  <c r="M424" i="2"/>
  <c r="L424" i="2" s="1"/>
  <c r="G424" i="2"/>
  <c r="F424" i="2" s="1"/>
  <c r="J424" i="2"/>
  <c r="I424" i="2" s="1"/>
  <c r="G425" i="2"/>
  <c r="F425" i="2" s="1"/>
  <c r="M425" i="2"/>
  <c r="L425" i="2" s="1"/>
  <c r="J425" i="2"/>
  <c r="I425" i="2" s="1"/>
  <c r="G444" i="2"/>
  <c r="F444" i="2" s="1"/>
  <c r="J444" i="2"/>
  <c r="I444" i="2" s="1"/>
  <c r="M444" i="2"/>
  <c r="L444" i="2" s="1"/>
  <c r="M446" i="2"/>
  <c r="L446" i="2" s="1"/>
  <c r="J446" i="2"/>
  <c r="I446" i="2" s="1"/>
  <c r="G446" i="2"/>
  <c r="F446" i="2" s="1"/>
  <c r="J447" i="2"/>
  <c r="I447" i="2" s="1"/>
  <c r="G447" i="2"/>
  <c r="F447" i="2" s="1"/>
  <c r="M447" i="2"/>
  <c r="L447" i="2" s="1"/>
  <c r="M448" i="2"/>
  <c r="L448" i="2" s="1"/>
  <c r="J448" i="2"/>
  <c r="I448" i="2" s="1"/>
  <c r="G448" i="2"/>
  <c r="F448" i="2" s="1"/>
  <c r="J451" i="2"/>
  <c r="I451" i="2" s="1"/>
  <c r="G451" i="2"/>
  <c r="F451" i="2" s="1"/>
  <c r="M451" i="2"/>
  <c r="L451" i="2" s="1"/>
  <c r="G452" i="2"/>
  <c r="F452" i="2" s="1"/>
  <c r="M452" i="2"/>
  <c r="L452" i="2" s="1"/>
  <c r="J452" i="2"/>
  <c r="I452" i="2" s="1"/>
  <c r="M455" i="2"/>
  <c r="L455" i="2" s="1"/>
  <c r="G455" i="2"/>
  <c r="F455" i="2" s="1"/>
  <c r="J455" i="2"/>
  <c r="I455" i="2" s="1"/>
  <c r="M645" i="2"/>
  <c r="L645" i="2" s="1"/>
  <c r="G645" i="2"/>
  <c r="F645" i="2" s="1"/>
  <c r="J645" i="2"/>
  <c r="I645" i="2" s="1"/>
  <c r="J678" i="2"/>
  <c r="I678" i="2" s="1"/>
  <c r="G678" i="2"/>
  <c r="F678" i="2" s="1"/>
  <c r="M678" i="2"/>
  <c r="L678" i="2" s="1"/>
  <c r="M684" i="2"/>
  <c r="L684" i="2" s="1"/>
  <c r="J684" i="2"/>
  <c r="I684" i="2" s="1"/>
  <c r="G684" i="2"/>
  <c r="F684" i="2" s="1"/>
  <c r="G690" i="2"/>
  <c r="F690" i="2" s="1"/>
  <c r="J690" i="2"/>
  <c r="I690" i="2" s="1"/>
  <c r="M690" i="2"/>
  <c r="L690" i="2" s="1"/>
  <c r="M696" i="2"/>
  <c r="L696" i="2" s="1"/>
  <c r="G696" i="2"/>
  <c r="F696" i="2" s="1"/>
  <c r="J696" i="2"/>
  <c r="I696" i="2" s="1"/>
  <c r="M462" i="2"/>
  <c r="L462" i="2" s="1"/>
  <c r="J462" i="2"/>
  <c r="I462" i="2" s="1"/>
  <c r="G462" i="2"/>
  <c r="F462" i="2" s="1"/>
  <c r="G565" i="2"/>
  <c r="F565" i="2" s="1"/>
  <c r="M565" i="2"/>
  <c r="L565" i="2" s="1"/>
  <c r="J565" i="2"/>
  <c r="I565" i="2" s="1"/>
  <c r="M566" i="2"/>
  <c r="L566" i="2" s="1"/>
  <c r="G566" i="2"/>
  <c r="F566" i="2" s="1"/>
  <c r="J566" i="2"/>
  <c r="I566" i="2" s="1"/>
  <c r="J578" i="2"/>
  <c r="I578" i="2" s="1"/>
  <c r="M578" i="2"/>
  <c r="L578" i="2" s="1"/>
  <c r="G578" i="2"/>
  <c r="F578" i="2" s="1"/>
  <c r="G579" i="2"/>
  <c r="F579" i="2" s="1"/>
  <c r="M579" i="2"/>
  <c r="L579" i="2" s="1"/>
  <c r="J579" i="2"/>
  <c r="I579" i="2" s="1"/>
  <c r="G584" i="2"/>
  <c r="F584" i="2" s="1"/>
  <c r="J584" i="2"/>
  <c r="I584" i="2" s="1"/>
  <c r="M584" i="2"/>
  <c r="L584" i="2" s="1"/>
  <c r="G593" i="2"/>
  <c r="F593" i="2" s="1"/>
  <c r="J593" i="2"/>
  <c r="I593" i="2" s="1"/>
  <c r="M593" i="2"/>
  <c r="L593" i="2" s="1"/>
  <c r="J600" i="2"/>
  <c r="I600" i="2" s="1"/>
  <c r="M600" i="2"/>
  <c r="L600" i="2" s="1"/>
  <c r="G600" i="2"/>
  <c r="F600" i="2" s="1"/>
  <c r="M602" i="2"/>
  <c r="L602" i="2" s="1"/>
  <c r="G602" i="2"/>
  <c r="F602" i="2" s="1"/>
  <c r="J602" i="2"/>
  <c r="I602" i="2" s="1"/>
  <c r="J606" i="2"/>
  <c r="I606" i="2" s="1"/>
  <c r="M606" i="2"/>
  <c r="L606" i="2" s="1"/>
  <c r="G606" i="2"/>
  <c r="F606" i="2" s="1"/>
  <c r="M634" i="2"/>
  <c r="L634" i="2" s="1"/>
  <c r="J634" i="2"/>
  <c r="I634" i="2" s="1"/>
  <c r="G634" i="2"/>
  <c r="F634" i="2" s="1"/>
  <c r="M635" i="2"/>
  <c r="L635" i="2" s="1"/>
  <c r="G635" i="2"/>
  <c r="F635" i="2" s="1"/>
  <c r="J635" i="2"/>
  <c r="I635" i="2" s="1"/>
  <c r="J637" i="2"/>
  <c r="I637" i="2" s="1"/>
  <c r="M637" i="2"/>
  <c r="L637" i="2" s="1"/>
  <c r="G637" i="2"/>
  <c r="F637" i="2" s="1"/>
  <c r="M639" i="2"/>
  <c r="L639" i="2" s="1"/>
  <c r="G639" i="2"/>
  <c r="F639" i="2" s="1"/>
  <c r="J639" i="2"/>
  <c r="I639" i="2" s="1"/>
  <c r="G640" i="2"/>
  <c r="F640" i="2" s="1"/>
  <c r="J640" i="2"/>
  <c r="I640" i="2" s="1"/>
  <c r="M640" i="2"/>
  <c r="L640" i="2" s="1"/>
  <c r="G641" i="2"/>
  <c r="F641" i="2" s="1"/>
  <c r="M641" i="2"/>
  <c r="L641" i="2" s="1"/>
  <c r="J641" i="2"/>
  <c r="I641" i="2" s="1"/>
  <c r="J644" i="2"/>
  <c r="I644" i="2" s="1"/>
  <c r="G644" i="2"/>
  <c r="F644" i="2" s="1"/>
  <c r="M644" i="2"/>
  <c r="L644" i="2" s="1"/>
  <c r="G650" i="2"/>
  <c r="F650" i="2" s="1"/>
  <c r="M650" i="2"/>
  <c r="L650" i="2" s="1"/>
  <c r="J650" i="2"/>
  <c r="I650" i="2" s="1"/>
  <c r="J656" i="2"/>
  <c r="I656" i="2" s="1"/>
  <c r="G656" i="2"/>
  <c r="F656" i="2" s="1"/>
  <c r="M656" i="2"/>
  <c r="L656" i="2" s="1"/>
  <c r="J668" i="2"/>
  <c r="I668" i="2" s="1"/>
  <c r="G668" i="2"/>
  <c r="F668" i="2" s="1"/>
  <c r="M668" i="2"/>
  <c r="L668" i="2" s="1"/>
  <c r="G681" i="2"/>
  <c r="F681" i="2" s="1"/>
  <c r="J681" i="2"/>
  <c r="I681" i="2" s="1"/>
  <c r="M681" i="2"/>
  <c r="L681" i="2" s="1"/>
  <c r="J689" i="2"/>
  <c r="I689" i="2" s="1"/>
  <c r="M689" i="2"/>
  <c r="L689" i="2" s="1"/>
  <c r="G689" i="2"/>
  <c r="F689" i="2" s="1"/>
  <c r="M693" i="2"/>
  <c r="L693" i="2" s="1"/>
  <c r="J693" i="2"/>
  <c r="I693" i="2" s="1"/>
  <c r="G693" i="2"/>
  <c r="F693" i="2" s="1"/>
  <c r="M518" i="2"/>
  <c r="L518" i="2" s="1"/>
  <c r="J518" i="2"/>
  <c r="I518" i="2" s="1"/>
  <c r="G518" i="2"/>
  <c r="F518" i="2" s="1"/>
  <c r="J493" i="2"/>
  <c r="I493" i="2" s="1"/>
  <c r="M493" i="2"/>
  <c r="L493" i="2" s="1"/>
  <c r="G493" i="2"/>
  <c r="F493" i="2" s="1"/>
  <c r="M691" i="2"/>
  <c r="L691" i="2" s="1"/>
  <c r="J691" i="2"/>
  <c r="I691" i="2" s="1"/>
  <c r="G691" i="2"/>
  <c r="F691" i="2" s="1"/>
  <c r="J687" i="2"/>
  <c r="I687" i="2" s="1"/>
  <c r="G687" i="2"/>
  <c r="F687" i="2" s="1"/>
  <c r="M687" i="2"/>
  <c r="L687" i="2" s="1"/>
  <c r="M683" i="2"/>
  <c r="L683" i="2" s="1"/>
  <c r="G683" i="2"/>
  <c r="F683" i="2" s="1"/>
  <c r="J683" i="2"/>
  <c r="I683" i="2" s="1"/>
  <c r="G408" i="2"/>
  <c r="F408" i="2" s="1"/>
  <c r="J408" i="2"/>
  <c r="I408" i="2" s="1"/>
  <c r="M408" i="2"/>
  <c r="L408" i="2" s="1"/>
  <c r="G205" i="2"/>
  <c r="F205" i="2" s="1"/>
  <c r="J205" i="2"/>
  <c r="I205" i="2" s="1"/>
  <c r="M205" i="2"/>
  <c r="L205" i="2" s="1"/>
  <c r="G209" i="2"/>
  <c r="F209" i="2" s="1"/>
  <c r="M209" i="2"/>
  <c r="L209" i="2" s="1"/>
  <c r="J209" i="2"/>
  <c r="I209" i="2" s="1"/>
  <c r="M250" i="2"/>
  <c r="L250" i="2" s="1"/>
  <c r="G250" i="2"/>
  <c r="F250" i="2" s="1"/>
  <c r="J250" i="2"/>
  <c r="I250" i="2" s="1"/>
  <c r="M259" i="2"/>
  <c r="L259" i="2" s="1"/>
  <c r="J259" i="2"/>
  <c r="I259" i="2" s="1"/>
  <c r="G259" i="2"/>
  <c r="F259" i="2" s="1"/>
  <c r="M261" i="2"/>
  <c r="L261" i="2" s="1"/>
  <c r="J261" i="2"/>
  <c r="I261" i="2" s="1"/>
  <c r="G261" i="2"/>
  <c r="F261" i="2" s="1"/>
  <c r="G297" i="2"/>
  <c r="F297" i="2" s="1"/>
  <c r="J297" i="2"/>
  <c r="I297" i="2" s="1"/>
  <c r="M297" i="2"/>
  <c r="L297" i="2" s="1"/>
  <c r="M682" i="2"/>
  <c r="L682" i="2" s="1"/>
  <c r="J682" i="2"/>
  <c r="I682" i="2" s="1"/>
  <c r="G682" i="2"/>
  <c r="F682" i="2" s="1"/>
  <c r="J517" i="2"/>
  <c r="I517" i="2" s="1"/>
  <c r="G517" i="2"/>
  <c r="F517" i="2" s="1"/>
  <c r="M517" i="2"/>
  <c r="L517" i="2" s="1"/>
  <c r="M167" i="2"/>
  <c r="L167" i="2" s="1"/>
  <c r="J167" i="2"/>
  <c r="I167" i="2" s="1"/>
  <c r="G167" i="2"/>
  <c r="F167" i="2" s="1"/>
  <c r="J175" i="2"/>
  <c r="I175" i="2" s="1"/>
  <c r="G175" i="2"/>
  <c r="F175" i="2" s="1"/>
  <c r="M175" i="2"/>
  <c r="L175" i="2" s="1"/>
  <c r="G188" i="2"/>
  <c r="F188" i="2" s="1"/>
  <c r="M188" i="2"/>
  <c r="L188" i="2" s="1"/>
  <c r="J188" i="2"/>
  <c r="I188" i="2" s="1"/>
  <c r="G203" i="2"/>
  <c r="F203" i="2" s="1"/>
  <c r="J203" i="2"/>
  <c r="I203" i="2" s="1"/>
  <c r="M203" i="2"/>
  <c r="L203" i="2" s="1"/>
  <c r="G574" i="2"/>
  <c r="F574" i="2" s="1"/>
  <c r="M574" i="2"/>
  <c r="L574" i="2" s="1"/>
  <c r="J574" i="2"/>
  <c r="I574" i="2" s="1"/>
  <c r="M474" i="2"/>
  <c r="L474" i="2" s="1"/>
  <c r="J474" i="2"/>
  <c r="I474" i="2" s="1"/>
  <c r="G474" i="2"/>
  <c r="F474" i="2" s="1"/>
  <c r="M616" i="2"/>
  <c r="L616" i="2" s="1"/>
  <c r="G616" i="2"/>
  <c r="F616" i="2" s="1"/>
  <c r="J616" i="2"/>
  <c r="I616" i="2" s="1"/>
  <c r="G116" i="2"/>
  <c r="F116" i="2" s="1"/>
  <c r="M116" i="2"/>
  <c r="L116" i="2" s="1"/>
  <c r="J116" i="2"/>
  <c r="I116" i="2" s="1"/>
  <c r="G51" i="2"/>
  <c r="F51" i="2" s="1"/>
  <c r="M51" i="2"/>
  <c r="L51" i="2" s="1"/>
  <c r="J51" i="2"/>
  <c r="I51" i="2" s="1"/>
  <c r="G52" i="2"/>
  <c r="F52" i="2" s="1"/>
  <c r="M52" i="2"/>
  <c r="L52" i="2" s="1"/>
  <c r="J52" i="2"/>
  <c r="I52" i="2" s="1"/>
  <c r="J83" i="2"/>
  <c r="I83" i="2" s="1"/>
  <c r="G83" i="2"/>
  <c r="F83" i="2" s="1"/>
  <c r="M83" i="2"/>
  <c r="L83" i="2" s="1"/>
  <c r="M659" i="2"/>
  <c r="L659" i="2" s="1"/>
  <c r="G659" i="2"/>
  <c r="F659" i="2" s="1"/>
  <c r="J659" i="2"/>
  <c r="I659" i="2" s="1"/>
  <c r="G241" i="2"/>
  <c r="F241" i="2" s="1"/>
  <c r="M241" i="2"/>
  <c r="L241" i="2" s="1"/>
  <c r="J241" i="2"/>
  <c r="I241" i="2" s="1"/>
  <c r="M296" i="2"/>
  <c r="L296" i="2" s="1"/>
  <c r="J296" i="2"/>
  <c r="I296" i="2" s="1"/>
  <c r="G296" i="2"/>
  <c r="F296" i="2" s="1"/>
  <c r="J511" i="2"/>
  <c r="I511" i="2" s="1"/>
  <c r="M511" i="2"/>
  <c r="L511" i="2" s="1"/>
  <c r="G511" i="2"/>
  <c r="F511" i="2" s="1"/>
  <c r="G497" i="2"/>
  <c r="F497" i="2" s="1"/>
  <c r="M497" i="2"/>
  <c r="L497" i="2" s="1"/>
  <c r="J497" i="2"/>
  <c r="I497" i="2" s="1"/>
  <c r="G429" i="2"/>
  <c r="F429" i="2" s="1"/>
  <c r="M429" i="2"/>
  <c r="L429" i="2" s="1"/>
  <c r="J429" i="2"/>
  <c r="I429" i="2" s="1"/>
  <c r="M502" i="2"/>
  <c r="L502" i="2" s="1"/>
  <c r="J502" i="2"/>
  <c r="I502" i="2" s="1"/>
  <c r="G502" i="2"/>
  <c r="F502" i="2" s="1"/>
  <c r="G480" i="2"/>
  <c r="F480" i="2" s="1"/>
  <c r="M480" i="2"/>
  <c r="L480" i="2" s="1"/>
  <c r="J480" i="2"/>
  <c r="I480" i="2" s="1"/>
  <c r="M491" i="2"/>
  <c r="L491" i="2" s="1"/>
  <c r="G491" i="2"/>
  <c r="F491" i="2" s="1"/>
  <c r="J491" i="2"/>
  <c r="I491" i="2" s="1"/>
  <c r="G524" i="2"/>
  <c r="F524" i="2" s="1"/>
  <c r="M524" i="2"/>
  <c r="L524" i="2" s="1"/>
  <c r="J524" i="2"/>
  <c r="I524" i="2" s="1"/>
  <c r="M496" i="2"/>
  <c r="L496" i="2" s="1"/>
  <c r="J496" i="2"/>
  <c r="I496" i="2" s="1"/>
  <c r="G496" i="2"/>
  <c r="F496" i="2" s="1"/>
  <c r="J500" i="2"/>
  <c r="I500" i="2" s="1"/>
  <c r="G500" i="2"/>
  <c r="F500" i="2" s="1"/>
  <c r="M500" i="2"/>
  <c r="L500" i="2" s="1"/>
  <c r="G514" i="2"/>
  <c r="F514" i="2" s="1"/>
  <c r="J514" i="2"/>
  <c r="I514" i="2" s="1"/>
  <c r="M514" i="2"/>
  <c r="L514" i="2" s="1"/>
  <c r="J515" i="2"/>
  <c r="I515" i="2" s="1"/>
  <c r="M515" i="2"/>
  <c r="L515" i="2" s="1"/>
  <c r="G515" i="2"/>
  <c r="F515" i="2" s="1"/>
  <c r="J395" i="2"/>
  <c r="I395" i="2" s="1"/>
  <c r="M395" i="2"/>
  <c r="L395" i="2" s="1"/>
  <c r="G395" i="2"/>
  <c r="F395" i="2" s="1"/>
  <c r="M403" i="2"/>
  <c r="L403" i="2" s="1"/>
  <c r="G403" i="2"/>
  <c r="F403" i="2" s="1"/>
  <c r="J403" i="2"/>
  <c r="I403" i="2" s="1"/>
  <c r="M76" i="2"/>
  <c r="L76" i="2" s="1"/>
  <c r="G76" i="2"/>
  <c r="F76" i="2" s="1"/>
  <c r="J76" i="2"/>
  <c r="I76" i="2" s="1"/>
  <c r="J741" i="2"/>
  <c r="I741" i="2" s="1"/>
  <c r="M741" i="2"/>
  <c r="L741" i="2" s="1"/>
  <c r="G741" i="2"/>
  <c r="F741" i="2" s="1"/>
  <c r="J79" i="2"/>
  <c r="I79" i="2" s="1"/>
  <c r="M79" i="2"/>
  <c r="L79" i="2" s="1"/>
  <c r="G79" i="2"/>
  <c r="F79" i="2" s="1"/>
  <c r="G499" i="2"/>
  <c r="F499" i="2" s="1"/>
  <c r="J499" i="2"/>
  <c r="I499" i="2" s="1"/>
  <c r="M499" i="2"/>
  <c r="L499" i="2" s="1"/>
  <c r="M278" i="2"/>
  <c r="L278" i="2" s="1"/>
  <c r="J278" i="2"/>
  <c r="I278" i="2" s="1"/>
  <c r="G278" i="2"/>
  <c r="F278" i="2" s="1"/>
  <c r="J282" i="2"/>
  <c r="I282" i="2" s="1"/>
  <c r="M282" i="2"/>
  <c r="L282" i="2" s="1"/>
  <c r="G282" i="2"/>
  <c r="F282" i="2" s="1"/>
  <c r="G619" i="2"/>
  <c r="F619" i="2" s="1"/>
  <c r="J619" i="2"/>
  <c r="I619" i="2" s="1"/>
  <c r="M619" i="2"/>
  <c r="L619" i="2" s="1"/>
  <c r="G623" i="2"/>
  <c r="F623" i="2" s="1"/>
  <c r="J623" i="2"/>
  <c r="I623" i="2" s="1"/>
  <c r="M623" i="2"/>
  <c r="L623" i="2" s="1"/>
  <c r="M618" i="2"/>
  <c r="L618" i="2" s="1"/>
  <c r="G618" i="2"/>
  <c r="F618" i="2" s="1"/>
  <c r="J618" i="2"/>
  <c r="I618" i="2" s="1"/>
  <c r="M630" i="2"/>
  <c r="L630" i="2" s="1"/>
  <c r="G630" i="2"/>
  <c r="F630" i="2" s="1"/>
  <c r="J630" i="2"/>
  <c r="I630" i="2" s="1"/>
  <c r="M638" i="2"/>
  <c r="L638" i="2" s="1"/>
  <c r="J638" i="2"/>
  <c r="I638" i="2" s="1"/>
  <c r="G638" i="2"/>
  <c r="F638" i="2" s="1"/>
  <c r="M632" i="2"/>
  <c r="L632" i="2" s="1"/>
  <c r="J632" i="2"/>
  <c r="I632" i="2" s="1"/>
  <c r="G632" i="2"/>
  <c r="F632" i="2" s="1"/>
  <c r="M699" i="2"/>
  <c r="L699" i="2" s="1"/>
  <c r="J699" i="2"/>
  <c r="I699" i="2" s="1"/>
  <c r="G699" i="2"/>
  <c r="F699" i="2" s="1"/>
  <c r="M704" i="2"/>
  <c r="L704" i="2" s="1"/>
  <c r="J704" i="2"/>
  <c r="I704" i="2" s="1"/>
  <c r="G704" i="2"/>
  <c r="F704" i="2" s="1"/>
  <c r="J706" i="2"/>
  <c r="I706" i="2" s="1"/>
  <c r="M706" i="2"/>
  <c r="L706" i="2" s="1"/>
  <c r="G706" i="2"/>
  <c r="F706" i="2" s="1"/>
  <c r="G711" i="2"/>
  <c r="F711" i="2" s="1"/>
  <c r="J711" i="2"/>
  <c r="I711" i="2" s="1"/>
  <c r="M711" i="2"/>
  <c r="L711" i="2" s="1"/>
  <c r="J61" i="2"/>
  <c r="I61" i="2" s="1"/>
  <c r="G61" i="2"/>
  <c r="F61" i="2" s="1"/>
  <c r="M61" i="2"/>
  <c r="L61" i="2" s="1"/>
  <c r="G64" i="2"/>
  <c r="F64" i="2" s="1"/>
  <c r="M64" i="2"/>
  <c r="L64" i="2" s="1"/>
  <c r="J64" i="2"/>
  <c r="I64" i="2" s="1"/>
  <c r="M528" i="2"/>
  <c r="L528" i="2" s="1"/>
  <c r="G528" i="2"/>
  <c r="F528" i="2" s="1"/>
  <c r="J528" i="2"/>
  <c r="I528" i="2" s="1"/>
  <c r="J495" i="2"/>
  <c r="I495" i="2" s="1"/>
  <c r="G495" i="2"/>
  <c r="F495" i="2" s="1"/>
  <c r="M495" i="2"/>
  <c r="L495" i="2" s="1"/>
  <c r="M507" i="2"/>
  <c r="L507" i="2" s="1"/>
  <c r="G507" i="2"/>
  <c r="F507" i="2" s="1"/>
  <c r="J507" i="2"/>
  <c r="I507" i="2" s="1"/>
  <c r="G290" i="2"/>
  <c r="F290" i="2" s="1"/>
  <c r="M290" i="2"/>
  <c r="L290" i="2" s="1"/>
  <c r="J290" i="2"/>
  <c r="I290" i="2" s="1"/>
  <c r="M300" i="2"/>
  <c r="L300" i="2" s="1"/>
  <c r="G300" i="2"/>
  <c r="F300" i="2" s="1"/>
  <c r="J300" i="2"/>
  <c r="I300" i="2" s="1"/>
  <c r="J324" i="2"/>
  <c r="I324" i="2" s="1"/>
  <c r="G324" i="2"/>
  <c r="F324" i="2" s="1"/>
  <c r="M324" i="2"/>
  <c r="L324" i="2" s="1"/>
  <c r="J323" i="2"/>
  <c r="I323" i="2" s="1"/>
  <c r="M323" i="2"/>
  <c r="L323" i="2" s="1"/>
  <c r="G323" i="2"/>
  <c r="F323" i="2" s="1"/>
  <c r="M305" i="2"/>
  <c r="L305" i="2" s="1"/>
  <c r="J305" i="2"/>
  <c r="I305" i="2" s="1"/>
  <c r="G305" i="2"/>
  <c r="F305" i="2" s="1"/>
  <c r="J303" i="2"/>
  <c r="I303" i="2" s="1"/>
  <c r="M303" i="2"/>
  <c r="L303" i="2" s="1"/>
  <c r="G303" i="2"/>
  <c r="F303" i="2" s="1"/>
  <c r="M665" i="2"/>
  <c r="L665" i="2" s="1"/>
  <c r="G665" i="2"/>
  <c r="F665" i="2" s="1"/>
  <c r="J665" i="2"/>
  <c r="I665" i="2" s="1"/>
  <c r="G651" i="2"/>
  <c r="F651" i="2" s="1"/>
  <c r="M651" i="2"/>
  <c r="L651" i="2" s="1"/>
  <c r="J651" i="2"/>
  <c r="I651" i="2" s="1"/>
  <c r="J652" i="2"/>
  <c r="I652" i="2" s="1"/>
  <c r="G652" i="2"/>
  <c r="F652" i="2" s="1"/>
  <c r="M652" i="2"/>
  <c r="L652" i="2" s="1"/>
  <c r="M739" i="2"/>
  <c r="L739" i="2" s="1"/>
  <c r="J739" i="2"/>
  <c r="I739" i="2" s="1"/>
  <c r="G739" i="2"/>
  <c r="F739" i="2" s="1"/>
  <c r="G277" i="2"/>
  <c r="F277" i="2" s="1"/>
  <c r="M277" i="2"/>
  <c r="L277" i="2" s="1"/>
  <c r="J277" i="2"/>
  <c r="I277" i="2" s="1"/>
  <c r="M44" i="2"/>
  <c r="L44" i="2" s="1"/>
  <c r="G44" i="2"/>
  <c r="F44" i="2" s="1"/>
  <c r="J44" i="2"/>
  <c r="I44" i="2" s="1"/>
  <c r="M368" i="2"/>
  <c r="L368" i="2" s="1"/>
  <c r="G368" i="2"/>
  <c r="F368" i="2" s="1"/>
  <c r="J368" i="2"/>
  <c r="I368" i="2" s="1"/>
  <c r="M123" i="2"/>
  <c r="L123" i="2" s="1"/>
  <c r="J123" i="2"/>
  <c r="I123" i="2" s="1"/>
  <c r="G123" i="2"/>
  <c r="F123" i="2" s="1"/>
  <c r="M142" i="2"/>
  <c r="L142" i="2" s="1"/>
  <c r="G142" i="2"/>
  <c r="F142" i="2" s="1"/>
  <c r="J142" i="2"/>
  <c r="I142" i="2" s="1"/>
  <c r="M358" i="2"/>
  <c r="L358" i="2" s="1"/>
  <c r="J358" i="2"/>
  <c r="I358" i="2" s="1"/>
  <c r="G358" i="2"/>
  <c r="F358" i="2" s="1"/>
  <c r="J621" i="2"/>
  <c r="I621" i="2" s="1"/>
  <c r="M621" i="2"/>
  <c r="L621" i="2" s="1"/>
  <c r="G621" i="2"/>
  <c r="F621" i="2" s="1"/>
  <c r="G642" i="2"/>
  <c r="F642" i="2" s="1"/>
  <c r="J642" i="2"/>
  <c r="I642" i="2" s="1"/>
  <c r="M642" i="2"/>
  <c r="L642" i="2" s="1"/>
  <c r="J63" i="2"/>
  <c r="I63" i="2" s="1"/>
  <c r="G63" i="2"/>
  <c r="F63" i="2" s="1"/>
  <c r="M63" i="2"/>
  <c r="L63" i="2" s="1"/>
  <c r="M181" i="2"/>
  <c r="L181" i="2" s="1"/>
  <c r="G181" i="2"/>
  <c r="F181" i="2" s="1"/>
  <c r="J181" i="2"/>
  <c r="I181" i="2" s="1"/>
  <c r="J202" i="2"/>
  <c r="I202" i="2" s="1"/>
  <c r="M202" i="2"/>
  <c r="L202" i="2" s="1"/>
  <c r="G202" i="2"/>
  <c r="F202" i="2" s="1"/>
  <c r="M221" i="2"/>
  <c r="L221" i="2" s="1"/>
  <c r="G221" i="2"/>
  <c r="F221" i="2" s="1"/>
  <c r="J221" i="2"/>
  <c r="I221" i="2" s="1"/>
  <c r="M343" i="2"/>
  <c r="L343" i="2" s="1"/>
  <c r="J343" i="2"/>
  <c r="I343" i="2" s="1"/>
  <c r="G343" i="2"/>
  <c r="F343" i="2" s="1"/>
  <c r="J347" i="2"/>
  <c r="I347" i="2" s="1"/>
  <c r="G347" i="2"/>
  <c r="F347" i="2" s="1"/>
  <c r="M347" i="2"/>
  <c r="L347" i="2" s="1"/>
  <c r="M252" i="2"/>
  <c r="L252" i="2" s="1"/>
  <c r="G252" i="2"/>
  <c r="F252" i="2" s="1"/>
  <c r="J252" i="2"/>
  <c r="I252" i="2" s="1"/>
  <c r="J273" i="2"/>
  <c r="I273" i="2" s="1"/>
  <c r="G273" i="2"/>
  <c r="F273" i="2" s="1"/>
  <c r="M273" i="2"/>
  <c r="L273" i="2" s="1"/>
  <c r="J275" i="2"/>
  <c r="I275" i="2" s="1"/>
  <c r="M275" i="2"/>
  <c r="L275" i="2" s="1"/>
  <c r="G275" i="2"/>
  <c r="F275" i="2" s="1"/>
  <c r="J281" i="2"/>
  <c r="I281" i="2" s="1"/>
  <c r="M281" i="2"/>
  <c r="L281" i="2" s="1"/>
  <c r="G281" i="2"/>
  <c r="F281" i="2" s="1"/>
  <c r="J284" i="2"/>
  <c r="I284" i="2" s="1"/>
  <c r="G284" i="2"/>
  <c r="F284" i="2" s="1"/>
  <c r="M284" i="2"/>
  <c r="L284" i="2" s="1"/>
  <c r="G286" i="2"/>
  <c r="F286" i="2" s="1"/>
  <c r="M286" i="2"/>
  <c r="L286" i="2" s="1"/>
  <c r="J286" i="2"/>
  <c r="I286" i="2" s="1"/>
  <c r="J287" i="2"/>
  <c r="I287" i="2" s="1"/>
  <c r="G287" i="2"/>
  <c r="F287" i="2" s="1"/>
  <c r="M287" i="2"/>
  <c r="L287" i="2" s="1"/>
  <c r="G288" i="2"/>
  <c r="F288" i="2" s="1"/>
  <c r="J288" i="2"/>
  <c r="I288" i="2" s="1"/>
  <c r="M288" i="2"/>
  <c r="L288" i="2" s="1"/>
  <c r="G289" i="2"/>
  <c r="F289" i="2" s="1"/>
  <c r="M289" i="2"/>
  <c r="L289" i="2" s="1"/>
  <c r="J289" i="2"/>
  <c r="I289" i="2" s="1"/>
  <c r="G293" i="2"/>
  <c r="F293" i="2" s="1"/>
  <c r="M293" i="2"/>
  <c r="L293" i="2" s="1"/>
  <c r="J293" i="2"/>
  <c r="I293" i="2" s="1"/>
  <c r="J294" i="2"/>
  <c r="I294" i="2" s="1"/>
  <c r="M294" i="2"/>
  <c r="L294" i="2" s="1"/>
  <c r="G294" i="2"/>
  <c r="F294" i="2" s="1"/>
  <c r="J295" i="2"/>
  <c r="I295" i="2" s="1"/>
  <c r="M295" i="2"/>
  <c r="L295" i="2" s="1"/>
  <c r="G295" i="2"/>
  <c r="F295" i="2" s="1"/>
  <c r="M335" i="2"/>
  <c r="L335" i="2" s="1"/>
  <c r="G335" i="2"/>
  <c r="F335" i="2" s="1"/>
  <c r="J335" i="2"/>
  <c r="I335" i="2" s="1"/>
  <c r="J390" i="2"/>
  <c r="I390" i="2" s="1"/>
  <c r="G390" i="2"/>
  <c r="F390" i="2" s="1"/>
  <c r="M390" i="2"/>
  <c r="L390" i="2" s="1"/>
  <c r="G461" i="2"/>
  <c r="F461" i="2" s="1"/>
  <c r="J461" i="2"/>
  <c r="I461" i="2" s="1"/>
  <c r="M461" i="2"/>
  <c r="L461" i="2" s="1"/>
  <c r="G463" i="2"/>
  <c r="F463" i="2" s="1"/>
  <c r="J463" i="2"/>
  <c r="I463" i="2" s="1"/>
  <c r="M463" i="2"/>
  <c r="L463" i="2" s="1"/>
  <c r="M464" i="2"/>
  <c r="L464" i="2" s="1"/>
  <c r="G464" i="2"/>
  <c r="F464" i="2" s="1"/>
  <c r="J464" i="2"/>
  <c r="I464" i="2" s="1"/>
  <c r="G467" i="2"/>
  <c r="F467" i="2" s="1"/>
  <c r="J467" i="2"/>
  <c r="I467" i="2" s="1"/>
  <c r="M467" i="2"/>
  <c r="L467" i="2" s="1"/>
  <c r="G472" i="2"/>
  <c r="F472" i="2" s="1"/>
  <c r="J472" i="2"/>
  <c r="I472" i="2" s="1"/>
  <c r="M472" i="2"/>
  <c r="L472" i="2" s="1"/>
  <c r="G473" i="2"/>
  <c r="F473" i="2" s="1"/>
  <c r="J473" i="2"/>
  <c r="I473" i="2" s="1"/>
  <c r="M473" i="2"/>
  <c r="L473" i="2" s="1"/>
  <c r="M476" i="2"/>
  <c r="L476" i="2" s="1"/>
  <c r="G476" i="2"/>
  <c r="F476" i="2" s="1"/>
  <c r="J476" i="2"/>
  <c r="I476" i="2" s="1"/>
  <c r="J477" i="2"/>
  <c r="I477" i="2" s="1"/>
  <c r="G477" i="2"/>
  <c r="F477" i="2" s="1"/>
  <c r="M477" i="2"/>
  <c r="L477" i="2" s="1"/>
  <c r="G481" i="2"/>
  <c r="F481" i="2" s="1"/>
  <c r="M481" i="2"/>
  <c r="L481" i="2" s="1"/>
  <c r="J481" i="2"/>
  <c r="I481" i="2" s="1"/>
  <c r="M483" i="2"/>
  <c r="L483" i="2" s="1"/>
  <c r="G483" i="2"/>
  <c r="F483" i="2" s="1"/>
  <c r="J483" i="2"/>
  <c r="I483" i="2" s="1"/>
  <c r="M583" i="2"/>
  <c r="L583" i="2" s="1"/>
  <c r="G583" i="2"/>
  <c r="F583" i="2" s="1"/>
  <c r="J583" i="2"/>
  <c r="I583" i="2" s="1"/>
  <c r="G587" i="2"/>
  <c r="F587" i="2" s="1"/>
  <c r="M587" i="2"/>
  <c r="L587" i="2" s="1"/>
  <c r="J587" i="2"/>
  <c r="I587" i="2" s="1"/>
  <c r="J590" i="2"/>
  <c r="I590" i="2" s="1"/>
  <c r="G590" i="2"/>
  <c r="F590" i="2" s="1"/>
  <c r="M590" i="2"/>
  <c r="L590" i="2" s="1"/>
  <c r="J594" i="2"/>
  <c r="I594" i="2" s="1"/>
  <c r="M594" i="2"/>
  <c r="L594" i="2" s="1"/>
  <c r="G594" i="2"/>
  <c r="F594" i="2" s="1"/>
  <c r="J595" i="2"/>
  <c r="I595" i="2" s="1"/>
  <c r="G595" i="2"/>
  <c r="F595" i="2" s="1"/>
  <c r="M595" i="2"/>
  <c r="L595" i="2" s="1"/>
  <c r="J596" i="2"/>
  <c r="I596" i="2" s="1"/>
  <c r="G596" i="2"/>
  <c r="F596" i="2" s="1"/>
  <c r="M596" i="2"/>
  <c r="L596" i="2" s="1"/>
  <c r="G597" i="2"/>
  <c r="F597" i="2" s="1"/>
  <c r="J597" i="2"/>
  <c r="I597" i="2" s="1"/>
  <c r="M597" i="2"/>
  <c r="L597" i="2" s="1"/>
  <c r="J601" i="2"/>
  <c r="I601" i="2" s="1"/>
  <c r="G601" i="2"/>
  <c r="F601" i="2" s="1"/>
  <c r="M601" i="2"/>
  <c r="L601" i="2" s="1"/>
  <c r="J603" i="2"/>
  <c r="I603" i="2" s="1"/>
  <c r="M603" i="2"/>
  <c r="L603" i="2" s="1"/>
  <c r="G603" i="2"/>
  <c r="F603" i="2" s="1"/>
  <c r="J604" i="2"/>
  <c r="I604" i="2" s="1"/>
  <c r="G604" i="2"/>
  <c r="F604" i="2" s="1"/>
  <c r="M604" i="2"/>
  <c r="L604" i="2" s="1"/>
  <c r="J607" i="2"/>
  <c r="I607" i="2" s="1"/>
  <c r="G607" i="2"/>
  <c r="F607" i="2" s="1"/>
  <c r="M607" i="2"/>
  <c r="L607" i="2" s="1"/>
  <c r="G109" i="2"/>
  <c r="F109" i="2" s="1"/>
  <c r="M109" i="2"/>
  <c r="L109" i="2" s="1"/>
  <c r="J109" i="2"/>
  <c r="I109" i="2" s="1"/>
  <c r="M119" i="2"/>
  <c r="L119" i="2" s="1"/>
  <c r="G119" i="2"/>
  <c r="F119" i="2" s="1"/>
  <c r="J119" i="2"/>
  <c r="I119" i="2" s="1"/>
  <c r="M246" i="2"/>
  <c r="L246" i="2" s="1"/>
  <c r="G246" i="2"/>
  <c r="F246" i="2" s="1"/>
  <c r="J246" i="2"/>
  <c r="I246" i="2" s="1"/>
  <c r="G254" i="2"/>
  <c r="F254" i="2" s="1"/>
  <c r="M254" i="2"/>
  <c r="L254" i="2" s="1"/>
  <c r="J254" i="2"/>
  <c r="I254" i="2" s="1"/>
  <c r="J258" i="2"/>
  <c r="I258" i="2" s="1"/>
  <c r="G258" i="2"/>
  <c r="F258" i="2" s="1"/>
  <c r="M258" i="2"/>
  <c r="L258" i="2" s="1"/>
  <c r="G313" i="2"/>
  <c r="F313" i="2" s="1"/>
  <c r="J313" i="2"/>
  <c r="I313" i="2" s="1"/>
  <c r="M313" i="2"/>
  <c r="L313" i="2" s="1"/>
  <c r="J326" i="2"/>
  <c r="I326" i="2" s="1"/>
  <c r="G326" i="2"/>
  <c r="F326" i="2" s="1"/>
  <c r="M326" i="2"/>
  <c r="L326" i="2" s="1"/>
  <c r="J377" i="2"/>
  <c r="I377" i="2" s="1"/>
  <c r="G377" i="2"/>
  <c r="F377" i="2" s="1"/>
  <c r="M377" i="2"/>
  <c r="L377" i="2" s="1"/>
  <c r="G509" i="2"/>
  <c r="F509" i="2" s="1"/>
  <c r="M509" i="2"/>
  <c r="L509" i="2" s="1"/>
  <c r="J509" i="2"/>
  <c r="I509" i="2" s="1"/>
  <c r="J510" i="2"/>
  <c r="I510" i="2" s="1"/>
  <c r="M510" i="2"/>
  <c r="L510" i="2" s="1"/>
  <c r="G510" i="2"/>
  <c r="F510" i="2" s="1"/>
  <c r="J513" i="2"/>
  <c r="I513" i="2" s="1"/>
  <c r="M513" i="2"/>
  <c r="L513" i="2" s="1"/>
  <c r="G513" i="2"/>
  <c r="F513" i="2" s="1"/>
  <c r="M520" i="2"/>
  <c r="L520" i="2" s="1"/>
  <c r="G520" i="2"/>
  <c r="F520" i="2" s="1"/>
  <c r="J520" i="2"/>
  <c r="I520" i="2" s="1"/>
  <c r="G521" i="2"/>
  <c r="F521" i="2" s="1"/>
  <c r="M521" i="2"/>
  <c r="L521" i="2" s="1"/>
  <c r="J521" i="2"/>
  <c r="I521" i="2" s="1"/>
  <c r="J525" i="2"/>
  <c r="I525" i="2" s="1"/>
  <c r="G525" i="2"/>
  <c r="F525" i="2" s="1"/>
  <c r="M525" i="2"/>
  <c r="L525" i="2" s="1"/>
  <c r="J545" i="2"/>
  <c r="I545" i="2" s="1"/>
  <c r="G545" i="2"/>
  <c r="F545" i="2" s="1"/>
  <c r="M545" i="2"/>
  <c r="L545" i="2" s="1"/>
  <c r="G559" i="2"/>
  <c r="F559" i="2" s="1"/>
  <c r="M559" i="2"/>
  <c r="L559" i="2" s="1"/>
  <c r="J559" i="2"/>
  <c r="I559" i="2" s="1"/>
  <c r="J563" i="2"/>
  <c r="I563" i="2" s="1"/>
  <c r="G563" i="2"/>
  <c r="F563" i="2" s="1"/>
  <c r="M563" i="2"/>
  <c r="L563" i="2" s="1"/>
  <c r="J564" i="2"/>
  <c r="I564" i="2" s="1"/>
  <c r="G564" i="2"/>
  <c r="F564" i="2" s="1"/>
  <c r="M564" i="2"/>
  <c r="L564" i="2" s="1"/>
  <c r="M568" i="2"/>
  <c r="L568" i="2" s="1"/>
  <c r="G568" i="2"/>
  <c r="F568" i="2" s="1"/>
  <c r="J568" i="2"/>
  <c r="I568" i="2" s="1"/>
  <c r="G573" i="2"/>
  <c r="F573" i="2" s="1"/>
  <c r="J573" i="2"/>
  <c r="I573" i="2" s="1"/>
  <c r="M573" i="2"/>
  <c r="L573" i="2" s="1"/>
  <c r="M658" i="2"/>
  <c r="L658" i="2" s="1"/>
  <c r="J658" i="2"/>
  <c r="I658" i="2" s="1"/>
  <c r="G658" i="2"/>
  <c r="F658" i="2" s="1"/>
  <c r="G226" i="2"/>
  <c r="F226" i="2" s="1"/>
  <c r="J226" i="2"/>
  <c r="I226" i="2" s="1"/>
  <c r="M226" i="2"/>
  <c r="L226" i="2" s="1"/>
  <c r="J34" i="2"/>
  <c r="I34" i="2" s="1"/>
  <c r="M34" i="2"/>
  <c r="L34" i="2" s="1"/>
  <c r="G34" i="2"/>
  <c r="F34" i="2" s="1"/>
  <c r="M35" i="2"/>
  <c r="L35" i="2" s="1"/>
  <c r="G35" i="2"/>
  <c r="F35" i="2" s="1"/>
  <c r="J35" i="2"/>
  <c r="I35" i="2" s="1"/>
  <c r="M207" i="2"/>
  <c r="L207" i="2" s="1"/>
  <c r="J207" i="2"/>
  <c r="I207" i="2" s="1"/>
  <c r="G207" i="2"/>
  <c r="F207" i="2" s="1"/>
  <c r="J406" i="2"/>
  <c r="I406" i="2" s="1"/>
  <c r="M406" i="2"/>
  <c r="L406" i="2" s="1"/>
  <c r="G406" i="2"/>
  <c r="F406" i="2" s="1"/>
  <c r="M454" i="2"/>
  <c r="L454" i="2" s="1"/>
  <c r="J454" i="2"/>
  <c r="I454" i="2" s="1"/>
  <c r="G454" i="2"/>
  <c r="F454" i="2" s="1"/>
  <c r="G4" i="2"/>
  <c r="F4" i="2" s="1"/>
  <c r="J4" i="2"/>
  <c r="I4" i="2" s="1"/>
  <c r="M4" i="2"/>
  <c r="L4" i="2" s="1"/>
  <c r="J8" i="2"/>
  <c r="I8" i="2" s="1"/>
  <c r="M8" i="2"/>
  <c r="L8" i="2" s="1"/>
  <c r="G8" i="2"/>
  <c r="F8" i="2" s="1"/>
  <c r="G9" i="2"/>
  <c r="F9" i="2" s="1"/>
  <c r="J9" i="2"/>
  <c r="I9" i="2" s="1"/>
  <c r="M9" i="2"/>
  <c r="L9" i="2" s="1"/>
  <c r="M12" i="2"/>
  <c r="L12" i="2" s="1"/>
  <c r="J12" i="2"/>
  <c r="I12" i="2" s="1"/>
  <c r="G12" i="2"/>
  <c r="F12" i="2" s="1"/>
  <c r="M16" i="2"/>
  <c r="L16" i="2" s="1"/>
  <c r="J16" i="2"/>
  <c r="I16" i="2" s="1"/>
  <c r="G16" i="2"/>
  <c r="F16" i="2" s="1"/>
  <c r="M18" i="2"/>
  <c r="L18" i="2" s="1"/>
  <c r="J18" i="2"/>
  <c r="I18" i="2" s="1"/>
  <c r="G18" i="2"/>
  <c r="F18" i="2" s="1"/>
  <c r="J19" i="2"/>
  <c r="I19" i="2" s="1"/>
  <c r="G19" i="2"/>
  <c r="F19" i="2" s="1"/>
  <c r="M19" i="2"/>
  <c r="L19" i="2" s="1"/>
  <c r="G23" i="2"/>
  <c r="F23" i="2" s="1"/>
  <c r="M23" i="2"/>
  <c r="L23" i="2" s="1"/>
  <c r="J23" i="2"/>
  <c r="I23" i="2" s="1"/>
  <c r="M25" i="2"/>
  <c r="L25" i="2" s="1"/>
  <c r="G25" i="2"/>
  <c r="F25" i="2" s="1"/>
  <c r="J25" i="2"/>
  <c r="I25" i="2" s="1"/>
  <c r="M37" i="2"/>
  <c r="L37" i="2" s="1"/>
  <c r="J37" i="2"/>
  <c r="I37" i="2" s="1"/>
  <c r="G37" i="2"/>
  <c r="F37" i="2" s="1"/>
  <c r="M39" i="2"/>
  <c r="L39" i="2" s="1"/>
  <c r="G39" i="2"/>
  <c r="F39" i="2" s="1"/>
  <c r="J39" i="2"/>
  <c r="I39" i="2" s="1"/>
  <c r="M42" i="2"/>
  <c r="L42" i="2" s="1"/>
  <c r="G42" i="2"/>
  <c r="F42" i="2" s="1"/>
  <c r="J42" i="2"/>
  <c r="I42" i="2" s="1"/>
  <c r="M46" i="2"/>
  <c r="L46" i="2" s="1"/>
  <c r="G46" i="2"/>
  <c r="F46" i="2" s="1"/>
  <c r="J46" i="2"/>
  <c r="I46" i="2" s="1"/>
  <c r="J47" i="2"/>
  <c r="I47" i="2" s="1"/>
  <c r="G47" i="2"/>
  <c r="F47" i="2" s="1"/>
  <c r="M47" i="2"/>
  <c r="L47" i="2" s="1"/>
  <c r="J53" i="2"/>
  <c r="I53" i="2" s="1"/>
  <c r="G53" i="2"/>
  <c r="F53" i="2" s="1"/>
  <c r="M53" i="2"/>
  <c r="L53" i="2" s="1"/>
  <c r="J55" i="2"/>
  <c r="I55" i="2" s="1"/>
  <c r="M55" i="2"/>
  <c r="L55" i="2" s="1"/>
  <c r="G55" i="2"/>
  <c r="F55" i="2" s="1"/>
  <c r="M57" i="2"/>
  <c r="L57" i="2" s="1"/>
  <c r="G57" i="2"/>
  <c r="F57" i="2" s="1"/>
  <c r="J57" i="2"/>
  <c r="I57" i="2" s="1"/>
  <c r="M62" i="2"/>
  <c r="L62" i="2" s="1"/>
  <c r="G62" i="2"/>
  <c r="F62" i="2" s="1"/>
  <c r="J62" i="2"/>
  <c r="I62" i="2" s="1"/>
  <c r="M67" i="2"/>
  <c r="L67" i="2" s="1"/>
  <c r="J67" i="2"/>
  <c r="I67" i="2" s="1"/>
  <c r="G67" i="2"/>
  <c r="F67" i="2" s="1"/>
  <c r="G68" i="2"/>
  <c r="F68" i="2" s="1"/>
  <c r="M68" i="2"/>
  <c r="L68" i="2" s="1"/>
  <c r="J68" i="2"/>
  <c r="I68" i="2" s="1"/>
  <c r="M72" i="2"/>
  <c r="L72" i="2" s="1"/>
  <c r="G72" i="2"/>
  <c r="F72" i="2" s="1"/>
  <c r="J72" i="2"/>
  <c r="I72" i="2" s="1"/>
  <c r="J80" i="2"/>
  <c r="I80" i="2" s="1"/>
  <c r="M80" i="2"/>
  <c r="L80" i="2" s="1"/>
  <c r="G80" i="2"/>
  <c r="F80" i="2" s="1"/>
  <c r="M99" i="2"/>
  <c r="L99" i="2" s="1"/>
  <c r="J99" i="2"/>
  <c r="I99" i="2" s="1"/>
  <c r="G99" i="2"/>
  <c r="F99" i="2" s="1"/>
  <c r="M102" i="2"/>
  <c r="L102" i="2" s="1"/>
  <c r="G102" i="2"/>
  <c r="F102" i="2" s="1"/>
  <c r="J102" i="2"/>
  <c r="I102" i="2" s="1"/>
  <c r="J107" i="2"/>
  <c r="I107" i="2" s="1"/>
  <c r="M107" i="2"/>
  <c r="L107" i="2" s="1"/>
  <c r="G107" i="2"/>
  <c r="F107" i="2" s="1"/>
  <c r="J112" i="2"/>
  <c r="I112" i="2" s="1"/>
  <c r="G112" i="2"/>
  <c r="F112" i="2" s="1"/>
  <c r="M112" i="2"/>
  <c r="L112" i="2" s="1"/>
  <c r="G133" i="2"/>
  <c r="F133" i="2" s="1"/>
  <c r="M133" i="2"/>
  <c r="L133" i="2" s="1"/>
  <c r="J133" i="2"/>
  <c r="I133" i="2" s="1"/>
  <c r="G139" i="2"/>
  <c r="F139" i="2" s="1"/>
  <c r="M139" i="2"/>
  <c r="L139" i="2" s="1"/>
  <c r="J139" i="2"/>
  <c r="I139" i="2" s="1"/>
  <c r="J140" i="2"/>
  <c r="I140" i="2" s="1"/>
  <c r="M140" i="2"/>
  <c r="L140" i="2" s="1"/>
  <c r="G140" i="2"/>
  <c r="F140" i="2" s="1"/>
  <c r="M147" i="2"/>
  <c r="L147" i="2" s="1"/>
  <c r="G147" i="2"/>
  <c r="F147" i="2" s="1"/>
  <c r="J147" i="2"/>
  <c r="I147" i="2" s="1"/>
  <c r="J156" i="2"/>
  <c r="I156" i="2" s="1"/>
  <c r="M156" i="2"/>
  <c r="L156" i="2" s="1"/>
  <c r="G156" i="2"/>
  <c r="F156" i="2" s="1"/>
  <c r="G157" i="2"/>
  <c r="F157" i="2" s="1"/>
  <c r="M157" i="2"/>
  <c r="L157" i="2" s="1"/>
  <c r="J157" i="2"/>
  <c r="I157" i="2" s="1"/>
  <c r="M158" i="2"/>
  <c r="L158" i="2" s="1"/>
  <c r="J158" i="2"/>
  <c r="I158" i="2" s="1"/>
  <c r="G158" i="2"/>
  <c r="F158" i="2" s="1"/>
  <c r="M165" i="2"/>
  <c r="L165" i="2" s="1"/>
  <c r="J165" i="2"/>
  <c r="I165" i="2" s="1"/>
  <c r="G165" i="2"/>
  <c r="F165" i="2" s="1"/>
  <c r="M171" i="2"/>
  <c r="L171" i="2" s="1"/>
  <c r="J171" i="2"/>
  <c r="I171" i="2" s="1"/>
  <c r="G171" i="2"/>
  <c r="F171" i="2" s="1"/>
  <c r="J179" i="2"/>
  <c r="I179" i="2" s="1"/>
  <c r="M179" i="2"/>
  <c r="L179" i="2" s="1"/>
  <c r="G179" i="2"/>
  <c r="F179" i="2" s="1"/>
  <c r="M187" i="2"/>
  <c r="L187" i="2" s="1"/>
  <c r="G187" i="2"/>
  <c r="F187" i="2" s="1"/>
  <c r="J187" i="2"/>
  <c r="I187" i="2" s="1"/>
  <c r="J193" i="2"/>
  <c r="I193" i="2" s="1"/>
  <c r="M193" i="2"/>
  <c r="L193" i="2" s="1"/>
  <c r="G193" i="2"/>
  <c r="F193" i="2" s="1"/>
  <c r="M194" i="2"/>
  <c r="L194" i="2" s="1"/>
  <c r="J194" i="2"/>
  <c r="I194" i="2" s="1"/>
  <c r="G194" i="2"/>
  <c r="F194" i="2" s="1"/>
  <c r="J197" i="2"/>
  <c r="I197" i="2" s="1"/>
  <c r="M197" i="2"/>
  <c r="L197" i="2" s="1"/>
  <c r="G197" i="2"/>
  <c r="F197" i="2" s="1"/>
  <c r="G217" i="2"/>
  <c r="F217" i="2" s="1"/>
  <c r="M217" i="2"/>
  <c r="L217" i="2" s="1"/>
  <c r="J217" i="2"/>
  <c r="I217" i="2" s="1"/>
  <c r="G355" i="2"/>
  <c r="F355" i="2" s="1"/>
  <c r="M355" i="2"/>
  <c r="L355" i="2" s="1"/>
  <c r="J355" i="2"/>
  <c r="I355" i="2" s="1"/>
  <c r="J364" i="2"/>
  <c r="I364" i="2" s="1"/>
  <c r="G364" i="2"/>
  <c r="F364" i="2" s="1"/>
  <c r="M364" i="2"/>
  <c r="L364" i="2" s="1"/>
  <c r="J381" i="2"/>
  <c r="I381" i="2" s="1"/>
  <c r="M381" i="2"/>
  <c r="L381" i="2" s="1"/>
  <c r="G381" i="2"/>
  <c r="F381" i="2" s="1"/>
  <c r="J385" i="2"/>
  <c r="I385" i="2" s="1"/>
  <c r="G385" i="2"/>
  <c r="F385" i="2" s="1"/>
  <c r="M385" i="2"/>
  <c r="L385" i="2" s="1"/>
  <c r="G386" i="2"/>
  <c r="F386" i="2" s="1"/>
  <c r="M386" i="2"/>
  <c r="L386" i="2" s="1"/>
  <c r="J386" i="2"/>
  <c r="I386" i="2" s="1"/>
  <c r="J387" i="2"/>
  <c r="I387" i="2" s="1"/>
  <c r="M387" i="2"/>
  <c r="L387" i="2" s="1"/>
  <c r="G387" i="2"/>
  <c r="F387" i="2" s="1"/>
  <c r="M399" i="2"/>
  <c r="L399" i="2" s="1"/>
  <c r="G399" i="2"/>
  <c r="F399" i="2" s="1"/>
  <c r="J399" i="2"/>
  <c r="I399" i="2" s="1"/>
  <c r="M400" i="2"/>
  <c r="L400" i="2" s="1"/>
  <c r="G400" i="2"/>
  <c r="F400" i="2" s="1"/>
  <c r="J400" i="2"/>
  <c r="I400" i="2" s="1"/>
  <c r="J401" i="2"/>
  <c r="I401" i="2" s="1"/>
  <c r="G401" i="2"/>
  <c r="F401" i="2" s="1"/>
  <c r="M401" i="2"/>
  <c r="L401" i="2" s="1"/>
  <c r="M418" i="2"/>
  <c r="L418" i="2" s="1"/>
  <c r="J418" i="2"/>
  <c r="I418" i="2" s="1"/>
  <c r="G418" i="2"/>
  <c r="F418" i="2" s="1"/>
  <c r="G433" i="2"/>
  <c r="F433" i="2" s="1"/>
  <c r="M433" i="2"/>
  <c r="L433" i="2" s="1"/>
  <c r="J433" i="2"/>
  <c r="I433" i="2" s="1"/>
  <c r="G434" i="2"/>
  <c r="F434" i="2" s="1"/>
  <c r="M434" i="2"/>
  <c r="L434" i="2" s="1"/>
  <c r="J434" i="2"/>
  <c r="I434" i="2" s="1"/>
  <c r="J437" i="2"/>
  <c r="I437" i="2" s="1"/>
  <c r="G437" i="2"/>
  <c r="F437" i="2" s="1"/>
  <c r="M437" i="2"/>
  <c r="L437" i="2" s="1"/>
  <c r="J442" i="2"/>
  <c r="I442" i="2" s="1"/>
  <c r="G442" i="2"/>
  <c r="F442" i="2" s="1"/>
  <c r="M442" i="2"/>
  <c r="L442" i="2" s="1"/>
  <c r="M450" i="2"/>
  <c r="L450" i="2" s="1"/>
  <c r="J450" i="2"/>
  <c r="I450" i="2" s="1"/>
  <c r="G450" i="2"/>
  <c r="F450" i="2" s="1"/>
  <c r="M712" i="2"/>
  <c r="L712" i="2" s="1"/>
  <c r="J712" i="2"/>
  <c r="I712" i="2" s="1"/>
  <c r="G712" i="2"/>
  <c r="F712" i="2" s="1"/>
  <c r="M713" i="2"/>
  <c r="L713" i="2" s="1"/>
  <c r="J713" i="2"/>
  <c r="I713" i="2" s="1"/>
  <c r="G713" i="2"/>
  <c r="F713" i="2" s="1"/>
  <c r="J717" i="2"/>
  <c r="I717" i="2" s="1"/>
  <c r="G717" i="2"/>
  <c r="F717" i="2" s="1"/>
  <c r="M717" i="2"/>
  <c r="L717" i="2" s="1"/>
  <c r="J728" i="2"/>
  <c r="I728" i="2" s="1"/>
  <c r="M728" i="2"/>
  <c r="L728" i="2" s="1"/>
  <c r="G728" i="2"/>
  <c r="F728" i="2" s="1"/>
  <c r="J730" i="2"/>
  <c r="I730" i="2" s="1"/>
  <c r="G730" i="2"/>
  <c r="F730" i="2" s="1"/>
  <c r="M730" i="2"/>
  <c r="L730" i="2" s="1"/>
  <c r="M738" i="2"/>
  <c r="L738" i="2" s="1"/>
  <c r="J738" i="2"/>
  <c r="I738" i="2" s="1"/>
  <c r="G738" i="2"/>
  <c r="F738" i="2" s="1"/>
  <c r="Q151" i="2"/>
  <c r="O151" i="2"/>
  <c r="Q5" i="2"/>
  <c r="O5" i="2"/>
  <c r="Q225" i="2"/>
  <c r="O225" i="2"/>
  <c r="Q432" i="2"/>
  <c r="O432" i="2"/>
  <c r="Q65" i="2"/>
  <c r="O65" i="2"/>
  <c r="Q200" i="2"/>
  <c r="O200" i="2"/>
  <c r="Q409" i="2"/>
  <c r="O409" i="2"/>
  <c r="Q135" i="2"/>
  <c r="O135" i="2"/>
  <c r="Q168" i="2"/>
  <c r="O168" i="2"/>
  <c r="Q184" i="2"/>
  <c r="O184" i="2"/>
  <c r="Q190" i="2"/>
  <c r="O190" i="2"/>
  <c r="Q417" i="2"/>
  <c r="O417" i="2"/>
  <c r="Q14" i="2"/>
  <c r="O14" i="2"/>
  <c r="Q216" i="2"/>
  <c r="O216" i="2"/>
  <c r="Q725" i="2"/>
  <c r="O725" i="2"/>
  <c r="Q431" i="2"/>
  <c r="O431" i="2"/>
  <c r="Q735" i="2"/>
  <c r="O735" i="2"/>
  <c r="Q743" i="2"/>
  <c r="O743" i="2"/>
  <c r="Q36" i="2"/>
  <c r="O36" i="2"/>
  <c r="Q77" i="2"/>
  <c r="O77" i="2"/>
  <c r="Q93" i="2"/>
  <c r="O93" i="2"/>
  <c r="Q145" i="2"/>
  <c r="O145" i="2"/>
  <c r="Q146" i="2"/>
  <c r="O146" i="2"/>
  <c r="Q198" i="2"/>
  <c r="O198" i="2"/>
  <c r="Q722" i="2"/>
  <c r="O722" i="2"/>
  <c r="Q7" i="2"/>
  <c r="O7" i="2"/>
  <c r="Q13" i="2"/>
  <c r="O13" i="2"/>
  <c r="Q118" i="2"/>
  <c r="O118" i="2"/>
  <c r="Q126" i="2"/>
  <c r="O126" i="2"/>
  <c r="Q134" i="2"/>
  <c r="O134" i="2"/>
  <c r="Q141" i="2"/>
  <c r="O141" i="2"/>
  <c r="Q149" i="2"/>
  <c r="O149" i="2"/>
  <c r="Q155" i="2"/>
  <c r="O155" i="2"/>
  <c r="Q160" i="2"/>
  <c r="O160" i="2"/>
  <c r="Q169" i="2"/>
  <c r="O169" i="2"/>
  <c r="Q170" i="2"/>
  <c r="O170" i="2"/>
  <c r="Q172" i="2"/>
  <c r="O172" i="2"/>
  <c r="Q186" i="2"/>
  <c r="O186" i="2"/>
  <c r="Q192" i="2"/>
  <c r="O192" i="2"/>
  <c r="Q195" i="2"/>
  <c r="O195" i="2"/>
  <c r="Q206" i="2"/>
  <c r="O206" i="2"/>
  <c r="Q211" i="2"/>
  <c r="O211" i="2"/>
  <c r="Q227" i="2"/>
  <c r="O227" i="2"/>
  <c r="Q229" i="2"/>
  <c r="O229" i="2"/>
  <c r="Q348" i="2"/>
  <c r="O348" i="2"/>
  <c r="Q350" i="2"/>
  <c r="O350" i="2"/>
  <c r="Q353" i="2"/>
  <c r="O353" i="2"/>
  <c r="Q359" i="2"/>
  <c r="O359" i="2"/>
  <c r="Q362" i="2"/>
  <c r="O362" i="2"/>
  <c r="Q363" i="2"/>
  <c r="O363" i="2"/>
  <c r="Q365" i="2"/>
  <c r="O365" i="2"/>
  <c r="Q366" i="2"/>
  <c r="O366" i="2"/>
  <c r="Q383" i="2"/>
  <c r="O383" i="2"/>
  <c r="Q384" i="2"/>
  <c r="O384" i="2"/>
  <c r="Q398" i="2"/>
  <c r="O398" i="2"/>
  <c r="Q407" i="2"/>
  <c r="O407" i="2"/>
  <c r="Q422" i="2"/>
  <c r="O422" i="2"/>
  <c r="Q449" i="2"/>
  <c r="O449" i="2"/>
  <c r="Q6" i="2"/>
  <c r="O6" i="2"/>
  <c r="Q10" i="2"/>
  <c r="O10" i="2"/>
  <c r="Q11" i="2"/>
  <c r="O11" i="2"/>
  <c r="Q17" i="2"/>
  <c r="O17" i="2"/>
  <c r="Q21" i="2"/>
  <c r="O21" i="2"/>
  <c r="Q22" i="2"/>
  <c r="O22" i="2"/>
  <c r="Q24" i="2"/>
  <c r="O24" i="2"/>
  <c r="Q26" i="2"/>
  <c r="O26" i="2"/>
  <c r="Q29" i="2"/>
  <c r="O29" i="2"/>
  <c r="P746" i="2"/>
  <c r="Q31" i="2"/>
  <c r="O31" i="2"/>
  <c r="Q32" i="2"/>
  <c r="O32" i="2"/>
  <c r="Q33" i="2"/>
  <c r="O33" i="2"/>
  <c r="Q38" i="2"/>
  <c r="O38" i="2"/>
  <c r="Q43" i="2"/>
  <c r="O43" i="2"/>
  <c r="Q45" i="2"/>
  <c r="O45" i="2"/>
  <c r="Q49" i="2"/>
  <c r="O49" i="2"/>
  <c r="Q50" i="2"/>
  <c r="O50" i="2"/>
  <c r="Q54" i="2"/>
  <c r="O54" i="2"/>
  <c r="Q60" i="2"/>
  <c r="O60" i="2"/>
  <c r="Q66" i="2"/>
  <c r="O66" i="2"/>
  <c r="Q69" i="2"/>
  <c r="O69" i="2"/>
  <c r="Q70" i="2"/>
  <c r="O70" i="2"/>
  <c r="Q74" i="2"/>
  <c r="O74" i="2"/>
  <c r="Q75" i="2"/>
  <c r="O75" i="2"/>
  <c r="Q81" i="2"/>
  <c r="O81" i="2"/>
  <c r="Q82" i="2"/>
  <c r="O82" i="2"/>
  <c r="Q85" i="2"/>
  <c r="O85" i="2"/>
  <c r="Q87" i="2"/>
  <c r="O87" i="2"/>
  <c r="Q88" i="2"/>
  <c r="O88" i="2"/>
  <c r="Q91" i="2"/>
  <c r="O91" i="2"/>
  <c r="Q94" i="2"/>
  <c r="O94" i="2"/>
  <c r="Q97" i="2"/>
  <c r="O97" i="2"/>
  <c r="Q98" i="2"/>
  <c r="O98" i="2"/>
  <c r="Q101" i="2"/>
  <c r="O101" i="2"/>
  <c r="Q108" i="2"/>
  <c r="O108" i="2"/>
  <c r="Q111" i="2"/>
  <c r="O111" i="2"/>
  <c r="Q113" i="2"/>
  <c r="O113" i="2"/>
  <c r="Q114" i="2"/>
  <c r="O114" i="2"/>
  <c r="Q115" i="2"/>
  <c r="O115" i="2"/>
  <c r="Q117" i="2"/>
  <c r="O117" i="2"/>
  <c r="Q121" i="2"/>
  <c r="O121" i="2"/>
  <c r="Q127" i="2"/>
  <c r="O127" i="2"/>
  <c r="Q128" i="2"/>
  <c r="O128" i="2"/>
  <c r="Q129" i="2"/>
  <c r="O129" i="2"/>
  <c r="Q130" i="2"/>
  <c r="O130" i="2"/>
  <c r="Q138" i="2"/>
  <c r="O138" i="2"/>
  <c r="Q144" i="2"/>
  <c r="O144" i="2"/>
  <c r="Q148" i="2"/>
  <c r="O148" i="2"/>
  <c r="Q150" i="2"/>
  <c r="O150" i="2"/>
  <c r="Q152" i="2"/>
  <c r="O152" i="2"/>
  <c r="Q154" i="2"/>
  <c r="O154" i="2"/>
  <c r="Q159" i="2"/>
  <c r="O159" i="2"/>
  <c r="Q161" i="2"/>
  <c r="O161" i="2"/>
  <c r="Q173" i="2"/>
  <c r="O173" i="2"/>
  <c r="Q174" i="2"/>
  <c r="O174" i="2"/>
  <c r="Q176" i="2"/>
  <c r="O176" i="2"/>
  <c r="Q180" i="2"/>
  <c r="O180" i="2"/>
  <c r="Q182" i="2"/>
  <c r="O182" i="2"/>
  <c r="Q185" i="2"/>
  <c r="O185" i="2"/>
  <c r="Q189" i="2"/>
  <c r="O189" i="2"/>
  <c r="Q208" i="2"/>
  <c r="O208" i="2"/>
  <c r="Q210" i="2"/>
  <c r="O210" i="2"/>
  <c r="Q212" i="2"/>
  <c r="O212" i="2"/>
  <c r="Q214" i="2"/>
  <c r="O214" i="2"/>
  <c r="Q215" i="2"/>
  <c r="O215" i="2"/>
  <c r="Q218" i="2"/>
  <c r="O218" i="2"/>
  <c r="Q219" i="2"/>
  <c r="O219" i="2"/>
  <c r="Q228" i="2"/>
  <c r="O228" i="2"/>
  <c r="Q354" i="2"/>
  <c r="O354" i="2"/>
  <c r="Q360" i="2"/>
  <c r="O360" i="2"/>
  <c r="Q361" i="2"/>
  <c r="O361" i="2"/>
  <c r="Q375" i="2"/>
  <c r="O375" i="2"/>
  <c r="Q376" i="2"/>
  <c r="O376" i="2"/>
  <c r="Q379" i="2"/>
  <c r="O379" i="2"/>
  <c r="Q388" i="2"/>
  <c r="O388" i="2"/>
  <c r="Q389" i="2"/>
  <c r="O389" i="2"/>
  <c r="Q394" i="2"/>
  <c r="O394" i="2"/>
  <c r="Q404" i="2"/>
  <c r="O404" i="2"/>
  <c r="Q413" i="2"/>
  <c r="O413" i="2"/>
  <c r="Q414" i="2"/>
  <c r="O414" i="2"/>
  <c r="Q416" i="2"/>
  <c r="O416" i="2"/>
  <c r="Q420" i="2"/>
  <c r="O420" i="2"/>
  <c r="Q426" i="2"/>
  <c r="O426" i="2"/>
  <c r="Q430" i="2"/>
  <c r="O430" i="2"/>
  <c r="Q438" i="2"/>
  <c r="O438" i="2"/>
  <c r="Q443" i="2"/>
  <c r="O443" i="2"/>
  <c r="Q457" i="2"/>
  <c r="O457" i="2"/>
  <c r="Q716" i="2"/>
  <c r="O716" i="2"/>
  <c r="Q720" i="2"/>
  <c r="O720" i="2"/>
  <c r="Q721" i="2"/>
  <c r="O721" i="2"/>
  <c r="Q731" i="2"/>
  <c r="O731" i="2"/>
  <c r="M746" i="3" l="1"/>
  <c r="L2" i="3"/>
  <c r="L746" i="3" s="1"/>
  <c r="F2" i="3"/>
  <c r="F746" i="3" s="1"/>
  <c r="G746" i="3"/>
  <c r="I2" i="3"/>
  <c r="I746" i="3" s="1"/>
  <c r="J746" i="3"/>
  <c r="L2" i="2"/>
  <c r="I2" i="2"/>
  <c r="F2" i="2"/>
  <c r="J151" i="2"/>
  <c r="I151" i="2" s="1"/>
  <c r="G151" i="2"/>
  <c r="F151" i="2" s="1"/>
  <c r="M151" i="2"/>
  <c r="L151" i="2" s="1"/>
  <c r="M5" i="2"/>
  <c r="J5" i="2"/>
  <c r="G5" i="2"/>
  <c r="G225" i="2"/>
  <c r="F225" i="2" s="1"/>
  <c r="M225" i="2"/>
  <c r="L225" i="2" s="1"/>
  <c r="J225" i="2"/>
  <c r="I225" i="2" s="1"/>
  <c r="J432" i="2"/>
  <c r="I432" i="2" s="1"/>
  <c r="M432" i="2"/>
  <c r="L432" i="2" s="1"/>
  <c r="G432" i="2"/>
  <c r="F432" i="2" s="1"/>
  <c r="G65" i="2"/>
  <c r="F65" i="2" s="1"/>
  <c r="J65" i="2"/>
  <c r="I65" i="2" s="1"/>
  <c r="M65" i="2"/>
  <c r="L65" i="2" s="1"/>
  <c r="G200" i="2"/>
  <c r="F200" i="2" s="1"/>
  <c r="J200" i="2"/>
  <c r="I200" i="2" s="1"/>
  <c r="M200" i="2"/>
  <c r="L200" i="2" s="1"/>
  <c r="M409" i="2"/>
  <c r="L409" i="2" s="1"/>
  <c r="J409" i="2"/>
  <c r="I409" i="2" s="1"/>
  <c r="G409" i="2"/>
  <c r="F409" i="2" s="1"/>
  <c r="G135" i="2"/>
  <c r="F135" i="2" s="1"/>
  <c r="J135" i="2"/>
  <c r="I135" i="2" s="1"/>
  <c r="M135" i="2"/>
  <c r="L135" i="2" s="1"/>
  <c r="G168" i="2"/>
  <c r="F168" i="2" s="1"/>
  <c r="J168" i="2"/>
  <c r="I168" i="2" s="1"/>
  <c r="M168" i="2"/>
  <c r="L168" i="2" s="1"/>
  <c r="G184" i="2"/>
  <c r="F184" i="2" s="1"/>
  <c r="M184" i="2"/>
  <c r="L184" i="2" s="1"/>
  <c r="J184" i="2"/>
  <c r="I184" i="2" s="1"/>
  <c r="M190" i="2"/>
  <c r="L190" i="2" s="1"/>
  <c r="J190" i="2"/>
  <c r="I190" i="2" s="1"/>
  <c r="G190" i="2"/>
  <c r="F190" i="2" s="1"/>
  <c r="J417" i="2"/>
  <c r="I417" i="2" s="1"/>
  <c r="G417" i="2"/>
  <c r="F417" i="2" s="1"/>
  <c r="M417" i="2"/>
  <c r="L417" i="2" s="1"/>
  <c r="M14" i="2"/>
  <c r="L14" i="2" s="1"/>
  <c r="G14" i="2"/>
  <c r="F14" i="2" s="1"/>
  <c r="J14" i="2"/>
  <c r="I14" i="2" s="1"/>
  <c r="M216" i="2"/>
  <c r="L216" i="2" s="1"/>
  <c r="J216" i="2"/>
  <c r="I216" i="2" s="1"/>
  <c r="G216" i="2"/>
  <c r="F216" i="2" s="1"/>
  <c r="M725" i="2"/>
  <c r="L725" i="2" s="1"/>
  <c r="J725" i="2"/>
  <c r="I725" i="2" s="1"/>
  <c r="G725" i="2"/>
  <c r="F725" i="2" s="1"/>
  <c r="G431" i="2"/>
  <c r="F431" i="2" s="1"/>
  <c r="J431" i="2"/>
  <c r="I431" i="2" s="1"/>
  <c r="M431" i="2"/>
  <c r="L431" i="2" s="1"/>
  <c r="G735" i="2"/>
  <c r="F735" i="2" s="1"/>
  <c r="M735" i="2"/>
  <c r="L735" i="2" s="1"/>
  <c r="J735" i="2"/>
  <c r="I735" i="2" s="1"/>
  <c r="M743" i="2"/>
  <c r="L743" i="2" s="1"/>
  <c r="G743" i="2"/>
  <c r="F743" i="2" s="1"/>
  <c r="J743" i="2"/>
  <c r="I743" i="2" s="1"/>
  <c r="G36" i="2"/>
  <c r="F36" i="2" s="1"/>
  <c r="J36" i="2"/>
  <c r="I36" i="2" s="1"/>
  <c r="M36" i="2"/>
  <c r="L36" i="2" s="1"/>
  <c r="M77" i="2"/>
  <c r="L77" i="2" s="1"/>
  <c r="J77" i="2"/>
  <c r="I77" i="2" s="1"/>
  <c r="G77" i="2"/>
  <c r="F77" i="2" s="1"/>
  <c r="M93" i="2"/>
  <c r="L93" i="2" s="1"/>
  <c r="J93" i="2"/>
  <c r="I93" i="2" s="1"/>
  <c r="G93" i="2"/>
  <c r="F93" i="2" s="1"/>
  <c r="M145" i="2"/>
  <c r="L145" i="2" s="1"/>
  <c r="G145" i="2"/>
  <c r="F145" i="2" s="1"/>
  <c r="J145" i="2"/>
  <c r="I145" i="2" s="1"/>
  <c r="M146" i="2"/>
  <c r="L146" i="2" s="1"/>
  <c r="G146" i="2"/>
  <c r="F146" i="2" s="1"/>
  <c r="J146" i="2"/>
  <c r="I146" i="2" s="1"/>
  <c r="M198" i="2"/>
  <c r="L198" i="2" s="1"/>
  <c r="G198" i="2"/>
  <c r="F198" i="2" s="1"/>
  <c r="J198" i="2"/>
  <c r="I198" i="2" s="1"/>
  <c r="G722" i="2"/>
  <c r="F722" i="2" s="1"/>
  <c r="M722" i="2"/>
  <c r="L722" i="2" s="1"/>
  <c r="J722" i="2"/>
  <c r="I722" i="2" s="1"/>
  <c r="J7" i="2"/>
  <c r="I7" i="2" s="1"/>
  <c r="M7" i="2"/>
  <c r="L7" i="2" s="1"/>
  <c r="G7" i="2"/>
  <c r="F7" i="2" s="1"/>
  <c r="J13" i="2"/>
  <c r="I13" i="2" s="1"/>
  <c r="M13" i="2"/>
  <c r="L13" i="2" s="1"/>
  <c r="G13" i="2"/>
  <c r="F13" i="2" s="1"/>
  <c r="G118" i="2"/>
  <c r="F118" i="2" s="1"/>
  <c r="J118" i="2"/>
  <c r="I118" i="2" s="1"/>
  <c r="M118" i="2"/>
  <c r="L118" i="2" s="1"/>
  <c r="J126" i="2"/>
  <c r="I126" i="2" s="1"/>
  <c r="M126" i="2"/>
  <c r="L126" i="2" s="1"/>
  <c r="G126" i="2"/>
  <c r="F126" i="2" s="1"/>
  <c r="J134" i="2"/>
  <c r="I134" i="2" s="1"/>
  <c r="M134" i="2"/>
  <c r="L134" i="2" s="1"/>
  <c r="G134" i="2"/>
  <c r="F134" i="2" s="1"/>
  <c r="M141" i="2"/>
  <c r="L141" i="2" s="1"/>
  <c r="J141" i="2"/>
  <c r="I141" i="2" s="1"/>
  <c r="G141" i="2"/>
  <c r="F141" i="2" s="1"/>
  <c r="J149" i="2"/>
  <c r="I149" i="2" s="1"/>
  <c r="G149" i="2"/>
  <c r="F149" i="2" s="1"/>
  <c r="M149" i="2"/>
  <c r="L149" i="2" s="1"/>
  <c r="G155" i="2"/>
  <c r="F155" i="2" s="1"/>
  <c r="M155" i="2"/>
  <c r="L155" i="2" s="1"/>
  <c r="J155" i="2"/>
  <c r="I155" i="2" s="1"/>
  <c r="J160" i="2"/>
  <c r="I160" i="2" s="1"/>
  <c r="G160" i="2"/>
  <c r="F160" i="2" s="1"/>
  <c r="M160" i="2"/>
  <c r="L160" i="2" s="1"/>
  <c r="J169" i="2"/>
  <c r="I169" i="2" s="1"/>
  <c r="M169" i="2"/>
  <c r="L169" i="2" s="1"/>
  <c r="G169" i="2"/>
  <c r="F169" i="2" s="1"/>
  <c r="J170" i="2"/>
  <c r="I170" i="2" s="1"/>
  <c r="G170" i="2"/>
  <c r="F170" i="2" s="1"/>
  <c r="M170" i="2"/>
  <c r="L170" i="2" s="1"/>
  <c r="G172" i="2"/>
  <c r="F172" i="2" s="1"/>
  <c r="M172" i="2"/>
  <c r="L172" i="2" s="1"/>
  <c r="J172" i="2"/>
  <c r="I172" i="2" s="1"/>
  <c r="M186" i="2"/>
  <c r="L186" i="2" s="1"/>
  <c r="G186" i="2"/>
  <c r="F186" i="2" s="1"/>
  <c r="J186" i="2"/>
  <c r="I186" i="2" s="1"/>
  <c r="J192" i="2"/>
  <c r="I192" i="2" s="1"/>
  <c r="G192" i="2"/>
  <c r="F192" i="2" s="1"/>
  <c r="M192" i="2"/>
  <c r="L192" i="2" s="1"/>
  <c r="J195" i="2"/>
  <c r="I195" i="2" s="1"/>
  <c r="G195" i="2"/>
  <c r="F195" i="2" s="1"/>
  <c r="M195" i="2"/>
  <c r="L195" i="2" s="1"/>
  <c r="G206" i="2"/>
  <c r="F206" i="2" s="1"/>
  <c r="J206" i="2"/>
  <c r="I206" i="2" s="1"/>
  <c r="M206" i="2"/>
  <c r="L206" i="2" s="1"/>
  <c r="G211" i="2"/>
  <c r="F211" i="2" s="1"/>
  <c r="M211" i="2"/>
  <c r="L211" i="2" s="1"/>
  <c r="J211" i="2"/>
  <c r="I211" i="2" s="1"/>
  <c r="M227" i="2"/>
  <c r="L227" i="2" s="1"/>
  <c r="J227" i="2"/>
  <c r="I227" i="2" s="1"/>
  <c r="G227" i="2"/>
  <c r="F227" i="2" s="1"/>
  <c r="M229" i="2"/>
  <c r="L229" i="2" s="1"/>
  <c r="J229" i="2"/>
  <c r="I229" i="2" s="1"/>
  <c r="G229" i="2"/>
  <c r="F229" i="2" s="1"/>
  <c r="M348" i="2"/>
  <c r="L348" i="2" s="1"/>
  <c r="G348" i="2"/>
  <c r="F348" i="2" s="1"/>
  <c r="J348" i="2"/>
  <c r="I348" i="2" s="1"/>
  <c r="G350" i="2"/>
  <c r="F350" i="2" s="1"/>
  <c r="J350" i="2"/>
  <c r="I350" i="2" s="1"/>
  <c r="M350" i="2"/>
  <c r="L350" i="2" s="1"/>
  <c r="M353" i="2"/>
  <c r="L353" i="2" s="1"/>
  <c r="G353" i="2"/>
  <c r="F353" i="2" s="1"/>
  <c r="J353" i="2"/>
  <c r="I353" i="2" s="1"/>
  <c r="M359" i="2"/>
  <c r="L359" i="2" s="1"/>
  <c r="J359" i="2"/>
  <c r="I359" i="2" s="1"/>
  <c r="G359" i="2"/>
  <c r="F359" i="2" s="1"/>
  <c r="M362" i="2"/>
  <c r="L362" i="2" s="1"/>
  <c r="J362" i="2"/>
  <c r="I362" i="2" s="1"/>
  <c r="G362" i="2"/>
  <c r="F362" i="2" s="1"/>
  <c r="G363" i="2"/>
  <c r="F363" i="2" s="1"/>
  <c r="M363" i="2"/>
  <c r="L363" i="2" s="1"/>
  <c r="J363" i="2"/>
  <c r="I363" i="2" s="1"/>
  <c r="M365" i="2"/>
  <c r="L365" i="2" s="1"/>
  <c r="J365" i="2"/>
  <c r="I365" i="2" s="1"/>
  <c r="G365" i="2"/>
  <c r="F365" i="2" s="1"/>
  <c r="M366" i="2"/>
  <c r="L366" i="2" s="1"/>
  <c r="J366" i="2"/>
  <c r="I366" i="2" s="1"/>
  <c r="G366" i="2"/>
  <c r="F366" i="2" s="1"/>
  <c r="G383" i="2"/>
  <c r="F383" i="2" s="1"/>
  <c r="J383" i="2"/>
  <c r="I383" i="2" s="1"/>
  <c r="M383" i="2"/>
  <c r="L383" i="2" s="1"/>
  <c r="G384" i="2"/>
  <c r="F384" i="2" s="1"/>
  <c r="M384" i="2"/>
  <c r="L384" i="2" s="1"/>
  <c r="J384" i="2"/>
  <c r="I384" i="2" s="1"/>
  <c r="J398" i="2"/>
  <c r="I398" i="2" s="1"/>
  <c r="G398" i="2"/>
  <c r="F398" i="2" s="1"/>
  <c r="M398" i="2"/>
  <c r="L398" i="2" s="1"/>
  <c r="G407" i="2"/>
  <c r="F407" i="2" s="1"/>
  <c r="M407" i="2"/>
  <c r="L407" i="2" s="1"/>
  <c r="J407" i="2"/>
  <c r="I407" i="2" s="1"/>
  <c r="G422" i="2"/>
  <c r="F422" i="2" s="1"/>
  <c r="M422" i="2"/>
  <c r="L422" i="2" s="1"/>
  <c r="J422" i="2"/>
  <c r="I422" i="2" s="1"/>
  <c r="J449" i="2"/>
  <c r="I449" i="2" s="1"/>
  <c r="M449" i="2"/>
  <c r="L449" i="2" s="1"/>
  <c r="G449" i="2"/>
  <c r="F449" i="2" s="1"/>
  <c r="G6" i="2"/>
  <c r="F6" i="2" s="1"/>
  <c r="J6" i="2"/>
  <c r="I6" i="2" s="1"/>
  <c r="M6" i="2"/>
  <c r="L6" i="2" s="1"/>
  <c r="M10" i="2"/>
  <c r="L10" i="2" s="1"/>
  <c r="G10" i="2"/>
  <c r="F10" i="2" s="1"/>
  <c r="J10" i="2"/>
  <c r="I10" i="2" s="1"/>
  <c r="G11" i="2"/>
  <c r="F11" i="2" s="1"/>
  <c r="M11" i="2"/>
  <c r="L11" i="2" s="1"/>
  <c r="J11" i="2"/>
  <c r="I11" i="2" s="1"/>
  <c r="M17" i="2"/>
  <c r="L17" i="2" s="1"/>
  <c r="J17" i="2"/>
  <c r="I17" i="2" s="1"/>
  <c r="G17" i="2"/>
  <c r="F17" i="2" s="1"/>
  <c r="M21" i="2"/>
  <c r="L21" i="2" s="1"/>
  <c r="J21" i="2"/>
  <c r="I21" i="2" s="1"/>
  <c r="G21" i="2"/>
  <c r="F21" i="2" s="1"/>
  <c r="J22" i="2"/>
  <c r="I22" i="2" s="1"/>
  <c r="M22" i="2"/>
  <c r="L22" i="2" s="1"/>
  <c r="G22" i="2"/>
  <c r="F22" i="2" s="1"/>
  <c r="J24" i="2"/>
  <c r="I24" i="2" s="1"/>
  <c r="M24" i="2"/>
  <c r="L24" i="2" s="1"/>
  <c r="G24" i="2"/>
  <c r="F24" i="2" s="1"/>
  <c r="J26" i="2"/>
  <c r="I26" i="2" s="1"/>
  <c r="M26" i="2"/>
  <c r="L26" i="2" s="1"/>
  <c r="G26" i="2"/>
  <c r="F26" i="2" s="1"/>
  <c r="G29" i="2"/>
  <c r="F29" i="2" s="1"/>
  <c r="M29" i="2"/>
  <c r="L29" i="2" s="1"/>
  <c r="J29" i="2"/>
  <c r="I29" i="2" s="1"/>
  <c r="G31" i="2"/>
  <c r="F31" i="2" s="1"/>
  <c r="M31" i="2"/>
  <c r="L31" i="2" s="1"/>
  <c r="J31" i="2"/>
  <c r="I31" i="2" s="1"/>
  <c r="G32" i="2"/>
  <c r="F32" i="2" s="1"/>
  <c r="J32" i="2"/>
  <c r="I32" i="2" s="1"/>
  <c r="M32" i="2"/>
  <c r="L32" i="2" s="1"/>
  <c r="G33" i="2"/>
  <c r="F33" i="2" s="1"/>
  <c r="M33" i="2"/>
  <c r="L33" i="2" s="1"/>
  <c r="J33" i="2"/>
  <c r="I33" i="2" s="1"/>
  <c r="G38" i="2"/>
  <c r="F38" i="2" s="1"/>
  <c r="J38" i="2"/>
  <c r="I38" i="2" s="1"/>
  <c r="M38" i="2"/>
  <c r="L38" i="2" s="1"/>
  <c r="M43" i="2"/>
  <c r="L43" i="2" s="1"/>
  <c r="G43" i="2"/>
  <c r="F43" i="2" s="1"/>
  <c r="J43" i="2"/>
  <c r="I43" i="2" s="1"/>
  <c r="M45" i="2"/>
  <c r="L45" i="2" s="1"/>
  <c r="J45" i="2"/>
  <c r="I45" i="2" s="1"/>
  <c r="G45" i="2"/>
  <c r="F45" i="2" s="1"/>
  <c r="J49" i="2"/>
  <c r="I49" i="2" s="1"/>
  <c r="G49" i="2"/>
  <c r="F49" i="2" s="1"/>
  <c r="M49" i="2"/>
  <c r="L49" i="2" s="1"/>
  <c r="J50" i="2"/>
  <c r="I50" i="2" s="1"/>
  <c r="M50" i="2"/>
  <c r="L50" i="2" s="1"/>
  <c r="G50" i="2"/>
  <c r="F50" i="2" s="1"/>
  <c r="J54" i="2"/>
  <c r="I54" i="2" s="1"/>
  <c r="G54" i="2"/>
  <c r="F54" i="2" s="1"/>
  <c r="M54" i="2"/>
  <c r="L54" i="2" s="1"/>
  <c r="G60" i="2"/>
  <c r="F60" i="2" s="1"/>
  <c r="J60" i="2"/>
  <c r="I60" i="2" s="1"/>
  <c r="M60" i="2"/>
  <c r="L60" i="2" s="1"/>
  <c r="M66" i="2"/>
  <c r="L66" i="2" s="1"/>
  <c r="J66" i="2"/>
  <c r="I66" i="2" s="1"/>
  <c r="G66" i="2"/>
  <c r="F66" i="2" s="1"/>
  <c r="M69" i="2"/>
  <c r="L69" i="2" s="1"/>
  <c r="J69" i="2"/>
  <c r="I69" i="2" s="1"/>
  <c r="G69" i="2"/>
  <c r="F69" i="2" s="1"/>
  <c r="M70" i="2"/>
  <c r="L70" i="2" s="1"/>
  <c r="G70" i="2"/>
  <c r="F70" i="2" s="1"/>
  <c r="J70" i="2"/>
  <c r="I70" i="2" s="1"/>
  <c r="M74" i="2"/>
  <c r="L74" i="2" s="1"/>
  <c r="G74" i="2"/>
  <c r="F74" i="2" s="1"/>
  <c r="J74" i="2"/>
  <c r="I74" i="2" s="1"/>
  <c r="J75" i="2"/>
  <c r="I75" i="2" s="1"/>
  <c r="M75" i="2"/>
  <c r="L75" i="2" s="1"/>
  <c r="G75" i="2"/>
  <c r="F75" i="2" s="1"/>
  <c r="J81" i="2"/>
  <c r="I81" i="2" s="1"/>
  <c r="G81" i="2"/>
  <c r="F81" i="2" s="1"/>
  <c r="M81" i="2"/>
  <c r="L81" i="2" s="1"/>
  <c r="J82" i="2"/>
  <c r="I82" i="2" s="1"/>
  <c r="M82" i="2"/>
  <c r="L82" i="2" s="1"/>
  <c r="G82" i="2"/>
  <c r="F82" i="2" s="1"/>
  <c r="J85" i="2"/>
  <c r="I85" i="2" s="1"/>
  <c r="M85" i="2"/>
  <c r="L85" i="2" s="1"/>
  <c r="G85" i="2"/>
  <c r="F85" i="2" s="1"/>
  <c r="J87" i="2"/>
  <c r="I87" i="2" s="1"/>
  <c r="M87" i="2"/>
  <c r="L87" i="2" s="1"/>
  <c r="G87" i="2"/>
  <c r="F87" i="2" s="1"/>
  <c r="G88" i="2"/>
  <c r="F88" i="2" s="1"/>
  <c r="J88" i="2"/>
  <c r="I88" i="2" s="1"/>
  <c r="M88" i="2"/>
  <c r="L88" i="2" s="1"/>
  <c r="M91" i="2"/>
  <c r="L91" i="2" s="1"/>
  <c r="G91" i="2"/>
  <c r="F91" i="2" s="1"/>
  <c r="J91" i="2"/>
  <c r="I91" i="2" s="1"/>
  <c r="M94" i="2"/>
  <c r="L94" i="2" s="1"/>
  <c r="G94" i="2"/>
  <c r="F94" i="2" s="1"/>
  <c r="J94" i="2"/>
  <c r="I94" i="2" s="1"/>
  <c r="M97" i="2"/>
  <c r="L97" i="2" s="1"/>
  <c r="J97" i="2"/>
  <c r="I97" i="2" s="1"/>
  <c r="G97" i="2"/>
  <c r="F97" i="2" s="1"/>
  <c r="M98" i="2"/>
  <c r="L98" i="2" s="1"/>
  <c r="J98" i="2"/>
  <c r="I98" i="2" s="1"/>
  <c r="G98" i="2"/>
  <c r="F98" i="2" s="1"/>
  <c r="J101" i="2"/>
  <c r="I101" i="2" s="1"/>
  <c r="M101" i="2"/>
  <c r="L101" i="2" s="1"/>
  <c r="G101" i="2"/>
  <c r="F101" i="2" s="1"/>
  <c r="J108" i="2"/>
  <c r="I108" i="2" s="1"/>
  <c r="G108" i="2"/>
  <c r="F108" i="2" s="1"/>
  <c r="M108" i="2"/>
  <c r="L108" i="2" s="1"/>
  <c r="M111" i="2"/>
  <c r="L111" i="2" s="1"/>
  <c r="G111" i="2"/>
  <c r="F111" i="2" s="1"/>
  <c r="J111" i="2"/>
  <c r="I111" i="2" s="1"/>
  <c r="M113" i="2"/>
  <c r="L113" i="2" s="1"/>
  <c r="J113" i="2"/>
  <c r="I113" i="2" s="1"/>
  <c r="G113" i="2"/>
  <c r="F113" i="2" s="1"/>
  <c r="M114" i="2"/>
  <c r="L114" i="2" s="1"/>
  <c r="G114" i="2"/>
  <c r="F114" i="2" s="1"/>
  <c r="J114" i="2"/>
  <c r="I114" i="2" s="1"/>
  <c r="G115" i="2"/>
  <c r="F115" i="2" s="1"/>
  <c r="M115" i="2"/>
  <c r="L115" i="2" s="1"/>
  <c r="J115" i="2"/>
  <c r="I115" i="2" s="1"/>
  <c r="J117" i="2"/>
  <c r="I117" i="2" s="1"/>
  <c r="M117" i="2"/>
  <c r="L117" i="2" s="1"/>
  <c r="G117" i="2"/>
  <c r="F117" i="2" s="1"/>
  <c r="M121" i="2"/>
  <c r="L121" i="2" s="1"/>
  <c r="J121" i="2"/>
  <c r="I121" i="2" s="1"/>
  <c r="G121" i="2"/>
  <c r="F121" i="2" s="1"/>
  <c r="M127" i="2"/>
  <c r="L127" i="2" s="1"/>
  <c r="G127" i="2"/>
  <c r="F127" i="2" s="1"/>
  <c r="J127" i="2"/>
  <c r="I127" i="2" s="1"/>
  <c r="M128" i="2"/>
  <c r="L128" i="2" s="1"/>
  <c r="G128" i="2"/>
  <c r="F128" i="2" s="1"/>
  <c r="J128" i="2"/>
  <c r="I128" i="2" s="1"/>
  <c r="M129" i="2"/>
  <c r="L129" i="2" s="1"/>
  <c r="G129" i="2"/>
  <c r="F129" i="2" s="1"/>
  <c r="J129" i="2"/>
  <c r="I129" i="2" s="1"/>
  <c r="G130" i="2"/>
  <c r="F130" i="2" s="1"/>
  <c r="J130" i="2"/>
  <c r="I130" i="2" s="1"/>
  <c r="M130" i="2"/>
  <c r="L130" i="2" s="1"/>
  <c r="M138" i="2"/>
  <c r="L138" i="2" s="1"/>
  <c r="G138" i="2"/>
  <c r="F138" i="2" s="1"/>
  <c r="J138" i="2"/>
  <c r="I138" i="2" s="1"/>
  <c r="M144" i="2"/>
  <c r="L144" i="2" s="1"/>
  <c r="J144" i="2"/>
  <c r="I144" i="2" s="1"/>
  <c r="G144" i="2"/>
  <c r="F144" i="2" s="1"/>
  <c r="M148" i="2"/>
  <c r="L148" i="2" s="1"/>
  <c r="J148" i="2"/>
  <c r="I148" i="2" s="1"/>
  <c r="G148" i="2"/>
  <c r="F148" i="2" s="1"/>
  <c r="M150" i="2"/>
  <c r="L150" i="2" s="1"/>
  <c r="G150" i="2"/>
  <c r="F150" i="2" s="1"/>
  <c r="J150" i="2"/>
  <c r="I150" i="2" s="1"/>
  <c r="G152" i="2"/>
  <c r="F152" i="2" s="1"/>
  <c r="M152" i="2"/>
  <c r="L152" i="2" s="1"/>
  <c r="J152" i="2"/>
  <c r="I152" i="2" s="1"/>
  <c r="M154" i="2"/>
  <c r="L154" i="2" s="1"/>
  <c r="J154" i="2"/>
  <c r="I154" i="2" s="1"/>
  <c r="G154" i="2"/>
  <c r="F154" i="2" s="1"/>
  <c r="M159" i="2"/>
  <c r="L159" i="2" s="1"/>
  <c r="G159" i="2"/>
  <c r="F159" i="2" s="1"/>
  <c r="J159" i="2"/>
  <c r="I159" i="2" s="1"/>
  <c r="M161" i="2"/>
  <c r="L161" i="2" s="1"/>
  <c r="J161" i="2"/>
  <c r="I161" i="2" s="1"/>
  <c r="G161" i="2"/>
  <c r="F161" i="2" s="1"/>
  <c r="J173" i="2"/>
  <c r="I173" i="2" s="1"/>
  <c r="G173" i="2"/>
  <c r="F173" i="2" s="1"/>
  <c r="M173" i="2"/>
  <c r="L173" i="2" s="1"/>
  <c r="J174" i="2"/>
  <c r="I174" i="2" s="1"/>
  <c r="M174" i="2"/>
  <c r="L174" i="2" s="1"/>
  <c r="G174" i="2"/>
  <c r="F174" i="2" s="1"/>
  <c r="M176" i="2"/>
  <c r="L176" i="2" s="1"/>
  <c r="G176" i="2"/>
  <c r="F176" i="2" s="1"/>
  <c r="J176" i="2"/>
  <c r="I176" i="2" s="1"/>
  <c r="G180" i="2"/>
  <c r="F180" i="2" s="1"/>
  <c r="M180" i="2"/>
  <c r="L180" i="2" s="1"/>
  <c r="J180" i="2"/>
  <c r="I180" i="2" s="1"/>
  <c r="J182" i="2"/>
  <c r="I182" i="2" s="1"/>
  <c r="G182" i="2"/>
  <c r="F182" i="2" s="1"/>
  <c r="M182" i="2"/>
  <c r="L182" i="2" s="1"/>
  <c r="G185" i="2"/>
  <c r="F185" i="2" s="1"/>
  <c r="M185" i="2"/>
  <c r="L185" i="2" s="1"/>
  <c r="J185" i="2"/>
  <c r="I185" i="2" s="1"/>
  <c r="G189" i="2"/>
  <c r="F189" i="2" s="1"/>
  <c r="M189" i="2"/>
  <c r="L189" i="2" s="1"/>
  <c r="J189" i="2"/>
  <c r="I189" i="2" s="1"/>
  <c r="M208" i="2"/>
  <c r="L208" i="2" s="1"/>
  <c r="G208" i="2"/>
  <c r="F208" i="2" s="1"/>
  <c r="J208" i="2"/>
  <c r="I208" i="2" s="1"/>
  <c r="M210" i="2"/>
  <c r="L210" i="2" s="1"/>
  <c r="G210" i="2"/>
  <c r="F210" i="2" s="1"/>
  <c r="J210" i="2"/>
  <c r="I210" i="2" s="1"/>
  <c r="J212" i="2"/>
  <c r="I212" i="2" s="1"/>
  <c r="G212" i="2"/>
  <c r="F212" i="2" s="1"/>
  <c r="M212" i="2"/>
  <c r="L212" i="2" s="1"/>
  <c r="G214" i="2"/>
  <c r="F214" i="2" s="1"/>
  <c r="J214" i="2"/>
  <c r="I214" i="2" s="1"/>
  <c r="M214" i="2"/>
  <c r="L214" i="2" s="1"/>
  <c r="M215" i="2"/>
  <c r="L215" i="2" s="1"/>
  <c r="G215" i="2"/>
  <c r="F215" i="2" s="1"/>
  <c r="J215" i="2"/>
  <c r="I215" i="2" s="1"/>
  <c r="G218" i="2"/>
  <c r="F218" i="2" s="1"/>
  <c r="J218" i="2"/>
  <c r="I218" i="2" s="1"/>
  <c r="M218" i="2"/>
  <c r="L218" i="2" s="1"/>
  <c r="G219" i="2"/>
  <c r="F219" i="2" s="1"/>
  <c r="J219" i="2"/>
  <c r="I219" i="2" s="1"/>
  <c r="M219" i="2"/>
  <c r="L219" i="2" s="1"/>
  <c r="G228" i="2"/>
  <c r="F228" i="2" s="1"/>
  <c r="J228" i="2"/>
  <c r="I228" i="2" s="1"/>
  <c r="M228" i="2"/>
  <c r="L228" i="2" s="1"/>
  <c r="J354" i="2"/>
  <c r="I354" i="2" s="1"/>
  <c r="G354" i="2"/>
  <c r="F354" i="2" s="1"/>
  <c r="M354" i="2"/>
  <c r="L354" i="2" s="1"/>
  <c r="J360" i="2"/>
  <c r="I360" i="2" s="1"/>
  <c r="M360" i="2"/>
  <c r="L360" i="2" s="1"/>
  <c r="G360" i="2"/>
  <c r="F360" i="2" s="1"/>
  <c r="M361" i="2"/>
  <c r="L361" i="2" s="1"/>
  <c r="G361" i="2"/>
  <c r="F361" i="2" s="1"/>
  <c r="J361" i="2"/>
  <c r="I361" i="2" s="1"/>
  <c r="G375" i="2"/>
  <c r="F375" i="2" s="1"/>
  <c r="J375" i="2"/>
  <c r="I375" i="2" s="1"/>
  <c r="M375" i="2"/>
  <c r="L375" i="2" s="1"/>
  <c r="M376" i="2"/>
  <c r="L376" i="2" s="1"/>
  <c r="J376" i="2"/>
  <c r="I376" i="2" s="1"/>
  <c r="G376" i="2"/>
  <c r="F376" i="2" s="1"/>
  <c r="G379" i="2"/>
  <c r="F379" i="2" s="1"/>
  <c r="M379" i="2"/>
  <c r="L379" i="2" s="1"/>
  <c r="J379" i="2"/>
  <c r="I379" i="2" s="1"/>
  <c r="G388" i="2"/>
  <c r="F388" i="2" s="1"/>
  <c r="J388" i="2"/>
  <c r="I388" i="2" s="1"/>
  <c r="M388" i="2"/>
  <c r="L388" i="2" s="1"/>
  <c r="J389" i="2"/>
  <c r="I389" i="2" s="1"/>
  <c r="G389" i="2"/>
  <c r="F389" i="2" s="1"/>
  <c r="M389" i="2"/>
  <c r="L389" i="2" s="1"/>
  <c r="M394" i="2"/>
  <c r="L394" i="2" s="1"/>
  <c r="J394" i="2"/>
  <c r="I394" i="2" s="1"/>
  <c r="G394" i="2"/>
  <c r="F394" i="2" s="1"/>
  <c r="J404" i="2"/>
  <c r="I404" i="2" s="1"/>
  <c r="G404" i="2"/>
  <c r="F404" i="2" s="1"/>
  <c r="M404" i="2"/>
  <c r="L404" i="2" s="1"/>
  <c r="J413" i="2"/>
  <c r="I413" i="2" s="1"/>
  <c r="M413" i="2"/>
  <c r="L413" i="2" s="1"/>
  <c r="G413" i="2"/>
  <c r="F413" i="2" s="1"/>
  <c r="J414" i="2"/>
  <c r="I414" i="2" s="1"/>
  <c r="G414" i="2"/>
  <c r="F414" i="2" s="1"/>
  <c r="M414" i="2"/>
  <c r="L414" i="2" s="1"/>
  <c r="M416" i="2"/>
  <c r="L416" i="2" s="1"/>
  <c r="J416" i="2"/>
  <c r="I416" i="2" s="1"/>
  <c r="G416" i="2"/>
  <c r="F416" i="2" s="1"/>
  <c r="G420" i="2"/>
  <c r="F420" i="2" s="1"/>
  <c r="J420" i="2"/>
  <c r="I420" i="2" s="1"/>
  <c r="M420" i="2"/>
  <c r="L420" i="2" s="1"/>
  <c r="M426" i="2"/>
  <c r="L426" i="2" s="1"/>
  <c r="J426" i="2"/>
  <c r="I426" i="2" s="1"/>
  <c r="G426" i="2"/>
  <c r="F426" i="2" s="1"/>
  <c r="J430" i="2"/>
  <c r="I430" i="2" s="1"/>
  <c r="G430" i="2"/>
  <c r="F430" i="2" s="1"/>
  <c r="M430" i="2"/>
  <c r="L430" i="2" s="1"/>
  <c r="J438" i="2"/>
  <c r="I438" i="2" s="1"/>
  <c r="G438" i="2"/>
  <c r="F438" i="2" s="1"/>
  <c r="M438" i="2"/>
  <c r="L438" i="2" s="1"/>
  <c r="M443" i="2"/>
  <c r="L443" i="2" s="1"/>
  <c r="G443" i="2"/>
  <c r="F443" i="2" s="1"/>
  <c r="J443" i="2"/>
  <c r="I443" i="2" s="1"/>
  <c r="M457" i="2"/>
  <c r="L457" i="2" s="1"/>
  <c r="G457" i="2"/>
  <c r="F457" i="2" s="1"/>
  <c r="J457" i="2"/>
  <c r="I457" i="2" s="1"/>
  <c r="J716" i="2"/>
  <c r="I716" i="2" s="1"/>
  <c r="G716" i="2"/>
  <c r="F716" i="2" s="1"/>
  <c r="M716" i="2"/>
  <c r="L716" i="2" s="1"/>
  <c r="M720" i="2"/>
  <c r="L720" i="2" s="1"/>
  <c r="J720" i="2"/>
  <c r="I720" i="2" s="1"/>
  <c r="G720" i="2"/>
  <c r="F720" i="2" s="1"/>
  <c r="J721" i="2"/>
  <c r="I721" i="2" s="1"/>
  <c r="M721" i="2"/>
  <c r="L721" i="2" s="1"/>
  <c r="G721" i="2"/>
  <c r="F721" i="2" s="1"/>
  <c r="J731" i="2"/>
  <c r="I731" i="2" s="1"/>
  <c r="M731" i="2"/>
  <c r="L731" i="2" s="1"/>
  <c r="G731" i="2"/>
  <c r="F731" i="2" s="1"/>
  <c r="Q746" i="2"/>
  <c r="O746" i="2"/>
  <c r="L5" i="2" l="1"/>
  <c r="L746" i="2" s="1"/>
  <c r="M746" i="2"/>
  <c r="I5" i="2"/>
  <c r="I746" i="2" s="1"/>
  <c r="J746" i="2"/>
  <c r="F5" i="2"/>
  <c r="F746" i="2" s="1"/>
  <c r="G746" i="2"/>
</calcChain>
</file>

<file path=xl/sharedStrings.xml><?xml version="1.0" encoding="utf-8"?>
<sst xmlns="http://schemas.openxmlformats.org/spreadsheetml/2006/main" count="62" uniqueCount="43">
  <si>
    <t>Oran</t>
  </si>
  <si>
    <t>Net Tüketim</t>
  </si>
  <si>
    <t>Mahsup</t>
  </si>
  <si>
    <t>Toplam Tüketim</t>
  </si>
  <si>
    <t>Toplam Veriş</t>
  </si>
  <si>
    <t>Tarih Saat</t>
  </si>
  <si>
    <t>10128583 Veriş</t>
  </si>
  <si>
    <t>10126953 Veriş</t>
  </si>
  <si>
    <t>10128583 Çekiş</t>
  </si>
  <si>
    <t>10126953 Çekiş</t>
  </si>
  <si>
    <t>9062757 Çekiş</t>
  </si>
  <si>
    <t>10128583 Mahsup</t>
  </si>
  <si>
    <t>10128583 Net</t>
  </si>
  <si>
    <t>10126953 Mahsup</t>
  </si>
  <si>
    <t>10126953 Net</t>
  </si>
  <si>
    <t>9062757 Mahsup</t>
  </si>
  <si>
    <t>9062757 Net</t>
  </si>
  <si>
    <t>31.09.2026  00:00:00</t>
  </si>
  <si>
    <t>31.09.2026  01:00:00</t>
  </si>
  <si>
    <t>31.09.2026  02:00:00</t>
  </si>
  <si>
    <t>31.09.2026  03:00:00</t>
  </si>
  <si>
    <t>31.09.2026  04:00:00</t>
  </si>
  <si>
    <t>31.09.2026  05:00:00</t>
  </si>
  <si>
    <t>31.09.2026  06:00:00</t>
  </si>
  <si>
    <t>31.09.2026  07:00:00</t>
  </si>
  <si>
    <t>31.09.2026  08:00:00</t>
  </si>
  <si>
    <t>31.09.2026  09:00:00</t>
  </si>
  <si>
    <t>31.09.2026  10:00:00</t>
  </si>
  <si>
    <t>31.09.2026  11:00:00</t>
  </si>
  <si>
    <t>31.09.2026  12:00:00</t>
  </si>
  <si>
    <t>31.09.2026  13:00:00</t>
  </si>
  <si>
    <t>31.09.2026  14:00:00</t>
  </si>
  <si>
    <t>31.09.2026  15:00:00</t>
  </si>
  <si>
    <t>31.09.2026  16:00:00</t>
  </si>
  <si>
    <t>31.09.2026  17:00:00</t>
  </si>
  <si>
    <t>31.09.2026  18:00:00</t>
  </si>
  <si>
    <t>31.09.2026  19:00:00</t>
  </si>
  <si>
    <t>31.09.2026  20:00:00</t>
  </si>
  <si>
    <t>31.09.2026  21:00:00</t>
  </si>
  <si>
    <t>31.09.2026  22:00:00</t>
  </si>
  <si>
    <t>31.09.2026  23:00:00</t>
  </si>
  <si>
    <t>Kayıp Katsayısı</t>
  </si>
  <si>
    <t xml:space="preserve">Her Saat için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</si>
</sst>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"/>
    <numFmt numFmtId="165" formatCode="dd\.mm\.yyyy\ hh:mm"/>
    <numFmt numFmtId="166" formatCode="_-* #,##0.000_-;\-* #,##0.000_-;_-* &quot;-&quot;??_-;_-@_-"/>
    <numFmt numFmtId="167" formatCode="_-* #,##0.000_-;\-* #,##0.000_-;_-* &quot;-&quot;???_-;_-@_-"/>
  </numFmts>
  <fonts count="3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3" fontId="0" fillId="0" borderId="0" xfId="1" applyFont="1"/>
    <xf numFmtId="43" fontId="0" fillId="0" borderId="0" xfId="0" applyNumberFormat="1"/>
    <xf numFmtId="43" fontId="0" fillId="2" borderId="1" xfId="1" applyFont="1" applyFill="1" applyBorder="1"/>
    <xf numFmtId="43" fontId="0" fillId="0" borderId="1" xfId="1" applyFont="1" applyBorder="1"/>
    <xf numFmtId="164" fontId="0" fillId="2" borderId="1" xfId="0" applyNumberFormat="1" applyFill="1" applyBorder="1"/>
    <xf numFmtId="164" fontId="2" fillId="0" borderId="1" xfId="1" applyNumberFormat="1" applyFont="1" applyBorder="1" applyAlignment="1">
      <alignment vertical="center"/>
    </xf>
    <xf numFmtId="165" fontId="2" fillId="0" borderId="1" xfId="1" applyNumberFormat="1" applyFont="1" applyBorder="1" applyAlignment="1">
      <alignment vertic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43" fontId="2" fillId="0" borderId="1" xfId="1" applyFont="1" applyBorder="1" applyAlignment="1">
      <alignment horizontal="left"/>
    </xf>
    <xf numFmtId="0" fontId="2" fillId="0" borderId="1" xfId="1" applyNumberFormat="1" applyFont="1" applyBorder="1" applyAlignment="1">
      <alignment horizontal="left"/>
    </xf>
    <xf numFmtId="0" fontId="0" fillId="0" borderId="0" xfId="1" applyNumberFormat="1" applyFont="1"/>
    <xf numFmtId="43" fontId="2" fillId="0" borderId="1" xfId="1" applyFont="1" applyBorder="1" applyAlignment="1">
      <alignment vertical="center"/>
    </xf>
    <xf numFmtId="166" fontId="2" fillId="0" borderId="1" xfId="1" applyNumberFormat="1" applyFont="1" applyBorder="1" applyAlignment="1">
      <alignment vertical="center"/>
    </xf>
    <xf numFmtId="166" fontId="0" fillId="2" borderId="1" xfId="1" applyNumberFormat="1" applyFont="1" applyFill="1" applyBorder="1"/>
    <xf numFmtId="166" fontId="0" fillId="0" borderId="1" xfId="1" applyNumberFormat="1" applyFont="1" applyBorder="1"/>
    <xf numFmtId="43" fontId="2" fillId="2" borderId="1" xfId="1" applyFont="1" applyFill="1" applyBorder="1" applyAlignment="1">
      <alignment horizontal="left"/>
    </xf>
    <xf numFmtId="166" fontId="2" fillId="2" borderId="1" xfId="1" applyNumberFormat="1" applyFont="1" applyFill="1" applyBorder="1" applyAlignment="1">
      <alignment vertical="center"/>
    </xf>
    <xf numFmtId="0" fontId="2" fillId="2" borderId="1" xfId="1" applyNumberFormat="1" applyFont="1" applyFill="1" applyBorder="1" applyAlignment="1">
      <alignment horizontal="left"/>
    </xf>
    <xf numFmtId="166" fontId="0" fillId="0" borderId="0" xfId="0" applyNumberFormat="1"/>
    <xf numFmtId="167" fontId="0" fillId="0" borderId="0" xfId="0" applyNumberFormat="1"/>
    <xf numFmtId="0" fontId="2" fillId="0" borderId="1" xfId="1" applyNumberFormat="1" applyFont="1" applyBorder="1" applyAlignment="1">
      <alignment vertical="center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9D82-F8FF-4C25-8964-6C360D5F3D85}">
  <dimension ref="A1:Q753"/>
  <sheetViews>
    <sheetView workbookViewId="0">
      <pane ySplit="1" topLeftCell="A698" activePane="bottomLeft" state="frozen"/>
      <selection pane="bottomLeft" activeCell="H2" sqref="H2:H721"/>
    </sheetView>
  </sheetViews>
  <sheetFormatPr defaultRowHeight="15" x14ac:dyDescent="0.25"/>
  <cols>
    <col min="1" max="1" width="17.28515625" style="1" bestFit="1" customWidth="1"/>
    <col min="2" max="2" width="17.28515625" style="1" customWidth="1"/>
    <col min="3" max="3" width="17.28515625" style="1" bestFit="1" customWidth="1"/>
    <col min="4" max="4" width="13.140625" style="1" bestFit="1" customWidth="1"/>
    <col min="5" max="5" width="18" style="1" bestFit="1" customWidth="1"/>
    <col min="6" max="6" width="20.5703125" style="1" bestFit="1" customWidth="1"/>
    <col min="7" max="7" width="16.28515625" style="1" bestFit="1" customWidth="1"/>
    <col min="8" max="8" width="18" style="1" bestFit="1" customWidth="1"/>
    <col min="9" max="9" width="20.5703125" style="1" bestFit="1" customWidth="1"/>
    <col min="10" max="10" width="18" style="1" customWidth="1"/>
    <col min="11" max="11" width="15.28515625" style="12" bestFit="1" customWidth="1"/>
    <col min="12" max="12" width="18" style="12" bestFit="1" customWidth="1"/>
    <col min="13" max="13" width="13.7109375" style="12" bestFit="1" customWidth="1"/>
    <col min="14" max="14" width="17.140625" bestFit="1" customWidth="1"/>
    <col min="15" max="17" width="17.140625" customWidth="1"/>
  </cols>
  <sheetData>
    <row r="1" spans="1:17" s="8" customFormat="1" x14ac:dyDescent="0.25">
      <c r="A1" s="10" t="s">
        <v>5</v>
      </c>
      <c r="B1" s="10" t="s">
        <v>6</v>
      </c>
      <c r="C1" s="10" t="s">
        <v>7</v>
      </c>
      <c r="D1" s="17" t="s">
        <v>4</v>
      </c>
      <c r="E1" s="10" t="s">
        <v>8</v>
      </c>
      <c r="F1" s="17" t="s">
        <v>11</v>
      </c>
      <c r="G1" s="17" t="s">
        <v>12</v>
      </c>
      <c r="H1" s="10" t="s">
        <v>9</v>
      </c>
      <c r="I1" s="17" t="s">
        <v>13</v>
      </c>
      <c r="J1" s="17" t="s">
        <v>14</v>
      </c>
      <c r="K1" s="11" t="s">
        <v>10</v>
      </c>
      <c r="L1" s="19" t="s">
        <v>15</v>
      </c>
      <c r="M1" s="19" t="s">
        <v>16</v>
      </c>
      <c r="N1" s="9" t="s">
        <v>3</v>
      </c>
      <c r="O1" s="9" t="s">
        <v>2</v>
      </c>
      <c r="P1" s="9" t="s">
        <v>1</v>
      </c>
      <c r="Q1" s="9" t="s">
        <v>0</v>
      </c>
    </row>
    <row r="2" spans="1:17" x14ac:dyDescent="0.25">
      <c r="A2" s="7">
        <v>46235</v>
      </c>
      <c r="B2" s="6">
        <v>0</v>
      </c>
      <c r="C2" s="13">
        <v>0</v>
      </c>
      <c r="D2" s="18">
        <f t="shared" ref="D2:D65" si="0">+B2+C2</f>
        <v>0</v>
      </c>
      <c r="E2" s="14">
        <v>330.75</v>
      </c>
      <c r="F2" s="18">
        <f>+E2-G2</f>
        <v>0</v>
      </c>
      <c r="G2" s="18">
        <f>+E2*Q2</f>
        <v>330.75</v>
      </c>
      <c r="H2" s="14">
        <v>98.28</v>
      </c>
      <c r="I2" s="18">
        <f>+H2-J2</f>
        <v>0</v>
      </c>
      <c r="J2" s="18">
        <f>+H2*Q2</f>
        <v>98.28</v>
      </c>
      <c r="K2" s="14">
        <v>1.92</v>
      </c>
      <c r="L2" s="18">
        <f>+K2-M2</f>
        <v>0</v>
      </c>
      <c r="M2" s="18">
        <f>+K2*Q2</f>
        <v>1.92</v>
      </c>
      <c r="N2" s="15">
        <f>+E2+H2+K2</f>
        <v>430.95</v>
      </c>
      <c r="O2" s="15">
        <f t="shared" ref="O2:O65" si="1">+N2-P2</f>
        <v>0</v>
      </c>
      <c r="P2" s="15">
        <f t="shared" ref="P2:P65" si="2">+IF(N2&gt;D2,N2-D2,0)</f>
        <v>430.95</v>
      </c>
      <c r="Q2" s="5">
        <f t="shared" ref="Q2:Q65" si="3">+IF(P2=0,P2,P2/N2)</f>
        <v>1</v>
      </c>
    </row>
    <row r="3" spans="1:17" x14ac:dyDescent="0.25">
      <c r="A3" s="7">
        <v>46235.041666666664</v>
      </c>
      <c r="B3" s="6">
        <v>0</v>
      </c>
      <c r="C3" s="13">
        <v>0</v>
      </c>
      <c r="D3" s="18">
        <f t="shared" si="0"/>
        <v>0</v>
      </c>
      <c r="E3" s="14">
        <v>103.95</v>
      </c>
      <c r="F3" s="18">
        <f t="shared" ref="F3:F66" si="4">+E3-G3</f>
        <v>0</v>
      </c>
      <c r="G3" s="18">
        <f t="shared" ref="G3:G66" si="5">+E3*Q3</f>
        <v>103.95</v>
      </c>
      <c r="H3" s="14">
        <v>86.28</v>
      </c>
      <c r="I3" s="18">
        <f t="shared" ref="I3:I66" si="6">+H3-J3</f>
        <v>0</v>
      </c>
      <c r="J3" s="18">
        <f t="shared" ref="J3:J66" si="7">+H3*Q3</f>
        <v>86.28</v>
      </c>
      <c r="K3" s="14">
        <v>11.76</v>
      </c>
      <c r="L3" s="18">
        <f t="shared" ref="L3:L66" si="8">+K3-M3</f>
        <v>0</v>
      </c>
      <c r="M3" s="18">
        <f t="shared" ref="M3:M66" si="9">+K3*Q3</f>
        <v>11.76</v>
      </c>
      <c r="N3" s="15">
        <f t="shared" ref="N3:N66" si="10">+E3+H3+K3</f>
        <v>201.99</v>
      </c>
      <c r="O3" s="15">
        <f t="shared" si="1"/>
        <v>0</v>
      </c>
      <c r="P3" s="15">
        <f t="shared" si="2"/>
        <v>201.99</v>
      </c>
      <c r="Q3" s="5">
        <f t="shared" si="3"/>
        <v>1</v>
      </c>
    </row>
    <row r="4" spans="1:17" x14ac:dyDescent="0.25">
      <c r="A4" s="7">
        <v>46235.083333333336</v>
      </c>
      <c r="B4" s="6">
        <v>0</v>
      </c>
      <c r="C4" s="13">
        <v>0</v>
      </c>
      <c r="D4" s="18">
        <f t="shared" si="0"/>
        <v>0</v>
      </c>
      <c r="E4" s="14">
        <v>296.10000000000002</v>
      </c>
      <c r="F4" s="18">
        <f t="shared" si="4"/>
        <v>0</v>
      </c>
      <c r="G4" s="18">
        <f t="shared" si="5"/>
        <v>296.10000000000002</v>
      </c>
      <c r="H4" s="14">
        <v>93.84</v>
      </c>
      <c r="I4" s="18">
        <f t="shared" si="6"/>
        <v>0</v>
      </c>
      <c r="J4" s="18">
        <f t="shared" si="7"/>
        <v>93.84</v>
      </c>
      <c r="K4" s="14">
        <v>6.48</v>
      </c>
      <c r="L4" s="18">
        <f t="shared" si="8"/>
        <v>0</v>
      </c>
      <c r="M4" s="18">
        <f t="shared" si="9"/>
        <v>6.48</v>
      </c>
      <c r="N4" s="15">
        <f t="shared" si="10"/>
        <v>396.42000000000007</v>
      </c>
      <c r="O4" s="15">
        <f t="shared" si="1"/>
        <v>0</v>
      </c>
      <c r="P4" s="15">
        <f t="shared" si="2"/>
        <v>396.42000000000007</v>
      </c>
      <c r="Q4" s="5">
        <f t="shared" si="3"/>
        <v>1</v>
      </c>
    </row>
    <row r="5" spans="1:17" x14ac:dyDescent="0.25">
      <c r="A5" s="7">
        <v>46235.125</v>
      </c>
      <c r="B5" s="6">
        <v>0</v>
      </c>
      <c r="C5" s="13">
        <v>0</v>
      </c>
      <c r="D5" s="18">
        <f t="shared" si="0"/>
        <v>0</v>
      </c>
      <c r="E5" s="14">
        <v>267.75</v>
      </c>
      <c r="F5" s="18">
        <f t="shared" si="4"/>
        <v>0</v>
      </c>
      <c r="G5" s="18">
        <f t="shared" si="5"/>
        <v>267.75</v>
      </c>
      <c r="H5" s="14">
        <v>90</v>
      </c>
      <c r="I5" s="18">
        <f t="shared" si="6"/>
        <v>0</v>
      </c>
      <c r="J5" s="18">
        <f t="shared" si="7"/>
        <v>90</v>
      </c>
      <c r="K5" s="14">
        <v>1.8</v>
      </c>
      <c r="L5" s="18">
        <f t="shared" si="8"/>
        <v>0</v>
      </c>
      <c r="M5" s="18">
        <f t="shared" si="9"/>
        <v>1.8</v>
      </c>
      <c r="N5" s="15">
        <f t="shared" si="10"/>
        <v>359.55</v>
      </c>
      <c r="O5" s="15">
        <f t="shared" si="1"/>
        <v>0</v>
      </c>
      <c r="P5" s="15">
        <f t="shared" si="2"/>
        <v>359.55</v>
      </c>
      <c r="Q5" s="5">
        <f t="shared" si="3"/>
        <v>1</v>
      </c>
    </row>
    <row r="6" spans="1:17" x14ac:dyDescent="0.25">
      <c r="A6" s="7">
        <v>46235.166666666664</v>
      </c>
      <c r="B6" s="6">
        <v>0</v>
      </c>
      <c r="C6" s="13">
        <v>0</v>
      </c>
      <c r="D6" s="18">
        <f t="shared" si="0"/>
        <v>0</v>
      </c>
      <c r="E6" s="14">
        <v>78.75</v>
      </c>
      <c r="F6" s="18">
        <f t="shared" si="4"/>
        <v>0</v>
      </c>
      <c r="G6" s="18">
        <f t="shared" si="5"/>
        <v>78.75</v>
      </c>
      <c r="H6" s="14">
        <v>83.76</v>
      </c>
      <c r="I6" s="18">
        <f t="shared" si="6"/>
        <v>0</v>
      </c>
      <c r="J6" s="18">
        <f t="shared" si="7"/>
        <v>83.76</v>
      </c>
      <c r="K6" s="14">
        <v>1.8</v>
      </c>
      <c r="L6" s="18">
        <f t="shared" si="8"/>
        <v>0</v>
      </c>
      <c r="M6" s="18">
        <f t="shared" si="9"/>
        <v>1.8</v>
      </c>
      <c r="N6" s="15">
        <f t="shared" si="10"/>
        <v>164.31</v>
      </c>
      <c r="O6" s="15">
        <f t="shared" si="1"/>
        <v>0</v>
      </c>
      <c r="P6" s="15">
        <f t="shared" si="2"/>
        <v>164.31</v>
      </c>
      <c r="Q6" s="5">
        <f t="shared" si="3"/>
        <v>1</v>
      </c>
    </row>
    <row r="7" spans="1:17" x14ac:dyDescent="0.25">
      <c r="A7" s="7">
        <v>46235.208333333336</v>
      </c>
      <c r="B7" s="6">
        <v>0</v>
      </c>
      <c r="C7" s="13">
        <v>0</v>
      </c>
      <c r="D7" s="18">
        <f t="shared" si="0"/>
        <v>0</v>
      </c>
      <c r="E7" s="14">
        <v>368.55</v>
      </c>
      <c r="F7" s="18">
        <f t="shared" si="4"/>
        <v>0</v>
      </c>
      <c r="G7" s="18">
        <f t="shared" si="5"/>
        <v>368.55</v>
      </c>
      <c r="H7" s="14">
        <v>67.319999999999993</v>
      </c>
      <c r="I7" s="18">
        <f t="shared" si="6"/>
        <v>0</v>
      </c>
      <c r="J7" s="18">
        <f t="shared" si="7"/>
        <v>67.319999999999993</v>
      </c>
      <c r="K7" s="14">
        <v>1.68</v>
      </c>
      <c r="L7" s="18">
        <f t="shared" si="8"/>
        <v>0</v>
      </c>
      <c r="M7" s="18">
        <f t="shared" si="9"/>
        <v>1.68</v>
      </c>
      <c r="N7" s="15">
        <f t="shared" si="10"/>
        <v>437.55</v>
      </c>
      <c r="O7" s="15">
        <f t="shared" si="1"/>
        <v>0</v>
      </c>
      <c r="P7" s="15">
        <f t="shared" si="2"/>
        <v>437.55</v>
      </c>
      <c r="Q7" s="5">
        <f t="shared" si="3"/>
        <v>1</v>
      </c>
    </row>
    <row r="8" spans="1:17" x14ac:dyDescent="0.25">
      <c r="A8" s="7">
        <v>46235.25</v>
      </c>
      <c r="B8" s="6">
        <v>9.4499999999999993</v>
      </c>
      <c r="C8" s="13">
        <v>0</v>
      </c>
      <c r="D8" s="18">
        <f t="shared" si="0"/>
        <v>9.4499999999999993</v>
      </c>
      <c r="E8" s="14">
        <v>88.2</v>
      </c>
      <c r="F8" s="18">
        <f t="shared" si="4"/>
        <v>6.1905080213903716</v>
      </c>
      <c r="G8" s="18">
        <f t="shared" si="5"/>
        <v>82.009491978609631</v>
      </c>
      <c r="H8" s="14">
        <v>44.16</v>
      </c>
      <c r="I8" s="18">
        <f t="shared" si="6"/>
        <v>3.0994652406417131</v>
      </c>
      <c r="J8" s="18">
        <f t="shared" si="7"/>
        <v>41.060534759358283</v>
      </c>
      <c r="K8" s="14">
        <v>2.2799999999999998</v>
      </c>
      <c r="L8" s="18">
        <f t="shared" si="8"/>
        <v>0.16002673796791456</v>
      </c>
      <c r="M8" s="18">
        <f t="shared" si="9"/>
        <v>2.1199732620320852</v>
      </c>
      <c r="N8" s="15">
        <f t="shared" si="10"/>
        <v>134.64000000000001</v>
      </c>
      <c r="O8" s="15">
        <f t="shared" si="1"/>
        <v>9.4500000000000028</v>
      </c>
      <c r="P8" s="15">
        <f t="shared" si="2"/>
        <v>125.19000000000001</v>
      </c>
      <c r="Q8" s="5">
        <f t="shared" si="3"/>
        <v>0.92981283422459893</v>
      </c>
    </row>
    <row r="9" spans="1:17" x14ac:dyDescent="0.25">
      <c r="A9" s="7">
        <v>46235.291666666664</v>
      </c>
      <c r="B9" s="6">
        <v>308.7</v>
      </c>
      <c r="C9" s="13">
        <v>0.24</v>
      </c>
      <c r="D9" s="18">
        <f t="shared" si="0"/>
        <v>308.94</v>
      </c>
      <c r="E9" s="14">
        <v>0</v>
      </c>
      <c r="F9" s="18">
        <f t="shared" si="4"/>
        <v>0</v>
      </c>
      <c r="G9" s="18">
        <f t="shared" si="5"/>
        <v>0</v>
      </c>
      <c r="H9" s="14">
        <v>17.760000000000002</v>
      </c>
      <c r="I9" s="18">
        <f t="shared" si="6"/>
        <v>17.760000000000002</v>
      </c>
      <c r="J9" s="18">
        <f t="shared" si="7"/>
        <v>0</v>
      </c>
      <c r="K9" s="14">
        <v>2.2799999999999998</v>
      </c>
      <c r="L9" s="18">
        <f t="shared" si="8"/>
        <v>2.2799999999999998</v>
      </c>
      <c r="M9" s="18">
        <f t="shared" si="9"/>
        <v>0</v>
      </c>
      <c r="N9" s="15">
        <f t="shared" si="10"/>
        <v>20.040000000000003</v>
      </c>
      <c r="O9" s="15">
        <f t="shared" si="1"/>
        <v>20.040000000000003</v>
      </c>
      <c r="P9" s="15">
        <f t="shared" si="2"/>
        <v>0</v>
      </c>
      <c r="Q9" s="5">
        <f t="shared" si="3"/>
        <v>0</v>
      </c>
    </row>
    <row r="10" spans="1:17" x14ac:dyDescent="0.25">
      <c r="A10" s="7">
        <v>46235.333333333336</v>
      </c>
      <c r="B10" s="6">
        <v>718.2</v>
      </c>
      <c r="C10" s="13">
        <v>0.48</v>
      </c>
      <c r="D10" s="18">
        <f t="shared" si="0"/>
        <v>718.68000000000006</v>
      </c>
      <c r="E10" s="14">
        <v>0</v>
      </c>
      <c r="F10" s="18">
        <f t="shared" si="4"/>
        <v>0</v>
      </c>
      <c r="G10" s="18">
        <f t="shared" si="5"/>
        <v>0</v>
      </c>
      <c r="H10" s="14">
        <v>72.36</v>
      </c>
      <c r="I10" s="18">
        <f t="shared" si="6"/>
        <v>72.36</v>
      </c>
      <c r="J10" s="18">
        <f t="shared" si="7"/>
        <v>0</v>
      </c>
      <c r="K10" s="14">
        <v>1.44</v>
      </c>
      <c r="L10" s="18">
        <f t="shared" si="8"/>
        <v>1.44</v>
      </c>
      <c r="M10" s="18">
        <f t="shared" si="9"/>
        <v>0</v>
      </c>
      <c r="N10" s="15">
        <f t="shared" si="10"/>
        <v>73.8</v>
      </c>
      <c r="O10" s="15">
        <f t="shared" si="1"/>
        <v>73.8</v>
      </c>
      <c r="P10" s="15">
        <f t="shared" si="2"/>
        <v>0</v>
      </c>
      <c r="Q10" s="5">
        <f t="shared" si="3"/>
        <v>0</v>
      </c>
    </row>
    <row r="11" spans="1:17" x14ac:dyDescent="0.25">
      <c r="A11" s="7">
        <v>46235.375</v>
      </c>
      <c r="B11" s="6">
        <v>935.55</v>
      </c>
      <c r="C11" s="13">
        <v>4.32</v>
      </c>
      <c r="D11" s="18">
        <f t="shared" si="0"/>
        <v>939.87</v>
      </c>
      <c r="E11" s="14">
        <v>0</v>
      </c>
      <c r="F11" s="18">
        <f t="shared" si="4"/>
        <v>0</v>
      </c>
      <c r="G11" s="18">
        <f t="shared" si="5"/>
        <v>0</v>
      </c>
      <c r="H11" s="14">
        <v>42.36</v>
      </c>
      <c r="I11" s="18">
        <f t="shared" si="6"/>
        <v>42.36</v>
      </c>
      <c r="J11" s="18">
        <f t="shared" si="7"/>
        <v>0</v>
      </c>
      <c r="K11" s="14">
        <v>27</v>
      </c>
      <c r="L11" s="18">
        <f t="shared" si="8"/>
        <v>27</v>
      </c>
      <c r="M11" s="18">
        <f t="shared" si="9"/>
        <v>0</v>
      </c>
      <c r="N11" s="15">
        <f t="shared" si="10"/>
        <v>69.36</v>
      </c>
      <c r="O11" s="15">
        <f t="shared" si="1"/>
        <v>69.36</v>
      </c>
      <c r="P11" s="15">
        <f t="shared" si="2"/>
        <v>0</v>
      </c>
      <c r="Q11" s="5">
        <f t="shared" si="3"/>
        <v>0</v>
      </c>
    </row>
    <row r="12" spans="1:17" x14ac:dyDescent="0.25">
      <c r="A12" s="7">
        <v>46235.416666666664</v>
      </c>
      <c r="B12" s="6">
        <v>1493.1</v>
      </c>
      <c r="C12" s="13">
        <v>11.4</v>
      </c>
      <c r="D12" s="18">
        <f t="shared" si="0"/>
        <v>1504.5</v>
      </c>
      <c r="E12" s="14">
        <v>0</v>
      </c>
      <c r="F12" s="18">
        <f t="shared" si="4"/>
        <v>0</v>
      </c>
      <c r="G12" s="18">
        <f t="shared" si="5"/>
        <v>0</v>
      </c>
      <c r="H12" s="14">
        <v>25.44</v>
      </c>
      <c r="I12" s="18">
        <f t="shared" si="6"/>
        <v>25.44</v>
      </c>
      <c r="J12" s="18">
        <f t="shared" si="7"/>
        <v>0</v>
      </c>
      <c r="K12" s="14">
        <v>20.76</v>
      </c>
      <c r="L12" s="18">
        <f t="shared" si="8"/>
        <v>20.76</v>
      </c>
      <c r="M12" s="18">
        <f t="shared" si="9"/>
        <v>0</v>
      </c>
      <c r="N12" s="15">
        <f t="shared" si="10"/>
        <v>46.2</v>
      </c>
      <c r="O12" s="15">
        <f t="shared" si="1"/>
        <v>46.2</v>
      </c>
      <c r="P12" s="15">
        <f t="shared" si="2"/>
        <v>0</v>
      </c>
      <c r="Q12" s="5">
        <f t="shared" si="3"/>
        <v>0</v>
      </c>
    </row>
    <row r="13" spans="1:17" x14ac:dyDescent="0.25">
      <c r="A13" s="7">
        <v>46235.458333333336</v>
      </c>
      <c r="B13" s="6">
        <v>1789.2</v>
      </c>
      <c r="C13" s="13">
        <v>55.56</v>
      </c>
      <c r="D13" s="18">
        <f t="shared" si="0"/>
        <v>1844.76</v>
      </c>
      <c r="E13" s="14">
        <v>0</v>
      </c>
      <c r="F13" s="18">
        <f t="shared" si="4"/>
        <v>0</v>
      </c>
      <c r="G13" s="18">
        <f t="shared" si="5"/>
        <v>0</v>
      </c>
      <c r="H13" s="14">
        <v>0.84</v>
      </c>
      <c r="I13" s="18">
        <f t="shared" si="6"/>
        <v>0.84</v>
      </c>
      <c r="J13" s="18">
        <f t="shared" si="7"/>
        <v>0</v>
      </c>
      <c r="K13" s="14">
        <v>73.8</v>
      </c>
      <c r="L13" s="18">
        <f t="shared" si="8"/>
        <v>73.8</v>
      </c>
      <c r="M13" s="18">
        <f t="shared" si="9"/>
        <v>0</v>
      </c>
      <c r="N13" s="15">
        <f t="shared" si="10"/>
        <v>74.64</v>
      </c>
      <c r="O13" s="15">
        <f t="shared" si="1"/>
        <v>74.64</v>
      </c>
      <c r="P13" s="15">
        <f t="shared" si="2"/>
        <v>0</v>
      </c>
      <c r="Q13" s="5">
        <f t="shared" si="3"/>
        <v>0</v>
      </c>
    </row>
    <row r="14" spans="1:17" x14ac:dyDescent="0.25">
      <c r="A14" s="7">
        <v>46235.5</v>
      </c>
      <c r="B14" s="6">
        <v>2164.0500000000002</v>
      </c>
      <c r="C14" s="13">
        <v>87</v>
      </c>
      <c r="D14" s="18">
        <f t="shared" si="0"/>
        <v>2251.0500000000002</v>
      </c>
      <c r="E14" s="14">
        <v>0</v>
      </c>
      <c r="F14" s="18">
        <f t="shared" si="4"/>
        <v>0</v>
      </c>
      <c r="G14" s="18">
        <f t="shared" si="5"/>
        <v>0</v>
      </c>
      <c r="H14" s="14">
        <v>0.24</v>
      </c>
      <c r="I14" s="18">
        <f t="shared" si="6"/>
        <v>0.24</v>
      </c>
      <c r="J14" s="18">
        <f t="shared" si="7"/>
        <v>0</v>
      </c>
      <c r="K14" s="14">
        <v>47.16</v>
      </c>
      <c r="L14" s="18">
        <f t="shared" si="8"/>
        <v>47.16</v>
      </c>
      <c r="M14" s="18">
        <f t="shared" si="9"/>
        <v>0</v>
      </c>
      <c r="N14" s="15">
        <f t="shared" si="10"/>
        <v>47.4</v>
      </c>
      <c r="O14" s="15">
        <f t="shared" si="1"/>
        <v>47.4</v>
      </c>
      <c r="P14" s="15">
        <f t="shared" si="2"/>
        <v>0</v>
      </c>
      <c r="Q14" s="5">
        <f t="shared" si="3"/>
        <v>0</v>
      </c>
    </row>
    <row r="15" spans="1:17" x14ac:dyDescent="0.25">
      <c r="A15" s="7">
        <v>46235.541666666664</v>
      </c>
      <c r="B15" s="6">
        <v>2611.35</v>
      </c>
      <c r="C15" s="13">
        <v>71.16</v>
      </c>
      <c r="D15" s="18">
        <f t="shared" si="0"/>
        <v>2682.5099999999998</v>
      </c>
      <c r="E15" s="14">
        <v>0</v>
      </c>
      <c r="F15" s="18">
        <f t="shared" si="4"/>
        <v>0</v>
      </c>
      <c r="G15" s="18">
        <f t="shared" si="5"/>
        <v>0</v>
      </c>
      <c r="H15" s="14">
        <v>1.32</v>
      </c>
      <c r="I15" s="18">
        <f t="shared" si="6"/>
        <v>1.32</v>
      </c>
      <c r="J15" s="18">
        <f t="shared" si="7"/>
        <v>0</v>
      </c>
      <c r="K15" s="14">
        <v>37.799999999999997</v>
      </c>
      <c r="L15" s="18">
        <f t="shared" si="8"/>
        <v>37.799999999999997</v>
      </c>
      <c r="M15" s="18">
        <f t="shared" si="9"/>
        <v>0</v>
      </c>
      <c r="N15" s="15">
        <f t="shared" si="10"/>
        <v>39.119999999999997</v>
      </c>
      <c r="O15" s="15">
        <f t="shared" si="1"/>
        <v>39.119999999999997</v>
      </c>
      <c r="P15" s="15">
        <f t="shared" si="2"/>
        <v>0</v>
      </c>
      <c r="Q15" s="5">
        <f t="shared" si="3"/>
        <v>0</v>
      </c>
    </row>
    <row r="16" spans="1:17" x14ac:dyDescent="0.25">
      <c r="A16" s="7">
        <v>46235.583333333336</v>
      </c>
      <c r="B16" s="6">
        <v>1764</v>
      </c>
      <c r="C16" s="13">
        <v>63.72</v>
      </c>
      <c r="D16" s="18">
        <f t="shared" si="0"/>
        <v>1827.72</v>
      </c>
      <c r="E16" s="14">
        <v>0</v>
      </c>
      <c r="F16" s="18">
        <f t="shared" si="4"/>
        <v>0</v>
      </c>
      <c r="G16" s="18">
        <f t="shared" si="5"/>
        <v>0</v>
      </c>
      <c r="H16" s="14">
        <v>6.72</v>
      </c>
      <c r="I16" s="18">
        <f t="shared" si="6"/>
        <v>6.72</v>
      </c>
      <c r="J16" s="18">
        <f t="shared" si="7"/>
        <v>0</v>
      </c>
      <c r="K16" s="14">
        <v>56.52</v>
      </c>
      <c r="L16" s="18">
        <f t="shared" si="8"/>
        <v>56.52</v>
      </c>
      <c r="M16" s="18">
        <f t="shared" si="9"/>
        <v>0</v>
      </c>
      <c r="N16" s="15">
        <f t="shared" si="10"/>
        <v>63.24</v>
      </c>
      <c r="O16" s="15">
        <f t="shared" si="1"/>
        <v>63.24</v>
      </c>
      <c r="P16" s="15">
        <f t="shared" si="2"/>
        <v>0</v>
      </c>
      <c r="Q16" s="5">
        <f t="shared" si="3"/>
        <v>0</v>
      </c>
    </row>
    <row r="17" spans="1:17" x14ac:dyDescent="0.25">
      <c r="A17" s="7">
        <v>46235.625</v>
      </c>
      <c r="B17" s="6">
        <v>1723.05</v>
      </c>
      <c r="C17" s="13">
        <v>15.48</v>
      </c>
      <c r="D17" s="18">
        <f t="shared" si="0"/>
        <v>1738.53</v>
      </c>
      <c r="E17" s="14">
        <v>0</v>
      </c>
      <c r="F17" s="18">
        <f t="shared" si="4"/>
        <v>0</v>
      </c>
      <c r="G17" s="18">
        <f t="shared" si="5"/>
        <v>0</v>
      </c>
      <c r="H17" s="14">
        <v>17.16</v>
      </c>
      <c r="I17" s="18">
        <f t="shared" si="6"/>
        <v>17.16</v>
      </c>
      <c r="J17" s="18">
        <f t="shared" si="7"/>
        <v>0</v>
      </c>
      <c r="K17" s="14">
        <v>47.52</v>
      </c>
      <c r="L17" s="18">
        <f t="shared" si="8"/>
        <v>47.52</v>
      </c>
      <c r="M17" s="18">
        <f t="shared" si="9"/>
        <v>0</v>
      </c>
      <c r="N17" s="15">
        <f t="shared" si="10"/>
        <v>64.680000000000007</v>
      </c>
      <c r="O17" s="15">
        <f t="shared" si="1"/>
        <v>64.680000000000007</v>
      </c>
      <c r="P17" s="15">
        <f t="shared" si="2"/>
        <v>0</v>
      </c>
      <c r="Q17" s="5">
        <f t="shared" si="3"/>
        <v>0</v>
      </c>
    </row>
    <row r="18" spans="1:17" x14ac:dyDescent="0.25">
      <c r="A18" s="7">
        <v>46235.666666666664</v>
      </c>
      <c r="B18" s="6">
        <v>730.8</v>
      </c>
      <c r="C18" s="13">
        <v>5.52</v>
      </c>
      <c r="D18" s="18">
        <f t="shared" si="0"/>
        <v>736.31999999999994</v>
      </c>
      <c r="E18" s="14">
        <v>6.3</v>
      </c>
      <c r="F18" s="18">
        <f t="shared" si="4"/>
        <v>6.3</v>
      </c>
      <c r="G18" s="18">
        <f t="shared" si="5"/>
        <v>0</v>
      </c>
      <c r="H18" s="14">
        <v>46.8</v>
      </c>
      <c r="I18" s="18">
        <f t="shared" si="6"/>
        <v>46.8</v>
      </c>
      <c r="J18" s="18">
        <f t="shared" si="7"/>
        <v>0</v>
      </c>
      <c r="K18" s="14">
        <v>64.56</v>
      </c>
      <c r="L18" s="18">
        <f t="shared" si="8"/>
        <v>64.56</v>
      </c>
      <c r="M18" s="18">
        <f t="shared" si="9"/>
        <v>0</v>
      </c>
      <c r="N18" s="15">
        <f t="shared" si="10"/>
        <v>117.66</v>
      </c>
      <c r="O18" s="15">
        <f t="shared" si="1"/>
        <v>117.66</v>
      </c>
      <c r="P18" s="15">
        <f t="shared" si="2"/>
        <v>0</v>
      </c>
      <c r="Q18" s="5">
        <f t="shared" si="3"/>
        <v>0</v>
      </c>
    </row>
    <row r="19" spans="1:17" x14ac:dyDescent="0.25">
      <c r="A19" s="7">
        <v>46235.708333333336</v>
      </c>
      <c r="B19" s="6">
        <v>154.35</v>
      </c>
      <c r="C19" s="13">
        <v>0</v>
      </c>
      <c r="D19" s="18">
        <f t="shared" si="0"/>
        <v>154.35</v>
      </c>
      <c r="E19" s="14">
        <v>81.900000000000006</v>
      </c>
      <c r="F19" s="18">
        <f t="shared" si="4"/>
        <v>75.705264103485447</v>
      </c>
      <c r="G19" s="18">
        <f t="shared" si="5"/>
        <v>6.1947358965145645</v>
      </c>
      <c r="H19" s="14">
        <v>43.08</v>
      </c>
      <c r="I19" s="18">
        <f t="shared" si="6"/>
        <v>39.821523535752775</v>
      </c>
      <c r="J19" s="18">
        <f t="shared" si="7"/>
        <v>3.258476464247221</v>
      </c>
      <c r="K19" s="14">
        <v>42</v>
      </c>
      <c r="L19" s="18">
        <f t="shared" si="8"/>
        <v>38.823212360761765</v>
      </c>
      <c r="M19" s="18">
        <f t="shared" si="9"/>
        <v>3.1767876392382379</v>
      </c>
      <c r="N19" s="15">
        <f t="shared" si="10"/>
        <v>166.98000000000002</v>
      </c>
      <c r="O19" s="15">
        <f t="shared" si="1"/>
        <v>154.35</v>
      </c>
      <c r="P19" s="15">
        <f t="shared" si="2"/>
        <v>12.630000000000024</v>
      </c>
      <c r="Q19" s="5">
        <f t="shared" si="3"/>
        <v>7.5637800934243757E-2</v>
      </c>
    </row>
    <row r="20" spans="1:17" x14ac:dyDescent="0.25">
      <c r="A20" s="7">
        <v>46235.75</v>
      </c>
      <c r="B20" s="6">
        <v>157.5</v>
      </c>
      <c r="C20" s="13">
        <v>0</v>
      </c>
      <c r="D20" s="18">
        <f t="shared" si="0"/>
        <v>157.5</v>
      </c>
      <c r="E20" s="14">
        <v>59.85</v>
      </c>
      <c r="F20" s="18">
        <f t="shared" si="4"/>
        <v>57.181528662420384</v>
      </c>
      <c r="G20" s="18">
        <f t="shared" si="5"/>
        <v>2.6684713375796161</v>
      </c>
      <c r="H20" s="14">
        <v>59.16</v>
      </c>
      <c r="I20" s="18">
        <f t="shared" si="6"/>
        <v>56.522292993630572</v>
      </c>
      <c r="J20" s="18">
        <f t="shared" si="7"/>
        <v>2.6377070063694248</v>
      </c>
      <c r="K20" s="14">
        <v>45.84</v>
      </c>
      <c r="L20" s="18">
        <f t="shared" si="8"/>
        <v>43.796178343949052</v>
      </c>
      <c r="M20" s="18">
        <f t="shared" si="9"/>
        <v>2.0438216560509543</v>
      </c>
      <c r="N20" s="15">
        <f t="shared" si="10"/>
        <v>164.85</v>
      </c>
      <c r="O20" s="15">
        <f t="shared" si="1"/>
        <v>157.5</v>
      </c>
      <c r="P20" s="15">
        <f t="shared" si="2"/>
        <v>7.3499999999999943</v>
      </c>
      <c r="Q20" s="5">
        <f t="shared" si="3"/>
        <v>4.4585987261146466E-2</v>
      </c>
    </row>
    <row r="21" spans="1:17" x14ac:dyDescent="0.25">
      <c r="A21" s="7">
        <v>46235.791666666664</v>
      </c>
      <c r="B21" s="6">
        <v>3.15</v>
      </c>
      <c r="C21" s="13">
        <v>0</v>
      </c>
      <c r="D21" s="18">
        <f t="shared" si="0"/>
        <v>3.15</v>
      </c>
      <c r="E21" s="14">
        <v>50.4</v>
      </c>
      <c r="F21" s="18">
        <f t="shared" si="4"/>
        <v>0.82842830306825732</v>
      </c>
      <c r="G21" s="18">
        <f t="shared" si="5"/>
        <v>49.571571696931741</v>
      </c>
      <c r="H21" s="14">
        <v>73.92</v>
      </c>
      <c r="I21" s="18">
        <f t="shared" si="6"/>
        <v>1.215028177833446</v>
      </c>
      <c r="J21" s="18">
        <f t="shared" si="7"/>
        <v>72.704971822166556</v>
      </c>
      <c r="K21" s="14">
        <v>67.319999999999993</v>
      </c>
      <c r="L21" s="18">
        <f t="shared" si="8"/>
        <v>1.1065435190983095</v>
      </c>
      <c r="M21" s="18">
        <f t="shared" si="9"/>
        <v>66.213456480901684</v>
      </c>
      <c r="N21" s="15">
        <f t="shared" si="10"/>
        <v>191.64</v>
      </c>
      <c r="O21" s="15">
        <f t="shared" si="1"/>
        <v>3.1500000000000057</v>
      </c>
      <c r="P21" s="15">
        <f t="shared" si="2"/>
        <v>188.48999999999998</v>
      </c>
      <c r="Q21" s="5">
        <f t="shared" si="3"/>
        <v>0.98356293049467747</v>
      </c>
    </row>
    <row r="22" spans="1:17" x14ac:dyDescent="0.25">
      <c r="A22" s="7">
        <v>46235.833333333336</v>
      </c>
      <c r="B22" s="6">
        <v>0</v>
      </c>
      <c r="C22" s="13">
        <v>0</v>
      </c>
      <c r="D22" s="18">
        <f t="shared" si="0"/>
        <v>0</v>
      </c>
      <c r="E22" s="14">
        <v>696.15</v>
      </c>
      <c r="F22" s="18">
        <f t="shared" si="4"/>
        <v>0</v>
      </c>
      <c r="G22" s="18">
        <f t="shared" si="5"/>
        <v>696.15</v>
      </c>
      <c r="H22" s="14">
        <v>108.12</v>
      </c>
      <c r="I22" s="18">
        <f t="shared" si="6"/>
        <v>0</v>
      </c>
      <c r="J22" s="18">
        <f t="shared" si="7"/>
        <v>108.12</v>
      </c>
      <c r="K22" s="14">
        <v>48.48</v>
      </c>
      <c r="L22" s="18">
        <f t="shared" si="8"/>
        <v>0</v>
      </c>
      <c r="M22" s="18">
        <f t="shared" si="9"/>
        <v>48.48</v>
      </c>
      <c r="N22" s="15">
        <f t="shared" si="10"/>
        <v>852.75</v>
      </c>
      <c r="O22" s="15">
        <f t="shared" si="1"/>
        <v>0</v>
      </c>
      <c r="P22" s="15">
        <f t="shared" si="2"/>
        <v>852.75</v>
      </c>
      <c r="Q22" s="5">
        <f t="shared" si="3"/>
        <v>1</v>
      </c>
    </row>
    <row r="23" spans="1:17" x14ac:dyDescent="0.25">
      <c r="A23" s="7">
        <v>46235.875</v>
      </c>
      <c r="B23" s="6">
        <v>0</v>
      </c>
      <c r="C23" s="13">
        <v>0</v>
      </c>
      <c r="D23" s="18">
        <f t="shared" si="0"/>
        <v>0</v>
      </c>
      <c r="E23" s="14">
        <v>973.35</v>
      </c>
      <c r="F23" s="18">
        <f t="shared" si="4"/>
        <v>0</v>
      </c>
      <c r="G23" s="18">
        <f t="shared" si="5"/>
        <v>973.35</v>
      </c>
      <c r="H23" s="14">
        <v>106.68</v>
      </c>
      <c r="I23" s="18">
        <f t="shared" si="6"/>
        <v>0</v>
      </c>
      <c r="J23" s="18">
        <f t="shared" si="7"/>
        <v>106.68</v>
      </c>
      <c r="K23" s="14">
        <v>20.28</v>
      </c>
      <c r="L23" s="18">
        <f t="shared" si="8"/>
        <v>0</v>
      </c>
      <c r="M23" s="18">
        <f t="shared" si="9"/>
        <v>20.28</v>
      </c>
      <c r="N23" s="15">
        <f t="shared" si="10"/>
        <v>1100.31</v>
      </c>
      <c r="O23" s="15">
        <f t="shared" si="1"/>
        <v>0</v>
      </c>
      <c r="P23" s="15">
        <f t="shared" si="2"/>
        <v>1100.31</v>
      </c>
      <c r="Q23" s="5">
        <f t="shared" si="3"/>
        <v>1</v>
      </c>
    </row>
    <row r="24" spans="1:17" x14ac:dyDescent="0.25">
      <c r="A24" s="7">
        <v>46235.916666666664</v>
      </c>
      <c r="B24" s="6">
        <v>0</v>
      </c>
      <c r="C24" s="13">
        <v>0</v>
      </c>
      <c r="D24" s="18">
        <f t="shared" si="0"/>
        <v>0</v>
      </c>
      <c r="E24" s="14">
        <v>1067.8499999999999</v>
      </c>
      <c r="F24" s="18">
        <f t="shared" si="4"/>
        <v>0</v>
      </c>
      <c r="G24" s="18">
        <f t="shared" si="5"/>
        <v>1067.8499999999999</v>
      </c>
      <c r="H24" s="14">
        <v>110.64</v>
      </c>
      <c r="I24" s="18">
        <f t="shared" si="6"/>
        <v>0</v>
      </c>
      <c r="J24" s="18">
        <f t="shared" si="7"/>
        <v>110.64</v>
      </c>
      <c r="K24" s="14">
        <v>27.84</v>
      </c>
      <c r="L24" s="18">
        <f t="shared" si="8"/>
        <v>0</v>
      </c>
      <c r="M24" s="18">
        <f t="shared" si="9"/>
        <v>27.84</v>
      </c>
      <c r="N24" s="15">
        <f t="shared" si="10"/>
        <v>1206.33</v>
      </c>
      <c r="O24" s="15">
        <f t="shared" si="1"/>
        <v>0</v>
      </c>
      <c r="P24" s="15">
        <f t="shared" si="2"/>
        <v>1206.33</v>
      </c>
      <c r="Q24" s="5">
        <f t="shared" si="3"/>
        <v>1</v>
      </c>
    </row>
    <row r="25" spans="1:17" x14ac:dyDescent="0.25">
      <c r="A25" s="7">
        <v>46235.958333333336</v>
      </c>
      <c r="B25" s="6">
        <v>0</v>
      </c>
      <c r="C25" s="13">
        <v>0</v>
      </c>
      <c r="D25" s="18">
        <f t="shared" si="0"/>
        <v>0</v>
      </c>
      <c r="E25" s="14">
        <v>847.35</v>
      </c>
      <c r="F25" s="18">
        <f t="shared" si="4"/>
        <v>0</v>
      </c>
      <c r="G25" s="18">
        <f t="shared" si="5"/>
        <v>847.35</v>
      </c>
      <c r="H25" s="14">
        <v>94.68</v>
      </c>
      <c r="I25" s="18">
        <f t="shared" si="6"/>
        <v>0</v>
      </c>
      <c r="J25" s="18">
        <f t="shared" si="7"/>
        <v>94.68</v>
      </c>
      <c r="K25" s="14">
        <v>7.68</v>
      </c>
      <c r="L25" s="18">
        <f t="shared" si="8"/>
        <v>0</v>
      </c>
      <c r="M25" s="18">
        <f t="shared" si="9"/>
        <v>7.68</v>
      </c>
      <c r="N25" s="15">
        <f t="shared" si="10"/>
        <v>949.70999999999992</v>
      </c>
      <c r="O25" s="15">
        <f t="shared" si="1"/>
        <v>0</v>
      </c>
      <c r="P25" s="15">
        <f t="shared" si="2"/>
        <v>949.70999999999992</v>
      </c>
      <c r="Q25" s="5">
        <f t="shared" si="3"/>
        <v>1</v>
      </c>
    </row>
    <row r="26" spans="1:17" x14ac:dyDescent="0.25">
      <c r="A26" s="7">
        <v>46236</v>
      </c>
      <c r="B26" s="6">
        <v>0</v>
      </c>
      <c r="C26" s="13">
        <v>0</v>
      </c>
      <c r="D26" s="18">
        <f t="shared" si="0"/>
        <v>0</v>
      </c>
      <c r="E26" s="14">
        <v>557.54999999999995</v>
      </c>
      <c r="F26" s="18">
        <f t="shared" si="4"/>
        <v>0</v>
      </c>
      <c r="G26" s="18">
        <f t="shared" si="5"/>
        <v>557.54999999999995</v>
      </c>
      <c r="H26" s="14">
        <v>106.8</v>
      </c>
      <c r="I26" s="18">
        <f t="shared" si="6"/>
        <v>0</v>
      </c>
      <c r="J26" s="18">
        <f t="shared" si="7"/>
        <v>106.8</v>
      </c>
      <c r="K26" s="14">
        <v>1.92</v>
      </c>
      <c r="L26" s="18">
        <f t="shared" si="8"/>
        <v>0</v>
      </c>
      <c r="M26" s="18">
        <f t="shared" si="9"/>
        <v>1.92</v>
      </c>
      <c r="N26" s="15">
        <f t="shared" si="10"/>
        <v>666.26999999999987</v>
      </c>
      <c r="O26" s="15">
        <f t="shared" si="1"/>
        <v>0</v>
      </c>
      <c r="P26" s="15">
        <f t="shared" si="2"/>
        <v>666.26999999999987</v>
      </c>
      <c r="Q26" s="5">
        <f t="shared" si="3"/>
        <v>1</v>
      </c>
    </row>
    <row r="27" spans="1:17" x14ac:dyDescent="0.25">
      <c r="A27" s="7">
        <v>46236.041666666664</v>
      </c>
      <c r="B27" s="6">
        <v>0</v>
      </c>
      <c r="C27" s="13">
        <v>0</v>
      </c>
      <c r="D27" s="18">
        <f t="shared" si="0"/>
        <v>0</v>
      </c>
      <c r="E27" s="14">
        <v>220.5</v>
      </c>
      <c r="F27" s="18">
        <f t="shared" si="4"/>
        <v>0</v>
      </c>
      <c r="G27" s="18">
        <f t="shared" si="5"/>
        <v>220.5</v>
      </c>
      <c r="H27" s="14">
        <v>100.32</v>
      </c>
      <c r="I27" s="18">
        <f t="shared" si="6"/>
        <v>0</v>
      </c>
      <c r="J27" s="18">
        <f t="shared" si="7"/>
        <v>100.32</v>
      </c>
      <c r="K27" s="14">
        <v>1.68</v>
      </c>
      <c r="L27" s="18">
        <f t="shared" si="8"/>
        <v>0</v>
      </c>
      <c r="M27" s="18">
        <f t="shared" si="9"/>
        <v>1.68</v>
      </c>
      <c r="N27" s="15">
        <f t="shared" si="10"/>
        <v>322.5</v>
      </c>
      <c r="O27" s="15">
        <f t="shared" si="1"/>
        <v>0</v>
      </c>
      <c r="P27" s="15">
        <f t="shared" si="2"/>
        <v>322.5</v>
      </c>
      <c r="Q27" s="5">
        <f t="shared" si="3"/>
        <v>1</v>
      </c>
    </row>
    <row r="28" spans="1:17" x14ac:dyDescent="0.25">
      <c r="A28" s="7">
        <v>46236.083333333336</v>
      </c>
      <c r="B28" s="6">
        <v>0</v>
      </c>
      <c r="C28" s="13">
        <v>0</v>
      </c>
      <c r="D28" s="18">
        <f t="shared" si="0"/>
        <v>0</v>
      </c>
      <c r="E28" s="14">
        <v>856.8</v>
      </c>
      <c r="F28" s="18">
        <f t="shared" si="4"/>
        <v>0</v>
      </c>
      <c r="G28" s="18">
        <f t="shared" si="5"/>
        <v>856.8</v>
      </c>
      <c r="H28" s="14">
        <v>115.8</v>
      </c>
      <c r="I28" s="18">
        <f t="shared" si="6"/>
        <v>0</v>
      </c>
      <c r="J28" s="18">
        <f t="shared" si="7"/>
        <v>115.8</v>
      </c>
      <c r="K28" s="14">
        <v>1.8</v>
      </c>
      <c r="L28" s="18">
        <f t="shared" si="8"/>
        <v>0</v>
      </c>
      <c r="M28" s="18">
        <f t="shared" si="9"/>
        <v>1.8</v>
      </c>
      <c r="N28" s="15">
        <f t="shared" si="10"/>
        <v>974.39999999999986</v>
      </c>
      <c r="O28" s="15">
        <f t="shared" si="1"/>
        <v>0</v>
      </c>
      <c r="P28" s="15">
        <f t="shared" si="2"/>
        <v>974.39999999999986</v>
      </c>
      <c r="Q28" s="5">
        <f t="shared" si="3"/>
        <v>1</v>
      </c>
    </row>
    <row r="29" spans="1:17" x14ac:dyDescent="0.25">
      <c r="A29" s="7">
        <v>46236.125</v>
      </c>
      <c r="B29" s="6">
        <v>0</v>
      </c>
      <c r="C29" s="13">
        <v>0</v>
      </c>
      <c r="D29" s="18">
        <f t="shared" si="0"/>
        <v>0</v>
      </c>
      <c r="E29" s="14">
        <v>963.9</v>
      </c>
      <c r="F29" s="18">
        <f t="shared" si="4"/>
        <v>0</v>
      </c>
      <c r="G29" s="18">
        <f t="shared" si="5"/>
        <v>963.9</v>
      </c>
      <c r="H29" s="14">
        <v>102.36</v>
      </c>
      <c r="I29" s="18">
        <f t="shared" si="6"/>
        <v>0</v>
      </c>
      <c r="J29" s="18">
        <f t="shared" si="7"/>
        <v>102.36</v>
      </c>
      <c r="K29" s="14">
        <v>1.68</v>
      </c>
      <c r="L29" s="18">
        <f t="shared" si="8"/>
        <v>0</v>
      </c>
      <c r="M29" s="18">
        <f t="shared" si="9"/>
        <v>1.68</v>
      </c>
      <c r="N29" s="15">
        <f t="shared" si="10"/>
        <v>1067.94</v>
      </c>
      <c r="O29" s="15">
        <f t="shared" si="1"/>
        <v>0</v>
      </c>
      <c r="P29" s="15">
        <f t="shared" si="2"/>
        <v>1067.94</v>
      </c>
      <c r="Q29" s="5">
        <f t="shared" si="3"/>
        <v>1</v>
      </c>
    </row>
    <row r="30" spans="1:17" x14ac:dyDescent="0.25">
      <c r="A30" s="7">
        <v>46236.166666666664</v>
      </c>
      <c r="B30" s="6">
        <v>0</v>
      </c>
      <c r="C30" s="13">
        <v>0</v>
      </c>
      <c r="D30" s="18">
        <f t="shared" si="0"/>
        <v>0</v>
      </c>
      <c r="E30" s="14">
        <v>1074.1500000000001</v>
      </c>
      <c r="F30" s="18">
        <f t="shared" si="4"/>
        <v>0</v>
      </c>
      <c r="G30" s="18">
        <f t="shared" si="5"/>
        <v>1074.1500000000001</v>
      </c>
      <c r="H30" s="14">
        <v>80.040000000000006</v>
      </c>
      <c r="I30" s="18">
        <f t="shared" si="6"/>
        <v>0</v>
      </c>
      <c r="J30" s="18">
        <f t="shared" si="7"/>
        <v>80.040000000000006</v>
      </c>
      <c r="K30" s="14">
        <v>12.36</v>
      </c>
      <c r="L30" s="18">
        <f t="shared" si="8"/>
        <v>0</v>
      </c>
      <c r="M30" s="18">
        <f t="shared" si="9"/>
        <v>12.36</v>
      </c>
      <c r="N30" s="15">
        <f t="shared" si="10"/>
        <v>1166.55</v>
      </c>
      <c r="O30" s="15">
        <f t="shared" si="1"/>
        <v>0</v>
      </c>
      <c r="P30" s="15">
        <f t="shared" si="2"/>
        <v>1166.55</v>
      </c>
      <c r="Q30" s="5">
        <f t="shared" si="3"/>
        <v>1</v>
      </c>
    </row>
    <row r="31" spans="1:17" x14ac:dyDescent="0.25">
      <c r="A31" s="7">
        <v>46236.208333333336</v>
      </c>
      <c r="B31" s="6">
        <v>0</v>
      </c>
      <c r="C31" s="13">
        <v>0</v>
      </c>
      <c r="D31" s="18">
        <f t="shared" si="0"/>
        <v>0</v>
      </c>
      <c r="E31" s="14">
        <v>683.55</v>
      </c>
      <c r="F31" s="18">
        <f t="shared" si="4"/>
        <v>0</v>
      </c>
      <c r="G31" s="18">
        <f t="shared" si="5"/>
        <v>683.55</v>
      </c>
      <c r="H31" s="14">
        <v>56.28</v>
      </c>
      <c r="I31" s="18">
        <f t="shared" si="6"/>
        <v>0</v>
      </c>
      <c r="J31" s="18">
        <f t="shared" si="7"/>
        <v>56.28</v>
      </c>
      <c r="K31" s="14">
        <v>5.16</v>
      </c>
      <c r="L31" s="18">
        <f t="shared" si="8"/>
        <v>0</v>
      </c>
      <c r="M31" s="18">
        <f t="shared" si="9"/>
        <v>5.16</v>
      </c>
      <c r="N31" s="15">
        <f t="shared" si="10"/>
        <v>744.9899999999999</v>
      </c>
      <c r="O31" s="15">
        <f t="shared" si="1"/>
        <v>0</v>
      </c>
      <c r="P31" s="15">
        <f t="shared" si="2"/>
        <v>744.9899999999999</v>
      </c>
      <c r="Q31" s="5">
        <f t="shared" si="3"/>
        <v>1</v>
      </c>
    </row>
    <row r="32" spans="1:17" x14ac:dyDescent="0.25">
      <c r="A32" s="7">
        <v>46236.25</v>
      </c>
      <c r="B32" s="6">
        <v>6.3</v>
      </c>
      <c r="C32" s="13">
        <v>0</v>
      </c>
      <c r="D32" s="18">
        <f t="shared" si="0"/>
        <v>6.3</v>
      </c>
      <c r="E32" s="14">
        <v>204.75</v>
      </c>
      <c r="F32" s="18">
        <f t="shared" si="4"/>
        <v>5.0555555555555429</v>
      </c>
      <c r="G32" s="18">
        <f t="shared" si="5"/>
        <v>199.69444444444446</v>
      </c>
      <c r="H32" s="14">
        <v>47.64</v>
      </c>
      <c r="I32" s="18">
        <f t="shared" si="6"/>
        <v>1.1762962962962931</v>
      </c>
      <c r="J32" s="18">
        <f t="shared" si="7"/>
        <v>46.463703703703708</v>
      </c>
      <c r="K32" s="14">
        <v>2.76</v>
      </c>
      <c r="L32" s="18">
        <f t="shared" si="8"/>
        <v>6.8148148148148291E-2</v>
      </c>
      <c r="M32" s="18">
        <f t="shared" si="9"/>
        <v>2.6918518518518515</v>
      </c>
      <c r="N32" s="15">
        <f t="shared" si="10"/>
        <v>255.14999999999998</v>
      </c>
      <c r="O32" s="15">
        <f t="shared" si="1"/>
        <v>6.3000000000000114</v>
      </c>
      <c r="P32" s="15">
        <f t="shared" si="2"/>
        <v>248.84999999999997</v>
      </c>
      <c r="Q32" s="5">
        <f t="shared" si="3"/>
        <v>0.97530864197530864</v>
      </c>
    </row>
    <row r="33" spans="1:17" x14ac:dyDescent="0.25">
      <c r="A33" s="7">
        <v>46236.291666666664</v>
      </c>
      <c r="B33" s="6">
        <v>330.75</v>
      </c>
      <c r="C33" s="13">
        <v>0.6</v>
      </c>
      <c r="D33" s="18">
        <f t="shared" si="0"/>
        <v>331.35</v>
      </c>
      <c r="E33" s="14">
        <v>0</v>
      </c>
      <c r="F33" s="18">
        <f t="shared" si="4"/>
        <v>0</v>
      </c>
      <c r="G33" s="18">
        <f t="shared" si="5"/>
        <v>0</v>
      </c>
      <c r="H33" s="14">
        <v>14.64</v>
      </c>
      <c r="I33" s="18">
        <f t="shared" si="6"/>
        <v>14.64</v>
      </c>
      <c r="J33" s="18">
        <f t="shared" si="7"/>
        <v>0</v>
      </c>
      <c r="K33" s="14">
        <v>1.92</v>
      </c>
      <c r="L33" s="18">
        <f t="shared" si="8"/>
        <v>1.92</v>
      </c>
      <c r="M33" s="18">
        <f t="shared" si="9"/>
        <v>0</v>
      </c>
      <c r="N33" s="15">
        <f t="shared" si="10"/>
        <v>16.560000000000002</v>
      </c>
      <c r="O33" s="15">
        <f t="shared" si="1"/>
        <v>16.560000000000002</v>
      </c>
      <c r="P33" s="15">
        <f t="shared" si="2"/>
        <v>0</v>
      </c>
      <c r="Q33" s="5">
        <f t="shared" si="3"/>
        <v>0</v>
      </c>
    </row>
    <row r="34" spans="1:17" x14ac:dyDescent="0.25">
      <c r="A34" s="7">
        <v>46236.333333333336</v>
      </c>
      <c r="B34" s="6">
        <v>680.4</v>
      </c>
      <c r="C34" s="13">
        <v>0</v>
      </c>
      <c r="D34" s="18">
        <f t="shared" si="0"/>
        <v>680.4</v>
      </c>
      <c r="E34" s="14">
        <v>0</v>
      </c>
      <c r="F34" s="18">
        <f t="shared" si="4"/>
        <v>0</v>
      </c>
      <c r="G34" s="18">
        <f t="shared" si="5"/>
        <v>0</v>
      </c>
      <c r="H34" s="14">
        <v>85.2</v>
      </c>
      <c r="I34" s="18">
        <f t="shared" si="6"/>
        <v>85.2</v>
      </c>
      <c r="J34" s="18">
        <f t="shared" si="7"/>
        <v>0</v>
      </c>
      <c r="K34" s="14">
        <v>1.32</v>
      </c>
      <c r="L34" s="18">
        <f t="shared" si="8"/>
        <v>1.32</v>
      </c>
      <c r="M34" s="18">
        <f t="shared" si="9"/>
        <v>0</v>
      </c>
      <c r="N34" s="15">
        <f t="shared" si="10"/>
        <v>86.52</v>
      </c>
      <c r="O34" s="15">
        <f t="shared" si="1"/>
        <v>86.52</v>
      </c>
      <c r="P34" s="15">
        <f t="shared" si="2"/>
        <v>0</v>
      </c>
      <c r="Q34" s="5">
        <f t="shared" si="3"/>
        <v>0</v>
      </c>
    </row>
    <row r="35" spans="1:17" x14ac:dyDescent="0.25">
      <c r="A35" s="7">
        <v>46236.375</v>
      </c>
      <c r="B35" s="6">
        <v>919.8</v>
      </c>
      <c r="C35" s="13">
        <v>0.96</v>
      </c>
      <c r="D35" s="18">
        <f t="shared" si="0"/>
        <v>920.76</v>
      </c>
      <c r="E35" s="14">
        <v>0</v>
      </c>
      <c r="F35" s="18">
        <f t="shared" si="4"/>
        <v>0</v>
      </c>
      <c r="G35" s="18">
        <f t="shared" si="5"/>
        <v>0</v>
      </c>
      <c r="H35" s="14">
        <v>32.28</v>
      </c>
      <c r="I35" s="18">
        <f t="shared" si="6"/>
        <v>32.28</v>
      </c>
      <c r="J35" s="18">
        <f t="shared" si="7"/>
        <v>0</v>
      </c>
      <c r="K35" s="14">
        <v>28.92</v>
      </c>
      <c r="L35" s="18">
        <f t="shared" si="8"/>
        <v>28.92</v>
      </c>
      <c r="M35" s="18">
        <f t="shared" si="9"/>
        <v>0</v>
      </c>
      <c r="N35" s="15">
        <f t="shared" si="10"/>
        <v>61.2</v>
      </c>
      <c r="O35" s="15">
        <f t="shared" si="1"/>
        <v>61.2</v>
      </c>
      <c r="P35" s="15">
        <f t="shared" si="2"/>
        <v>0</v>
      </c>
      <c r="Q35" s="5">
        <f t="shared" si="3"/>
        <v>0</v>
      </c>
    </row>
    <row r="36" spans="1:17" x14ac:dyDescent="0.25">
      <c r="A36" s="7">
        <v>46236.416666666664</v>
      </c>
      <c r="B36" s="6">
        <v>1562.4</v>
      </c>
      <c r="C36" s="13">
        <v>6.72</v>
      </c>
      <c r="D36" s="18">
        <f t="shared" si="0"/>
        <v>1569.1200000000001</v>
      </c>
      <c r="E36" s="14">
        <v>0</v>
      </c>
      <c r="F36" s="18">
        <f t="shared" si="4"/>
        <v>0</v>
      </c>
      <c r="G36" s="18">
        <f t="shared" si="5"/>
        <v>0</v>
      </c>
      <c r="H36" s="14">
        <v>26.28</v>
      </c>
      <c r="I36" s="18">
        <f t="shared" si="6"/>
        <v>26.28</v>
      </c>
      <c r="J36" s="18">
        <f t="shared" si="7"/>
        <v>0</v>
      </c>
      <c r="K36" s="14">
        <v>60.84</v>
      </c>
      <c r="L36" s="18">
        <f t="shared" si="8"/>
        <v>60.84</v>
      </c>
      <c r="M36" s="18">
        <f t="shared" si="9"/>
        <v>0</v>
      </c>
      <c r="N36" s="15">
        <f t="shared" si="10"/>
        <v>87.12</v>
      </c>
      <c r="O36" s="15">
        <f t="shared" si="1"/>
        <v>87.12</v>
      </c>
      <c r="P36" s="15">
        <f t="shared" si="2"/>
        <v>0</v>
      </c>
      <c r="Q36" s="5">
        <f t="shared" si="3"/>
        <v>0</v>
      </c>
    </row>
    <row r="37" spans="1:17" x14ac:dyDescent="0.25">
      <c r="A37" s="7">
        <v>46236.458333333336</v>
      </c>
      <c r="B37" s="6">
        <v>1786.05</v>
      </c>
      <c r="C37" s="13">
        <v>34.799999999999997</v>
      </c>
      <c r="D37" s="18">
        <f t="shared" si="0"/>
        <v>1820.85</v>
      </c>
      <c r="E37" s="14">
        <v>0</v>
      </c>
      <c r="F37" s="18">
        <f t="shared" si="4"/>
        <v>0</v>
      </c>
      <c r="G37" s="18">
        <f t="shared" si="5"/>
        <v>0</v>
      </c>
      <c r="H37" s="14">
        <v>4.68</v>
      </c>
      <c r="I37" s="18">
        <f t="shared" si="6"/>
        <v>4.68</v>
      </c>
      <c r="J37" s="18">
        <f t="shared" si="7"/>
        <v>0</v>
      </c>
      <c r="K37" s="14">
        <v>40.200000000000003</v>
      </c>
      <c r="L37" s="18">
        <f t="shared" si="8"/>
        <v>40.200000000000003</v>
      </c>
      <c r="M37" s="18">
        <f t="shared" si="9"/>
        <v>0</v>
      </c>
      <c r="N37" s="15">
        <f t="shared" si="10"/>
        <v>44.88</v>
      </c>
      <c r="O37" s="15">
        <f t="shared" si="1"/>
        <v>44.88</v>
      </c>
      <c r="P37" s="15">
        <f t="shared" si="2"/>
        <v>0</v>
      </c>
      <c r="Q37" s="5">
        <f t="shared" si="3"/>
        <v>0</v>
      </c>
    </row>
    <row r="38" spans="1:17" x14ac:dyDescent="0.25">
      <c r="A38" s="7">
        <v>46236.5</v>
      </c>
      <c r="B38" s="6">
        <v>2066.4</v>
      </c>
      <c r="C38" s="13">
        <v>63.96</v>
      </c>
      <c r="D38" s="18">
        <f t="shared" si="0"/>
        <v>2130.36</v>
      </c>
      <c r="E38" s="14">
        <v>0</v>
      </c>
      <c r="F38" s="18">
        <f t="shared" si="4"/>
        <v>0</v>
      </c>
      <c r="G38" s="18">
        <f t="shared" si="5"/>
        <v>0</v>
      </c>
      <c r="H38" s="14">
        <v>0</v>
      </c>
      <c r="I38" s="18">
        <f t="shared" si="6"/>
        <v>0</v>
      </c>
      <c r="J38" s="18">
        <f t="shared" si="7"/>
        <v>0</v>
      </c>
      <c r="K38" s="14">
        <v>50.88</v>
      </c>
      <c r="L38" s="18">
        <f t="shared" si="8"/>
        <v>50.88</v>
      </c>
      <c r="M38" s="18">
        <f t="shared" si="9"/>
        <v>0</v>
      </c>
      <c r="N38" s="15">
        <f t="shared" si="10"/>
        <v>50.88</v>
      </c>
      <c r="O38" s="15">
        <f t="shared" si="1"/>
        <v>50.88</v>
      </c>
      <c r="P38" s="15">
        <f t="shared" si="2"/>
        <v>0</v>
      </c>
      <c r="Q38" s="5">
        <f t="shared" si="3"/>
        <v>0</v>
      </c>
    </row>
    <row r="39" spans="1:17" x14ac:dyDescent="0.25">
      <c r="A39" s="7">
        <v>46236.541666666664</v>
      </c>
      <c r="B39" s="6">
        <v>2721.6</v>
      </c>
      <c r="C39" s="13">
        <v>45.48</v>
      </c>
      <c r="D39" s="18">
        <f t="shared" si="0"/>
        <v>2767.08</v>
      </c>
      <c r="E39" s="14">
        <v>0</v>
      </c>
      <c r="F39" s="18">
        <f t="shared" si="4"/>
        <v>0</v>
      </c>
      <c r="G39" s="18">
        <f t="shared" si="5"/>
        <v>0</v>
      </c>
      <c r="H39" s="14">
        <v>2.52</v>
      </c>
      <c r="I39" s="18">
        <f t="shared" si="6"/>
        <v>2.52</v>
      </c>
      <c r="J39" s="18">
        <f t="shared" si="7"/>
        <v>0</v>
      </c>
      <c r="K39" s="14">
        <v>24</v>
      </c>
      <c r="L39" s="18">
        <f t="shared" si="8"/>
        <v>24</v>
      </c>
      <c r="M39" s="18">
        <f t="shared" si="9"/>
        <v>0</v>
      </c>
      <c r="N39" s="15">
        <f t="shared" si="10"/>
        <v>26.52</v>
      </c>
      <c r="O39" s="15">
        <f t="shared" si="1"/>
        <v>26.52</v>
      </c>
      <c r="P39" s="15">
        <f t="shared" si="2"/>
        <v>0</v>
      </c>
      <c r="Q39" s="5">
        <f t="shared" si="3"/>
        <v>0</v>
      </c>
    </row>
    <row r="40" spans="1:17" x14ac:dyDescent="0.25">
      <c r="A40" s="7">
        <v>46236.583333333336</v>
      </c>
      <c r="B40" s="6">
        <v>1845.9</v>
      </c>
      <c r="C40" s="13">
        <v>41.64</v>
      </c>
      <c r="D40" s="18">
        <f t="shared" si="0"/>
        <v>1887.5400000000002</v>
      </c>
      <c r="E40" s="14">
        <v>0</v>
      </c>
      <c r="F40" s="18">
        <f t="shared" si="4"/>
        <v>0</v>
      </c>
      <c r="G40" s="18">
        <f t="shared" si="5"/>
        <v>0</v>
      </c>
      <c r="H40" s="14">
        <v>3.6</v>
      </c>
      <c r="I40" s="18">
        <f t="shared" si="6"/>
        <v>3.6</v>
      </c>
      <c r="J40" s="18">
        <f t="shared" si="7"/>
        <v>0</v>
      </c>
      <c r="K40" s="14">
        <v>44.28</v>
      </c>
      <c r="L40" s="18">
        <f t="shared" si="8"/>
        <v>44.28</v>
      </c>
      <c r="M40" s="18">
        <f t="shared" si="9"/>
        <v>0</v>
      </c>
      <c r="N40" s="15">
        <f t="shared" si="10"/>
        <v>47.88</v>
      </c>
      <c r="O40" s="15">
        <f t="shared" si="1"/>
        <v>47.88</v>
      </c>
      <c r="P40" s="15">
        <f t="shared" si="2"/>
        <v>0</v>
      </c>
      <c r="Q40" s="5">
        <f t="shared" si="3"/>
        <v>0</v>
      </c>
    </row>
    <row r="41" spans="1:17" x14ac:dyDescent="0.25">
      <c r="A41" s="7">
        <v>46236.625</v>
      </c>
      <c r="B41" s="6">
        <v>1398.6</v>
      </c>
      <c r="C41" s="13">
        <v>15.96</v>
      </c>
      <c r="D41" s="18">
        <f t="shared" si="0"/>
        <v>1414.56</v>
      </c>
      <c r="E41" s="14">
        <v>0</v>
      </c>
      <c r="F41" s="18">
        <f t="shared" si="4"/>
        <v>0</v>
      </c>
      <c r="G41" s="18">
        <f t="shared" si="5"/>
        <v>0</v>
      </c>
      <c r="H41" s="14">
        <v>13.92</v>
      </c>
      <c r="I41" s="18">
        <f t="shared" si="6"/>
        <v>13.92</v>
      </c>
      <c r="J41" s="18">
        <f t="shared" si="7"/>
        <v>0</v>
      </c>
      <c r="K41" s="14">
        <v>24.48</v>
      </c>
      <c r="L41" s="18">
        <f t="shared" si="8"/>
        <v>24.48</v>
      </c>
      <c r="M41" s="18">
        <f t="shared" si="9"/>
        <v>0</v>
      </c>
      <c r="N41" s="15">
        <f t="shared" si="10"/>
        <v>38.4</v>
      </c>
      <c r="O41" s="15">
        <f t="shared" si="1"/>
        <v>38.4</v>
      </c>
      <c r="P41" s="15">
        <f t="shared" si="2"/>
        <v>0</v>
      </c>
      <c r="Q41" s="5">
        <f t="shared" si="3"/>
        <v>0</v>
      </c>
    </row>
    <row r="42" spans="1:17" x14ac:dyDescent="0.25">
      <c r="A42" s="7">
        <v>46236.666666666664</v>
      </c>
      <c r="B42" s="6">
        <v>1200.1500000000001</v>
      </c>
      <c r="C42" s="13">
        <v>8.76</v>
      </c>
      <c r="D42" s="18">
        <f t="shared" si="0"/>
        <v>1208.9100000000001</v>
      </c>
      <c r="E42" s="14">
        <v>0</v>
      </c>
      <c r="F42" s="18">
        <f t="shared" si="4"/>
        <v>0</v>
      </c>
      <c r="G42" s="18">
        <f t="shared" si="5"/>
        <v>0</v>
      </c>
      <c r="H42" s="14">
        <v>15.12</v>
      </c>
      <c r="I42" s="18">
        <f t="shared" si="6"/>
        <v>15.12</v>
      </c>
      <c r="J42" s="18">
        <f t="shared" si="7"/>
        <v>0</v>
      </c>
      <c r="K42" s="14">
        <v>20.28</v>
      </c>
      <c r="L42" s="18">
        <f t="shared" si="8"/>
        <v>20.28</v>
      </c>
      <c r="M42" s="18">
        <f t="shared" si="9"/>
        <v>0</v>
      </c>
      <c r="N42" s="15">
        <f t="shared" si="10"/>
        <v>35.4</v>
      </c>
      <c r="O42" s="15">
        <f t="shared" si="1"/>
        <v>35.4</v>
      </c>
      <c r="P42" s="15">
        <f t="shared" si="2"/>
        <v>0</v>
      </c>
      <c r="Q42" s="5">
        <f t="shared" si="3"/>
        <v>0</v>
      </c>
    </row>
    <row r="43" spans="1:17" x14ac:dyDescent="0.25">
      <c r="A43" s="7">
        <v>46236.708333333336</v>
      </c>
      <c r="B43" s="6">
        <v>132.30000000000001</v>
      </c>
      <c r="C43" s="13">
        <v>2.4</v>
      </c>
      <c r="D43" s="18">
        <f t="shared" si="0"/>
        <v>134.70000000000002</v>
      </c>
      <c r="E43" s="14">
        <v>110.25</v>
      </c>
      <c r="F43" s="18">
        <f t="shared" si="4"/>
        <v>96.027643064985455</v>
      </c>
      <c r="G43" s="18">
        <f t="shared" si="5"/>
        <v>14.22235693501454</v>
      </c>
      <c r="H43" s="14">
        <v>18.96</v>
      </c>
      <c r="I43" s="18">
        <f t="shared" si="6"/>
        <v>16.514141610087297</v>
      </c>
      <c r="J43" s="18">
        <f t="shared" si="7"/>
        <v>2.4458583899127047</v>
      </c>
      <c r="K43" s="14">
        <v>25.44</v>
      </c>
      <c r="L43" s="18">
        <f t="shared" si="8"/>
        <v>22.158215324927259</v>
      </c>
      <c r="M43" s="18">
        <f t="shared" si="9"/>
        <v>3.2817846750727426</v>
      </c>
      <c r="N43" s="15">
        <f t="shared" si="10"/>
        <v>154.65</v>
      </c>
      <c r="O43" s="15">
        <f t="shared" si="1"/>
        <v>134.70000000000002</v>
      </c>
      <c r="P43" s="15">
        <f t="shared" si="2"/>
        <v>19.949999999999989</v>
      </c>
      <c r="Q43" s="5">
        <f t="shared" si="3"/>
        <v>0.12900096993210466</v>
      </c>
    </row>
    <row r="44" spans="1:17" x14ac:dyDescent="0.25">
      <c r="A44" s="7">
        <v>46236.75</v>
      </c>
      <c r="B44" s="6">
        <v>22.05</v>
      </c>
      <c r="C44" s="13">
        <v>0</v>
      </c>
      <c r="D44" s="18">
        <f t="shared" si="0"/>
        <v>22.05</v>
      </c>
      <c r="E44" s="14">
        <v>110.25</v>
      </c>
      <c r="F44" s="18">
        <f t="shared" si="4"/>
        <v>12.70320583163506</v>
      </c>
      <c r="G44" s="18">
        <f t="shared" si="5"/>
        <v>97.54679416836494</v>
      </c>
      <c r="H44" s="14">
        <v>63.36</v>
      </c>
      <c r="I44" s="18">
        <f t="shared" si="6"/>
        <v>7.300454616711086</v>
      </c>
      <c r="J44" s="18">
        <f t="shared" si="7"/>
        <v>56.059545383288913</v>
      </c>
      <c r="K44" s="14">
        <v>17.760000000000002</v>
      </c>
      <c r="L44" s="18">
        <f t="shared" si="8"/>
        <v>2.0463395516538654</v>
      </c>
      <c r="M44" s="18">
        <f t="shared" si="9"/>
        <v>15.713660448346136</v>
      </c>
      <c r="N44" s="15">
        <f t="shared" si="10"/>
        <v>191.37</v>
      </c>
      <c r="O44" s="15">
        <f t="shared" si="1"/>
        <v>22.050000000000011</v>
      </c>
      <c r="P44" s="15">
        <f t="shared" si="2"/>
        <v>169.32</v>
      </c>
      <c r="Q44" s="5">
        <f t="shared" si="3"/>
        <v>0.88477817839786799</v>
      </c>
    </row>
    <row r="45" spans="1:17" x14ac:dyDescent="0.25">
      <c r="A45" s="7">
        <v>46236.791666666664</v>
      </c>
      <c r="B45" s="6">
        <v>0</v>
      </c>
      <c r="C45" s="13">
        <v>0</v>
      </c>
      <c r="D45" s="18">
        <f t="shared" si="0"/>
        <v>0</v>
      </c>
      <c r="E45" s="14">
        <v>59.85</v>
      </c>
      <c r="F45" s="18">
        <f t="shared" si="4"/>
        <v>0</v>
      </c>
      <c r="G45" s="18">
        <f t="shared" si="5"/>
        <v>59.85</v>
      </c>
      <c r="H45" s="14">
        <v>66.959999999999994</v>
      </c>
      <c r="I45" s="18">
        <f t="shared" si="6"/>
        <v>0</v>
      </c>
      <c r="J45" s="18">
        <f t="shared" si="7"/>
        <v>66.959999999999994</v>
      </c>
      <c r="K45" s="14">
        <v>15.36</v>
      </c>
      <c r="L45" s="18">
        <f t="shared" si="8"/>
        <v>0</v>
      </c>
      <c r="M45" s="18">
        <f t="shared" si="9"/>
        <v>15.36</v>
      </c>
      <c r="N45" s="15">
        <f t="shared" si="10"/>
        <v>142.17000000000002</v>
      </c>
      <c r="O45" s="15">
        <f t="shared" si="1"/>
        <v>0</v>
      </c>
      <c r="P45" s="15">
        <f t="shared" si="2"/>
        <v>142.17000000000002</v>
      </c>
      <c r="Q45" s="5">
        <f t="shared" si="3"/>
        <v>1</v>
      </c>
    </row>
    <row r="46" spans="1:17" x14ac:dyDescent="0.25">
      <c r="A46" s="7">
        <v>46236.833333333336</v>
      </c>
      <c r="B46" s="6">
        <v>0</v>
      </c>
      <c r="C46" s="13">
        <v>0</v>
      </c>
      <c r="D46" s="18">
        <f t="shared" si="0"/>
        <v>0</v>
      </c>
      <c r="E46" s="14">
        <v>762.3</v>
      </c>
      <c r="F46" s="18">
        <f t="shared" si="4"/>
        <v>0</v>
      </c>
      <c r="G46" s="18">
        <f t="shared" si="5"/>
        <v>762.3</v>
      </c>
      <c r="H46" s="14">
        <v>100.2</v>
      </c>
      <c r="I46" s="18">
        <f t="shared" si="6"/>
        <v>0</v>
      </c>
      <c r="J46" s="18">
        <f t="shared" si="7"/>
        <v>100.2</v>
      </c>
      <c r="K46" s="14">
        <v>15</v>
      </c>
      <c r="L46" s="18">
        <f t="shared" si="8"/>
        <v>0</v>
      </c>
      <c r="M46" s="18">
        <f t="shared" si="9"/>
        <v>15</v>
      </c>
      <c r="N46" s="15">
        <f t="shared" si="10"/>
        <v>877.5</v>
      </c>
      <c r="O46" s="15">
        <f t="shared" si="1"/>
        <v>0</v>
      </c>
      <c r="P46" s="15">
        <f t="shared" si="2"/>
        <v>877.5</v>
      </c>
      <c r="Q46" s="5">
        <f t="shared" si="3"/>
        <v>1</v>
      </c>
    </row>
    <row r="47" spans="1:17" x14ac:dyDescent="0.25">
      <c r="A47" s="7">
        <v>46236.875</v>
      </c>
      <c r="B47" s="6">
        <v>0</v>
      </c>
      <c r="C47" s="13">
        <v>0</v>
      </c>
      <c r="D47" s="18">
        <f t="shared" si="0"/>
        <v>0</v>
      </c>
      <c r="E47" s="14">
        <v>979.65</v>
      </c>
      <c r="F47" s="18">
        <f t="shared" si="4"/>
        <v>0</v>
      </c>
      <c r="G47" s="18">
        <f t="shared" si="5"/>
        <v>979.65</v>
      </c>
      <c r="H47" s="14">
        <v>109.56</v>
      </c>
      <c r="I47" s="18">
        <f t="shared" si="6"/>
        <v>0</v>
      </c>
      <c r="J47" s="18">
        <f t="shared" si="7"/>
        <v>109.56</v>
      </c>
      <c r="K47" s="14">
        <v>7.8</v>
      </c>
      <c r="L47" s="18">
        <f t="shared" si="8"/>
        <v>0</v>
      </c>
      <c r="M47" s="18">
        <f t="shared" si="9"/>
        <v>7.8</v>
      </c>
      <c r="N47" s="15">
        <f t="shared" si="10"/>
        <v>1097.01</v>
      </c>
      <c r="O47" s="15">
        <f t="shared" si="1"/>
        <v>0</v>
      </c>
      <c r="P47" s="15">
        <f t="shared" si="2"/>
        <v>1097.01</v>
      </c>
      <c r="Q47" s="5">
        <f t="shared" si="3"/>
        <v>1</v>
      </c>
    </row>
    <row r="48" spans="1:17" x14ac:dyDescent="0.25">
      <c r="A48" s="7">
        <v>46236.916666666664</v>
      </c>
      <c r="B48" s="6">
        <v>0</v>
      </c>
      <c r="C48" s="13">
        <v>0</v>
      </c>
      <c r="D48" s="18">
        <f t="shared" si="0"/>
        <v>0</v>
      </c>
      <c r="E48" s="14">
        <v>771.75</v>
      </c>
      <c r="F48" s="18">
        <f t="shared" si="4"/>
        <v>0</v>
      </c>
      <c r="G48" s="18">
        <f t="shared" si="5"/>
        <v>771.75</v>
      </c>
      <c r="H48" s="14">
        <v>104.76</v>
      </c>
      <c r="I48" s="18">
        <f t="shared" si="6"/>
        <v>0</v>
      </c>
      <c r="J48" s="18">
        <f t="shared" si="7"/>
        <v>104.76</v>
      </c>
      <c r="K48" s="14">
        <v>1.92</v>
      </c>
      <c r="L48" s="18">
        <f t="shared" si="8"/>
        <v>0</v>
      </c>
      <c r="M48" s="18">
        <f t="shared" si="9"/>
        <v>1.92</v>
      </c>
      <c r="N48" s="15">
        <f t="shared" si="10"/>
        <v>878.43</v>
      </c>
      <c r="O48" s="15">
        <f t="shared" si="1"/>
        <v>0</v>
      </c>
      <c r="P48" s="15">
        <f t="shared" si="2"/>
        <v>878.43</v>
      </c>
      <c r="Q48" s="5">
        <f t="shared" si="3"/>
        <v>1</v>
      </c>
    </row>
    <row r="49" spans="1:17" x14ac:dyDescent="0.25">
      <c r="A49" s="7">
        <v>46236.958333333336</v>
      </c>
      <c r="B49" s="6">
        <v>0</v>
      </c>
      <c r="C49" s="13">
        <v>0</v>
      </c>
      <c r="D49" s="18">
        <f t="shared" si="0"/>
        <v>0</v>
      </c>
      <c r="E49" s="14">
        <v>639.45000000000005</v>
      </c>
      <c r="F49" s="18">
        <f t="shared" si="4"/>
        <v>0</v>
      </c>
      <c r="G49" s="18">
        <f t="shared" si="5"/>
        <v>639.45000000000005</v>
      </c>
      <c r="H49" s="14">
        <v>105.84</v>
      </c>
      <c r="I49" s="18">
        <f t="shared" si="6"/>
        <v>0</v>
      </c>
      <c r="J49" s="18">
        <f t="shared" si="7"/>
        <v>105.84</v>
      </c>
      <c r="K49" s="14">
        <v>1.68</v>
      </c>
      <c r="L49" s="18">
        <f t="shared" si="8"/>
        <v>0</v>
      </c>
      <c r="M49" s="18">
        <f t="shared" si="9"/>
        <v>1.68</v>
      </c>
      <c r="N49" s="15">
        <f t="shared" si="10"/>
        <v>746.97</v>
      </c>
      <c r="O49" s="15">
        <f t="shared" si="1"/>
        <v>0</v>
      </c>
      <c r="P49" s="15">
        <f t="shared" si="2"/>
        <v>746.97</v>
      </c>
      <c r="Q49" s="5">
        <f t="shared" si="3"/>
        <v>1</v>
      </c>
    </row>
    <row r="50" spans="1:17" x14ac:dyDescent="0.25">
      <c r="A50" s="7">
        <v>46237</v>
      </c>
      <c r="B50" s="6">
        <v>0</v>
      </c>
      <c r="C50" s="13">
        <v>0</v>
      </c>
      <c r="D50" s="18">
        <f t="shared" si="0"/>
        <v>0</v>
      </c>
      <c r="E50" s="14">
        <v>973.35</v>
      </c>
      <c r="F50" s="18">
        <f t="shared" si="4"/>
        <v>0</v>
      </c>
      <c r="G50" s="18">
        <f t="shared" si="5"/>
        <v>973.35</v>
      </c>
      <c r="H50" s="14">
        <v>111.84</v>
      </c>
      <c r="I50" s="18">
        <f t="shared" si="6"/>
        <v>0</v>
      </c>
      <c r="J50" s="18">
        <f t="shared" si="7"/>
        <v>111.84</v>
      </c>
      <c r="K50" s="14">
        <v>1.8</v>
      </c>
      <c r="L50" s="18">
        <f t="shared" si="8"/>
        <v>0</v>
      </c>
      <c r="M50" s="18">
        <f t="shared" si="9"/>
        <v>1.8</v>
      </c>
      <c r="N50" s="15">
        <f t="shared" si="10"/>
        <v>1086.99</v>
      </c>
      <c r="O50" s="15">
        <f t="shared" si="1"/>
        <v>0</v>
      </c>
      <c r="P50" s="15">
        <f t="shared" si="2"/>
        <v>1086.99</v>
      </c>
      <c r="Q50" s="5">
        <f t="shared" si="3"/>
        <v>1</v>
      </c>
    </row>
    <row r="51" spans="1:17" x14ac:dyDescent="0.25">
      <c r="A51" s="7">
        <v>46237.041666666664</v>
      </c>
      <c r="B51" s="6">
        <v>0</v>
      </c>
      <c r="C51" s="13">
        <v>0</v>
      </c>
      <c r="D51" s="18">
        <f t="shared" si="0"/>
        <v>0</v>
      </c>
      <c r="E51" s="14">
        <v>166.95</v>
      </c>
      <c r="F51" s="18">
        <f t="shared" si="4"/>
        <v>0</v>
      </c>
      <c r="G51" s="18">
        <f t="shared" si="5"/>
        <v>166.95</v>
      </c>
      <c r="H51" s="14">
        <v>103.56</v>
      </c>
      <c r="I51" s="18">
        <f t="shared" si="6"/>
        <v>0</v>
      </c>
      <c r="J51" s="18">
        <f t="shared" si="7"/>
        <v>103.56</v>
      </c>
      <c r="K51" s="14">
        <v>1.68</v>
      </c>
      <c r="L51" s="18">
        <f t="shared" si="8"/>
        <v>0</v>
      </c>
      <c r="M51" s="18">
        <f t="shared" si="9"/>
        <v>1.68</v>
      </c>
      <c r="N51" s="15">
        <f t="shared" si="10"/>
        <v>272.19</v>
      </c>
      <c r="O51" s="15">
        <f t="shared" si="1"/>
        <v>0</v>
      </c>
      <c r="P51" s="15">
        <f t="shared" si="2"/>
        <v>272.19</v>
      </c>
      <c r="Q51" s="5">
        <f t="shared" si="3"/>
        <v>1</v>
      </c>
    </row>
    <row r="52" spans="1:17" x14ac:dyDescent="0.25">
      <c r="A52" s="7">
        <v>46237.083333333336</v>
      </c>
      <c r="B52" s="6">
        <v>0</v>
      </c>
      <c r="C52" s="13">
        <v>0</v>
      </c>
      <c r="D52" s="18">
        <f t="shared" si="0"/>
        <v>0</v>
      </c>
      <c r="E52" s="14">
        <v>677.25</v>
      </c>
      <c r="F52" s="18">
        <f t="shared" si="4"/>
        <v>0</v>
      </c>
      <c r="G52" s="18">
        <f t="shared" si="5"/>
        <v>677.25</v>
      </c>
      <c r="H52" s="14">
        <v>93.72</v>
      </c>
      <c r="I52" s="18">
        <f t="shared" si="6"/>
        <v>0</v>
      </c>
      <c r="J52" s="18">
        <f t="shared" si="7"/>
        <v>93.72</v>
      </c>
      <c r="K52" s="14">
        <v>1.68</v>
      </c>
      <c r="L52" s="18">
        <f t="shared" si="8"/>
        <v>0</v>
      </c>
      <c r="M52" s="18">
        <f t="shared" si="9"/>
        <v>1.68</v>
      </c>
      <c r="N52" s="15">
        <f t="shared" si="10"/>
        <v>772.65</v>
      </c>
      <c r="O52" s="15">
        <f t="shared" si="1"/>
        <v>0</v>
      </c>
      <c r="P52" s="15">
        <f t="shared" si="2"/>
        <v>772.65</v>
      </c>
      <c r="Q52" s="5">
        <f t="shared" si="3"/>
        <v>1</v>
      </c>
    </row>
    <row r="53" spans="1:17" x14ac:dyDescent="0.25">
      <c r="A53" s="7">
        <v>46237.125</v>
      </c>
      <c r="B53" s="6">
        <v>0</v>
      </c>
      <c r="C53" s="13">
        <v>0</v>
      </c>
      <c r="D53" s="18">
        <f t="shared" si="0"/>
        <v>0</v>
      </c>
      <c r="E53" s="14">
        <v>935.55</v>
      </c>
      <c r="F53" s="18">
        <f t="shared" si="4"/>
        <v>0</v>
      </c>
      <c r="G53" s="18">
        <f t="shared" si="5"/>
        <v>935.55</v>
      </c>
      <c r="H53" s="14">
        <v>79.08</v>
      </c>
      <c r="I53" s="18">
        <f t="shared" si="6"/>
        <v>0</v>
      </c>
      <c r="J53" s="18">
        <f t="shared" si="7"/>
        <v>79.08</v>
      </c>
      <c r="K53" s="14">
        <v>1.56</v>
      </c>
      <c r="L53" s="18">
        <f t="shared" si="8"/>
        <v>0</v>
      </c>
      <c r="M53" s="18">
        <f t="shared" si="9"/>
        <v>1.56</v>
      </c>
      <c r="N53" s="15">
        <f t="shared" si="10"/>
        <v>1016.1899999999999</v>
      </c>
      <c r="O53" s="15">
        <f t="shared" si="1"/>
        <v>0</v>
      </c>
      <c r="P53" s="15">
        <f t="shared" si="2"/>
        <v>1016.1899999999999</v>
      </c>
      <c r="Q53" s="5">
        <f t="shared" si="3"/>
        <v>1</v>
      </c>
    </row>
    <row r="54" spans="1:17" x14ac:dyDescent="0.25">
      <c r="A54" s="7">
        <v>46237.166666666664</v>
      </c>
      <c r="B54" s="6">
        <v>0</v>
      </c>
      <c r="C54" s="13">
        <v>0</v>
      </c>
      <c r="D54" s="18">
        <f t="shared" si="0"/>
        <v>0</v>
      </c>
      <c r="E54" s="14">
        <v>705.6</v>
      </c>
      <c r="F54" s="18">
        <f t="shared" si="4"/>
        <v>0</v>
      </c>
      <c r="G54" s="18">
        <f t="shared" si="5"/>
        <v>705.6</v>
      </c>
      <c r="H54" s="14">
        <v>55.8</v>
      </c>
      <c r="I54" s="18">
        <f t="shared" si="6"/>
        <v>0</v>
      </c>
      <c r="J54" s="18">
        <f t="shared" si="7"/>
        <v>55.8</v>
      </c>
      <c r="K54" s="14">
        <v>1.8</v>
      </c>
      <c r="L54" s="18">
        <f t="shared" si="8"/>
        <v>0</v>
      </c>
      <c r="M54" s="18">
        <f t="shared" si="9"/>
        <v>1.8</v>
      </c>
      <c r="N54" s="15">
        <f t="shared" si="10"/>
        <v>763.19999999999993</v>
      </c>
      <c r="O54" s="15">
        <f t="shared" si="1"/>
        <v>0</v>
      </c>
      <c r="P54" s="15">
        <f t="shared" si="2"/>
        <v>763.19999999999993</v>
      </c>
      <c r="Q54" s="5">
        <f t="shared" si="3"/>
        <v>1</v>
      </c>
    </row>
    <row r="55" spans="1:17" x14ac:dyDescent="0.25">
      <c r="A55" s="7">
        <v>46237.208333333336</v>
      </c>
      <c r="B55" s="6">
        <v>0</v>
      </c>
      <c r="C55" s="13">
        <v>0</v>
      </c>
      <c r="D55" s="18">
        <f t="shared" si="0"/>
        <v>0</v>
      </c>
      <c r="E55" s="14">
        <v>475.65</v>
      </c>
      <c r="F55" s="18">
        <f t="shared" si="4"/>
        <v>0</v>
      </c>
      <c r="G55" s="18">
        <f t="shared" si="5"/>
        <v>475.65</v>
      </c>
      <c r="H55" s="14">
        <v>58.44</v>
      </c>
      <c r="I55" s="18">
        <f t="shared" si="6"/>
        <v>0</v>
      </c>
      <c r="J55" s="18">
        <f t="shared" si="7"/>
        <v>58.44</v>
      </c>
      <c r="K55" s="14">
        <v>1.56</v>
      </c>
      <c r="L55" s="18">
        <f t="shared" si="8"/>
        <v>0</v>
      </c>
      <c r="M55" s="18">
        <f t="shared" si="9"/>
        <v>1.56</v>
      </c>
      <c r="N55" s="15">
        <f t="shared" si="10"/>
        <v>535.64999999999986</v>
      </c>
      <c r="O55" s="15">
        <f t="shared" si="1"/>
        <v>0</v>
      </c>
      <c r="P55" s="15">
        <f t="shared" si="2"/>
        <v>535.64999999999986</v>
      </c>
      <c r="Q55" s="5">
        <f t="shared" si="3"/>
        <v>1</v>
      </c>
    </row>
    <row r="56" spans="1:17" x14ac:dyDescent="0.25">
      <c r="A56" s="7">
        <v>46237.25</v>
      </c>
      <c r="B56" s="6">
        <v>6.3</v>
      </c>
      <c r="C56" s="13">
        <v>0</v>
      </c>
      <c r="D56" s="18">
        <f t="shared" si="0"/>
        <v>6.3</v>
      </c>
      <c r="E56" s="14">
        <v>176.4</v>
      </c>
      <c r="F56" s="18">
        <f t="shared" si="4"/>
        <v>4.7860465116279158</v>
      </c>
      <c r="G56" s="18">
        <f t="shared" si="5"/>
        <v>171.61395348837209</v>
      </c>
      <c r="H56" s="14">
        <v>53.28</v>
      </c>
      <c r="I56" s="18">
        <f t="shared" si="6"/>
        <v>1.4455813953488388</v>
      </c>
      <c r="J56" s="18">
        <f t="shared" si="7"/>
        <v>51.834418604651162</v>
      </c>
      <c r="K56" s="14">
        <v>2.52</v>
      </c>
      <c r="L56" s="18">
        <f t="shared" si="8"/>
        <v>6.8372093023255864E-2</v>
      </c>
      <c r="M56" s="18">
        <f t="shared" si="9"/>
        <v>2.4516279069767442</v>
      </c>
      <c r="N56" s="15">
        <f t="shared" si="10"/>
        <v>232.20000000000002</v>
      </c>
      <c r="O56" s="15">
        <f t="shared" si="1"/>
        <v>6.3000000000000114</v>
      </c>
      <c r="P56" s="15">
        <f t="shared" si="2"/>
        <v>225.9</v>
      </c>
      <c r="Q56" s="5">
        <f t="shared" si="3"/>
        <v>0.97286821705426352</v>
      </c>
    </row>
    <row r="57" spans="1:17" x14ac:dyDescent="0.25">
      <c r="A57" s="7">
        <v>46237.291666666664</v>
      </c>
      <c r="B57" s="6">
        <v>311.85000000000002</v>
      </c>
      <c r="C57" s="13">
        <v>0</v>
      </c>
      <c r="D57" s="18">
        <f t="shared" si="0"/>
        <v>311.85000000000002</v>
      </c>
      <c r="E57" s="14">
        <v>0</v>
      </c>
      <c r="F57" s="18">
        <f t="shared" si="4"/>
        <v>0</v>
      </c>
      <c r="G57" s="18">
        <f t="shared" si="5"/>
        <v>0</v>
      </c>
      <c r="H57" s="14">
        <v>20.04</v>
      </c>
      <c r="I57" s="18">
        <f t="shared" si="6"/>
        <v>20.04</v>
      </c>
      <c r="J57" s="18">
        <f t="shared" si="7"/>
        <v>0</v>
      </c>
      <c r="K57" s="14">
        <v>2.16</v>
      </c>
      <c r="L57" s="18">
        <f t="shared" si="8"/>
        <v>2.16</v>
      </c>
      <c r="M57" s="18">
        <f t="shared" si="9"/>
        <v>0</v>
      </c>
      <c r="N57" s="15">
        <f t="shared" si="10"/>
        <v>22.2</v>
      </c>
      <c r="O57" s="15">
        <f t="shared" si="1"/>
        <v>22.2</v>
      </c>
      <c r="P57" s="15">
        <f t="shared" si="2"/>
        <v>0</v>
      </c>
      <c r="Q57" s="5">
        <f t="shared" si="3"/>
        <v>0</v>
      </c>
    </row>
    <row r="58" spans="1:17" x14ac:dyDescent="0.25">
      <c r="A58" s="7">
        <v>46237.333333333336</v>
      </c>
      <c r="B58" s="6">
        <v>787.5</v>
      </c>
      <c r="C58" s="13">
        <v>0</v>
      </c>
      <c r="D58" s="18">
        <f t="shared" si="0"/>
        <v>787.5</v>
      </c>
      <c r="E58" s="14">
        <v>0</v>
      </c>
      <c r="F58" s="18">
        <f t="shared" si="4"/>
        <v>0</v>
      </c>
      <c r="G58" s="18">
        <f t="shared" si="5"/>
        <v>0</v>
      </c>
      <c r="H58" s="14">
        <v>79.319999999999993</v>
      </c>
      <c r="I58" s="18">
        <f t="shared" si="6"/>
        <v>79.319999999999993</v>
      </c>
      <c r="J58" s="18">
        <f t="shared" si="7"/>
        <v>0</v>
      </c>
      <c r="K58" s="14">
        <v>1.44</v>
      </c>
      <c r="L58" s="18">
        <f t="shared" si="8"/>
        <v>1.44</v>
      </c>
      <c r="M58" s="18">
        <f t="shared" si="9"/>
        <v>0</v>
      </c>
      <c r="N58" s="15">
        <f t="shared" si="10"/>
        <v>80.759999999999991</v>
      </c>
      <c r="O58" s="15">
        <f t="shared" si="1"/>
        <v>80.759999999999991</v>
      </c>
      <c r="P58" s="15">
        <f t="shared" si="2"/>
        <v>0</v>
      </c>
      <c r="Q58" s="5">
        <f t="shared" si="3"/>
        <v>0</v>
      </c>
    </row>
    <row r="59" spans="1:17" x14ac:dyDescent="0.25">
      <c r="A59" s="7">
        <v>46237.375</v>
      </c>
      <c r="B59" s="6">
        <v>1077.3</v>
      </c>
      <c r="C59" s="13">
        <v>5.4</v>
      </c>
      <c r="D59" s="18">
        <f t="shared" si="0"/>
        <v>1082.7</v>
      </c>
      <c r="E59" s="14">
        <v>0</v>
      </c>
      <c r="F59" s="18">
        <f t="shared" si="4"/>
        <v>0</v>
      </c>
      <c r="G59" s="18">
        <f t="shared" si="5"/>
        <v>0</v>
      </c>
      <c r="H59" s="14">
        <v>44.16</v>
      </c>
      <c r="I59" s="18">
        <f t="shared" si="6"/>
        <v>44.16</v>
      </c>
      <c r="J59" s="18">
        <f t="shared" si="7"/>
        <v>0</v>
      </c>
      <c r="K59" s="14">
        <v>29.28</v>
      </c>
      <c r="L59" s="18">
        <f t="shared" si="8"/>
        <v>29.28</v>
      </c>
      <c r="M59" s="18">
        <f t="shared" si="9"/>
        <v>0</v>
      </c>
      <c r="N59" s="15">
        <f t="shared" si="10"/>
        <v>73.44</v>
      </c>
      <c r="O59" s="15">
        <f t="shared" si="1"/>
        <v>73.44</v>
      </c>
      <c r="P59" s="15">
        <f t="shared" si="2"/>
        <v>0</v>
      </c>
      <c r="Q59" s="5">
        <f t="shared" si="3"/>
        <v>0</v>
      </c>
    </row>
    <row r="60" spans="1:17" x14ac:dyDescent="0.25">
      <c r="A60" s="7">
        <v>46237.416666666664</v>
      </c>
      <c r="B60" s="6">
        <v>1445.85</v>
      </c>
      <c r="C60" s="13">
        <v>8.76</v>
      </c>
      <c r="D60" s="18">
        <f t="shared" si="0"/>
        <v>1454.61</v>
      </c>
      <c r="E60" s="14">
        <v>0</v>
      </c>
      <c r="F60" s="18">
        <f t="shared" si="4"/>
        <v>0</v>
      </c>
      <c r="G60" s="18">
        <f t="shared" si="5"/>
        <v>0</v>
      </c>
      <c r="H60" s="14">
        <v>20.04</v>
      </c>
      <c r="I60" s="18">
        <f t="shared" si="6"/>
        <v>20.04</v>
      </c>
      <c r="J60" s="18">
        <f t="shared" si="7"/>
        <v>0</v>
      </c>
      <c r="K60" s="14">
        <v>50.4</v>
      </c>
      <c r="L60" s="18">
        <f t="shared" si="8"/>
        <v>50.4</v>
      </c>
      <c r="M60" s="18">
        <f t="shared" si="9"/>
        <v>0</v>
      </c>
      <c r="N60" s="15">
        <f t="shared" si="10"/>
        <v>70.44</v>
      </c>
      <c r="O60" s="15">
        <f t="shared" si="1"/>
        <v>70.44</v>
      </c>
      <c r="P60" s="15">
        <f t="shared" si="2"/>
        <v>0</v>
      </c>
      <c r="Q60" s="5">
        <f t="shared" si="3"/>
        <v>0</v>
      </c>
    </row>
    <row r="61" spans="1:17" x14ac:dyDescent="0.25">
      <c r="A61" s="7">
        <v>46237.458333333336</v>
      </c>
      <c r="B61" s="6">
        <v>1827</v>
      </c>
      <c r="C61" s="13">
        <v>6.36</v>
      </c>
      <c r="D61" s="18">
        <f t="shared" si="0"/>
        <v>1833.36</v>
      </c>
      <c r="E61" s="14">
        <v>0</v>
      </c>
      <c r="F61" s="18">
        <f t="shared" si="4"/>
        <v>0</v>
      </c>
      <c r="G61" s="18">
        <f t="shared" si="5"/>
        <v>0</v>
      </c>
      <c r="H61" s="14">
        <v>22.8</v>
      </c>
      <c r="I61" s="18">
        <f t="shared" si="6"/>
        <v>22.8</v>
      </c>
      <c r="J61" s="18">
        <f t="shared" si="7"/>
        <v>0</v>
      </c>
      <c r="K61" s="14">
        <v>34.92</v>
      </c>
      <c r="L61" s="18">
        <f t="shared" si="8"/>
        <v>34.92</v>
      </c>
      <c r="M61" s="18">
        <f t="shared" si="9"/>
        <v>0</v>
      </c>
      <c r="N61" s="15">
        <f t="shared" si="10"/>
        <v>57.72</v>
      </c>
      <c r="O61" s="15">
        <f t="shared" si="1"/>
        <v>57.72</v>
      </c>
      <c r="P61" s="15">
        <f t="shared" si="2"/>
        <v>0</v>
      </c>
      <c r="Q61" s="5">
        <f t="shared" si="3"/>
        <v>0</v>
      </c>
    </row>
    <row r="62" spans="1:17" x14ac:dyDescent="0.25">
      <c r="A62" s="7">
        <v>46237.5</v>
      </c>
      <c r="B62" s="6">
        <v>2277.4499999999998</v>
      </c>
      <c r="C62" s="13">
        <v>19.559999999999999</v>
      </c>
      <c r="D62" s="18">
        <f t="shared" si="0"/>
        <v>2297.0099999999998</v>
      </c>
      <c r="E62" s="14">
        <v>0</v>
      </c>
      <c r="F62" s="18">
        <f t="shared" si="4"/>
        <v>0</v>
      </c>
      <c r="G62" s="18">
        <f t="shared" si="5"/>
        <v>0</v>
      </c>
      <c r="H62" s="14">
        <v>9.1199999999999992</v>
      </c>
      <c r="I62" s="18">
        <f t="shared" si="6"/>
        <v>9.1199999999999992</v>
      </c>
      <c r="J62" s="18">
        <f t="shared" si="7"/>
        <v>0</v>
      </c>
      <c r="K62" s="14">
        <v>41.28</v>
      </c>
      <c r="L62" s="18">
        <f t="shared" si="8"/>
        <v>41.28</v>
      </c>
      <c r="M62" s="18">
        <f t="shared" si="9"/>
        <v>0</v>
      </c>
      <c r="N62" s="15">
        <f t="shared" si="10"/>
        <v>50.4</v>
      </c>
      <c r="O62" s="15">
        <f t="shared" si="1"/>
        <v>50.4</v>
      </c>
      <c r="P62" s="15">
        <f t="shared" si="2"/>
        <v>0</v>
      </c>
      <c r="Q62" s="5">
        <f t="shared" si="3"/>
        <v>0</v>
      </c>
    </row>
    <row r="63" spans="1:17" x14ac:dyDescent="0.25">
      <c r="A63" s="7">
        <v>46237.541666666664</v>
      </c>
      <c r="B63" s="6">
        <v>2705.85</v>
      </c>
      <c r="C63" s="13">
        <v>28.08</v>
      </c>
      <c r="D63" s="18">
        <f t="shared" si="0"/>
        <v>2733.93</v>
      </c>
      <c r="E63" s="14">
        <v>0</v>
      </c>
      <c r="F63" s="18">
        <f t="shared" si="4"/>
        <v>0</v>
      </c>
      <c r="G63" s="18">
        <f t="shared" si="5"/>
        <v>0</v>
      </c>
      <c r="H63" s="14">
        <v>9.6</v>
      </c>
      <c r="I63" s="18">
        <f t="shared" si="6"/>
        <v>9.6</v>
      </c>
      <c r="J63" s="18">
        <f t="shared" si="7"/>
        <v>0</v>
      </c>
      <c r="K63" s="14">
        <v>41.16</v>
      </c>
      <c r="L63" s="18">
        <f t="shared" si="8"/>
        <v>41.16</v>
      </c>
      <c r="M63" s="18">
        <f t="shared" si="9"/>
        <v>0</v>
      </c>
      <c r="N63" s="15">
        <f t="shared" si="10"/>
        <v>50.76</v>
      </c>
      <c r="O63" s="15">
        <f t="shared" si="1"/>
        <v>50.76</v>
      </c>
      <c r="P63" s="15">
        <f t="shared" si="2"/>
        <v>0</v>
      </c>
      <c r="Q63" s="5">
        <f t="shared" si="3"/>
        <v>0</v>
      </c>
    </row>
    <row r="64" spans="1:17" x14ac:dyDescent="0.25">
      <c r="A64" s="7">
        <v>46237.583333333336</v>
      </c>
      <c r="B64" s="6">
        <v>1804.95</v>
      </c>
      <c r="C64" s="13">
        <v>13.92</v>
      </c>
      <c r="D64" s="18">
        <f t="shared" si="0"/>
        <v>1818.8700000000001</v>
      </c>
      <c r="E64" s="14">
        <v>0</v>
      </c>
      <c r="F64" s="18">
        <f t="shared" si="4"/>
        <v>0</v>
      </c>
      <c r="G64" s="18">
        <f t="shared" si="5"/>
        <v>0</v>
      </c>
      <c r="H64" s="14">
        <v>17.52</v>
      </c>
      <c r="I64" s="18">
        <f t="shared" si="6"/>
        <v>17.52</v>
      </c>
      <c r="J64" s="18">
        <f t="shared" si="7"/>
        <v>0</v>
      </c>
      <c r="K64" s="14">
        <v>27.48</v>
      </c>
      <c r="L64" s="18">
        <f t="shared" si="8"/>
        <v>27.48</v>
      </c>
      <c r="M64" s="18">
        <f t="shared" si="9"/>
        <v>0</v>
      </c>
      <c r="N64" s="15">
        <f t="shared" si="10"/>
        <v>45</v>
      </c>
      <c r="O64" s="15">
        <f t="shared" si="1"/>
        <v>45</v>
      </c>
      <c r="P64" s="15">
        <f t="shared" si="2"/>
        <v>0</v>
      </c>
      <c r="Q64" s="5">
        <f t="shared" si="3"/>
        <v>0</v>
      </c>
    </row>
    <row r="65" spans="1:17" x14ac:dyDescent="0.25">
      <c r="A65" s="7">
        <v>46237.625</v>
      </c>
      <c r="B65" s="6">
        <v>1439.55</v>
      </c>
      <c r="C65" s="13">
        <v>2.16</v>
      </c>
      <c r="D65" s="18">
        <f t="shared" si="0"/>
        <v>1441.71</v>
      </c>
      <c r="E65" s="14">
        <v>0</v>
      </c>
      <c r="F65" s="18">
        <f t="shared" si="4"/>
        <v>0</v>
      </c>
      <c r="G65" s="18">
        <f t="shared" si="5"/>
        <v>0</v>
      </c>
      <c r="H65" s="14">
        <v>39.6</v>
      </c>
      <c r="I65" s="18">
        <f t="shared" si="6"/>
        <v>39.6</v>
      </c>
      <c r="J65" s="18">
        <f t="shared" si="7"/>
        <v>0</v>
      </c>
      <c r="K65" s="14">
        <v>29.28</v>
      </c>
      <c r="L65" s="18">
        <f t="shared" si="8"/>
        <v>29.28</v>
      </c>
      <c r="M65" s="18">
        <f t="shared" si="9"/>
        <v>0</v>
      </c>
      <c r="N65" s="15">
        <f t="shared" si="10"/>
        <v>68.88</v>
      </c>
      <c r="O65" s="15">
        <f t="shared" si="1"/>
        <v>68.88</v>
      </c>
      <c r="P65" s="15">
        <f t="shared" si="2"/>
        <v>0</v>
      </c>
      <c r="Q65" s="5">
        <f t="shared" si="3"/>
        <v>0</v>
      </c>
    </row>
    <row r="66" spans="1:17" x14ac:dyDescent="0.25">
      <c r="A66" s="7">
        <v>46237.666666666664</v>
      </c>
      <c r="B66" s="6">
        <v>894.6</v>
      </c>
      <c r="C66" s="13">
        <v>0.12</v>
      </c>
      <c r="D66" s="18">
        <f t="shared" ref="D66:D129" si="11">+B66+C66</f>
        <v>894.72</v>
      </c>
      <c r="E66" s="14">
        <v>0</v>
      </c>
      <c r="F66" s="18">
        <f t="shared" si="4"/>
        <v>0</v>
      </c>
      <c r="G66" s="18">
        <f t="shared" si="5"/>
        <v>0</v>
      </c>
      <c r="H66" s="14">
        <v>104.04</v>
      </c>
      <c r="I66" s="18">
        <f t="shared" si="6"/>
        <v>104.04</v>
      </c>
      <c r="J66" s="18">
        <f t="shared" si="7"/>
        <v>0</v>
      </c>
      <c r="K66" s="14">
        <v>42</v>
      </c>
      <c r="L66" s="18">
        <f t="shared" si="8"/>
        <v>42</v>
      </c>
      <c r="M66" s="18">
        <f t="shared" si="9"/>
        <v>0</v>
      </c>
      <c r="N66" s="15">
        <f t="shared" si="10"/>
        <v>146.04000000000002</v>
      </c>
      <c r="O66" s="15">
        <f t="shared" ref="O66:O129" si="12">+N66-P66</f>
        <v>146.04000000000002</v>
      </c>
      <c r="P66" s="15">
        <f t="shared" ref="P66:P129" si="13">+IF(N66&gt;D66,N66-D66,0)</f>
        <v>0</v>
      </c>
      <c r="Q66" s="5">
        <f t="shared" ref="Q66:Q129" si="14">+IF(P66=0,P66,P66/N66)</f>
        <v>0</v>
      </c>
    </row>
    <row r="67" spans="1:17" x14ac:dyDescent="0.25">
      <c r="A67" s="7">
        <v>46237.708333333336</v>
      </c>
      <c r="B67" s="6">
        <v>170.1</v>
      </c>
      <c r="C67" s="13">
        <v>0</v>
      </c>
      <c r="D67" s="18">
        <f t="shared" si="11"/>
        <v>170.1</v>
      </c>
      <c r="E67" s="14">
        <v>75.599999999999994</v>
      </c>
      <c r="F67" s="18">
        <f t="shared" ref="F67:F130" si="15">+E67-G67</f>
        <v>67.313442211055275</v>
      </c>
      <c r="G67" s="18">
        <f t="shared" ref="G67:G130" si="16">+E67*Q67</f>
        <v>8.2865577889447231</v>
      </c>
      <c r="H67" s="14">
        <v>92.16</v>
      </c>
      <c r="I67" s="18">
        <f t="shared" ref="I67:I130" si="17">+H67-J67</f>
        <v>82.05829145728643</v>
      </c>
      <c r="J67" s="18">
        <f t="shared" ref="J67:J130" si="18">+H67*Q67</f>
        <v>10.101708542713567</v>
      </c>
      <c r="K67" s="14">
        <v>23.28</v>
      </c>
      <c r="L67" s="18">
        <f t="shared" ref="L67:L130" si="19">+K67-M67</f>
        <v>20.728266331658293</v>
      </c>
      <c r="M67" s="18">
        <f t="shared" ref="M67:M130" si="20">+K67*Q67</f>
        <v>2.5517336683417087</v>
      </c>
      <c r="N67" s="15">
        <f t="shared" ref="N67:N130" si="21">+E67+H67+K67</f>
        <v>191.04</v>
      </c>
      <c r="O67" s="15">
        <f t="shared" si="12"/>
        <v>170.1</v>
      </c>
      <c r="P67" s="15">
        <f t="shared" si="13"/>
        <v>20.939999999999998</v>
      </c>
      <c r="Q67" s="5">
        <f t="shared" si="14"/>
        <v>0.10961055276381909</v>
      </c>
    </row>
    <row r="68" spans="1:17" x14ac:dyDescent="0.25">
      <c r="A68" s="7">
        <v>46237.75</v>
      </c>
      <c r="B68" s="6">
        <v>25.2</v>
      </c>
      <c r="C68" s="13">
        <v>0</v>
      </c>
      <c r="D68" s="18">
        <f t="shared" si="11"/>
        <v>25.2</v>
      </c>
      <c r="E68" s="14">
        <v>173.25</v>
      </c>
      <c r="F68" s="18">
        <f t="shared" si="15"/>
        <v>15.779030684159153</v>
      </c>
      <c r="G68" s="18">
        <f t="shared" si="16"/>
        <v>157.47096931584085</v>
      </c>
      <c r="H68" s="14">
        <v>78</v>
      </c>
      <c r="I68" s="18">
        <f t="shared" si="17"/>
        <v>7.1039791824785823</v>
      </c>
      <c r="J68" s="18">
        <f t="shared" si="18"/>
        <v>70.896020817521418</v>
      </c>
      <c r="K68" s="14">
        <v>25.44</v>
      </c>
      <c r="L68" s="18">
        <f t="shared" si="19"/>
        <v>2.3169901333622462</v>
      </c>
      <c r="M68" s="18">
        <f t="shared" si="20"/>
        <v>23.123009866637755</v>
      </c>
      <c r="N68" s="15">
        <f t="shared" si="21"/>
        <v>276.69</v>
      </c>
      <c r="O68" s="15">
        <f t="shared" si="12"/>
        <v>25.199999999999989</v>
      </c>
      <c r="P68" s="15">
        <f t="shared" si="13"/>
        <v>251.49</v>
      </c>
      <c r="Q68" s="5">
        <f t="shared" si="14"/>
        <v>0.90892334381437712</v>
      </c>
    </row>
    <row r="69" spans="1:17" x14ac:dyDescent="0.25">
      <c r="A69" s="7">
        <v>46237.791666666664</v>
      </c>
      <c r="B69" s="6">
        <v>0</v>
      </c>
      <c r="C69" s="13">
        <v>0</v>
      </c>
      <c r="D69" s="18">
        <f t="shared" si="11"/>
        <v>0</v>
      </c>
      <c r="E69" s="14">
        <v>182.7</v>
      </c>
      <c r="F69" s="18">
        <f t="shared" si="15"/>
        <v>0</v>
      </c>
      <c r="G69" s="18">
        <f t="shared" si="16"/>
        <v>182.7</v>
      </c>
      <c r="H69" s="14">
        <v>73.319999999999993</v>
      </c>
      <c r="I69" s="18">
        <f t="shared" si="17"/>
        <v>0</v>
      </c>
      <c r="J69" s="18">
        <f t="shared" si="18"/>
        <v>73.319999999999993</v>
      </c>
      <c r="K69" s="14">
        <v>13.44</v>
      </c>
      <c r="L69" s="18">
        <f t="shared" si="19"/>
        <v>0</v>
      </c>
      <c r="M69" s="18">
        <f t="shared" si="20"/>
        <v>13.44</v>
      </c>
      <c r="N69" s="15">
        <f t="shared" si="21"/>
        <v>269.45999999999998</v>
      </c>
      <c r="O69" s="15">
        <f t="shared" si="12"/>
        <v>0</v>
      </c>
      <c r="P69" s="15">
        <f t="shared" si="13"/>
        <v>269.45999999999998</v>
      </c>
      <c r="Q69" s="5">
        <f t="shared" si="14"/>
        <v>1</v>
      </c>
    </row>
    <row r="70" spans="1:17" x14ac:dyDescent="0.25">
      <c r="A70" s="7">
        <v>46237.833333333336</v>
      </c>
      <c r="B70" s="6">
        <v>0</v>
      </c>
      <c r="C70" s="13">
        <v>0</v>
      </c>
      <c r="D70" s="18">
        <f t="shared" si="11"/>
        <v>0</v>
      </c>
      <c r="E70" s="14">
        <v>655.20000000000005</v>
      </c>
      <c r="F70" s="18">
        <f t="shared" si="15"/>
        <v>0</v>
      </c>
      <c r="G70" s="18">
        <f t="shared" si="16"/>
        <v>655.20000000000005</v>
      </c>
      <c r="H70" s="14">
        <v>112.08</v>
      </c>
      <c r="I70" s="18">
        <f t="shared" si="17"/>
        <v>0</v>
      </c>
      <c r="J70" s="18">
        <f t="shared" si="18"/>
        <v>112.08</v>
      </c>
      <c r="K70" s="14">
        <v>3.12</v>
      </c>
      <c r="L70" s="18">
        <f t="shared" si="19"/>
        <v>0</v>
      </c>
      <c r="M70" s="18">
        <f t="shared" si="20"/>
        <v>3.12</v>
      </c>
      <c r="N70" s="15">
        <f t="shared" si="21"/>
        <v>770.40000000000009</v>
      </c>
      <c r="O70" s="15">
        <f t="shared" si="12"/>
        <v>0</v>
      </c>
      <c r="P70" s="15">
        <f t="shared" si="13"/>
        <v>770.40000000000009</v>
      </c>
      <c r="Q70" s="5">
        <f t="shared" si="14"/>
        <v>1</v>
      </c>
    </row>
    <row r="71" spans="1:17" x14ac:dyDescent="0.25">
      <c r="A71" s="7">
        <v>46237.875</v>
      </c>
      <c r="B71" s="6">
        <v>0</v>
      </c>
      <c r="C71" s="13">
        <v>0</v>
      </c>
      <c r="D71" s="18">
        <f t="shared" si="11"/>
        <v>0</v>
      </c>
      <c r="E71" s="14">
        <v>756</v>
      </c>
      <c r="F71" s="18">
        <f t="shared" si="15"/>
        <v>0</v>
      </c>
      <c r="G71" s="18">
        <f t="shared" si="16"/>
        <v>756</v>
      </c>
      <c r="H71" s="14">
        <v>124.2</v>
      </c>
      <c r="I71" s="18">
        <f t="shared" si="17"/>
        <v>0</v>
      </c>
      <c r="J71" s="18">
        <f t="shared" si="18"/>
        <v>124.2</v>
      </c>
      <c r="K71" s="14">
        <v>1.92</v>
      </c>
      <c r="L71" s="18">
        <f t="shared" si="19"/>
        <v>0</v>
      </c>
      <c r="M71" s="18">
        <f t="shared" si="20"/>
        <v>1.92</v>
      </c>
      <c r="N71" s="15">
        <f t="shared" si="21"/>
        <v>882.12</v>
      </c>
      <c r="O71" s="15">
        <f t="shared" si="12"/>
        <v>0</v>
      </c>
      <c r="P71" s="15">
        <f t="shared" si="13"/>
        <v>882.12</v>
      </c>
      <c r="Q71" s="5">
        <f t="shared" si="14"/>
        <v>1</v>
      </c>
    </row>
    <row r="72" spans="1:17" x14ac:dyDescent="0.25">
      <c r="A72" s="7">
        <v>46237.916666666664</v>
      </c>
      <c r="B72" s="6">
        <v>0</v>
      </c>
      <c r="C72" s="13">
        <v>0</v>
      </c>
      <c r="D72" s="18">
        <f t="shared" si="11"/>
        <v>0</v>
      </c>
      <c r="E72" s="14">
        <v>869.4</v>
      </c>
      <c r="F72" s="18">
        <f t="shared" si="15"/>
        <v>0</v>
      </c>
      <c r="G72" s="18">
        <f t="shared" si="16"/>
        <v>869.4</v>
      </c>
      <c r="H72" s="14">
        <v>126.6</v>
      </c>
      <c r="I72" s="18">
        <f t="shared" si="17"/>
        <v>0</v>
      </c>
      <c r="J72" s="18">
        <f t="shared" si="18"/>
        <v>126.6</v>
      </c>
      <c r="K72" s="14">
        <v>1.8</v>
      </c>
      <c r="L72" s="18">
        <f t="shared" si="19"/>
        <v>0</v>
      </c>
      <c r="M72" s="18">
        <f t="shared" si="20"/>
        <v>1.8</v>
      </c>
      <c r="N72" s="15">
        <f t="shared" si="21"/>
        <v>997.8</v>
      </c>
      <c r="O72" s="15">
        <f t="shared" si="12"/>
        <v>0</v>
      </c>
      <c r="P72" s="15">
        <f t="shared" si="13"/>
        <v>997.8</v>
      </c>
      <c r="Q72" s="5">
        <f t="shared" si="14"/>
        <v>1</v>
      </c>
    </row>
    <row r="73" spans="1:17" x14ac:dyDescent="0.25">
      <c r="A73" s="7">
        <v>46237.958333333336</v>
      </c>
      <c r="B73" s="6">
        <v>0</v>
      </c>
      <c r="C73" s="13">
        <v>0</v>
      </c>
      <c r="D73" s="18">
        <f t="shared" si="11"/>
        <v>0</v>
      </c>
      <c r="E73" s="14">
        <v>919.8</v>
      </c>
      <c r="F73" s="18">
        <f t="shared" si="15"/>
        <v>0</v>
      </c>
      <c r="G73" s="18">
        <f t="shared" si="16"/>
        <v>919.8</v>
      </c>
      <c r="H73" s="14">
        <v>108.24</v>
      </c>
      <c r="I73" s="18">
        <f t="shared" si="17"/>
        <v>0</v>
      </c>
      <c r="J73" s="18">
        <f t="shared" si="18"/>
        <v>108.24</v>
      </c>
      <c r="K73" s="14">
        <v>1.68</v>
      </c>
      <c r="L73" s="18">
        <f t="shared" si="19"/>
        <v>0</v>
      </c>
      <c r="M73" s="18">
        <f t="shared" si="20"/>
        <v>1.68</v>
      </c>
      <c r="N73" s="15">
        <f t="shared" si="21"/>
        <v>1029.72</v>
      </c>
      <c r="O73" s="15">
        <f t="shared" si="12"/>
        <v>0</v>
      </c>
      <c r="P73" s="15">
        <f t="shared" si="13"/>
        <v>1029.72</v>
      </c>
      <c r="Q73" s="5">
        <f t="shared" si="14"/>
        <v>1</v>
      </c>
    </row>
    <row r="74" spans="1:17" x14ac:dyDescent="0.25">
      <c r="A74" s="7">
        <v>46238</v>
      </c>
      <c r="B74" s="6">
        <v>0</v>
      </c>
      <c r="C74" s="13">
        <v>0</v>
      </c>
      <c r="D74" s="18">
        <f t="shared" si="11"/>
        <v>0</v>
      </c>
      <c r="E74" s="14">
        <v>825.3</v>
      </c>
      <c r="F74" s="18">
        <f t="shared" si="15"/>
        <v>0</v>
      </c>
      <c r="G74" s="18">
        <f t="shared" si="16"/>
        <v>825.3</v>
      </c>
      <c r="H74" s="14">
        <v>104.28</v>
      </c>
      <c r="I74" s="18">
        <f t="shared" si="17"/>
        <v>0</v>
      </c>
      <c r="J74" s="18">
        <f t="shared" si="18"/>
        <v>104.28</v>
      </c>
      <c r="K74" s="14">
        <v>1.92</v>
      </c>
      <c r="L74" s="18">
        <f t="shared" si="19"/>
        <v>0</v>
      </c>
      <c r="M74" s="18">
        <f t="shared" si="20"/>
        <v>1.92</v>
      </c>
      <c r="N74" s="15">
        <f t="shared" si="21"/>
        <v>931.49999999999989</v>
      </c>
      <c r="O74" s="15">
        <f t="shared" si="12"/>
        <v>0</v>
      </c>
      <c r="P74" s="15">
        <f t="shared" si="13"/>
        <v>931.49999999999989</v>
      </c>
      <c r="Q74" s="5">
        <f t="shared" si="14"/>
        <v>1</v>
      </c>
    </row>
    <row r="75" spans="1:17" x14ac:dyDescent="0.25">
      <c r="A75" s="7">
        <v>46238.041666666664</v>
      </c>
      <c r="B75" s="6">
        <v>0</v>
      </c>
      <c r="C75" s="13">
        <v>0</v>
      </c>
      <c r="D75" s="18">
        <f t="shared" si="11"/>
        <v>0</v>
      </c>
      <c r="E75" s="14">
        <v>198.45</v>
      </c>
      <c r="F75" s="18">
        <f t="shared" si="15"/>
        <v>0</v>
      </c>
      <c r="G75" s="18">
        <f t="shared" si="16"/>
        <v>198.45</v>
      </c>
      <c r="H75" s="14">
        <v>97.44</v>
      </c>
      <c r="I75" s="18">
        <f t="shared" si="17"/>
        <v>0</v>
      </c>
      <c r="J75" s="18">
        <f t="shared" si="18"/>
        <v>97.44</v>
      </c>
      <c r="K75" s="14">
        <v>1.68</v>
      </c>
      <c r="L75" s="18">
        <f t="shared" si="19"/>
        <v>0</v>
      </c>
      <c r="M75" s="18">
        <f t="shared" si="20"/>
        <v>1.68</v>
      </c>
      <c r="N75" s="15">
        <f t="shared" si="21"/>
        <v>297.57</v>
      </c>
      <c r="O75" s="15">
        <f t="shared" si="12"/>
        <v>0</v>
      </c>
      <c r="P75" s="15">
        <f t="shared" si="13"/>
        <v>297.57</v>
      </c>
      <c r="Q75" s="5">
        <f t="shared" si="14"/>
        <v>1</v>
      </c>
    </row>
    <row r="76" spans="1:17" x14ac:dyDescent="0.25">
      <c r="A76" s="7">
        <v>46238.083333333336</v>
      </c>
      <c r="B76" s="6">
        <v>0</v>
      </c>
      <c r="C76" s="13">
        <v>0</v>
      </c>
      <c r="D76" s="18">
        <f t="shared" si="11"/>
        <v>0</v>
      </c>
      <c r="E76" s="14">
        <v>623.70000000000005</v>
      </c>
      <c r="F76" s="18">
        <f t="shared" si="15"/>
        <v>0</v>
      </c>
      <c r="G76" s="18">
        <f t="shared" si="16"/>
        <v>623.70000000000005</v>
      </c>
      <c r="H76" s="14">
        <v>107.88</v>
      </c>
      <c r="I76" s="18">
        <f t="shared" si="17"/>
        <v>0</v>
      </c>
      <c r="J76" s="18">
        <f t="shared" si="18"/>
        <v>107.88</v>
      </c>
      <c r="K76" s="14">
        <v>1.68</v>
      </c>
      <c r="L76" s="18">
        <f t="shared" si="19"/>
        <v>0</v>
      </c>
      <c r="M76" s="18">
        <f t="shared" si="20"/>
        <v>1.68</v>
      </c>
      <c r="N76" s="15">
        <f t="shared" si="21"/>
        <v>733.26</v>
      </c>
      <c r="O76" s="15">
        <f t="shared" si="12"/>
        <v>0</v>
      </c>
      <c r="P76" s="15">
        <f t="shared" si="13"/>
        <v>733.26</v>
      </c>
      <c r="Q76" s="5">
        <f t="shared" si="14"/>
        <v>1</v>
      </c>
    </row>
    <row r="77" spans="1:17" x14ac:dyDescent="0.25">
      <c r="A77" s="7">
        <v>46238.125</v>
      </c>
      <c r="B77" s="6">
        <v>0</v>
      </c>
      <c r="C77" s="13">
        <v>0</v>
      </c>
      <c r="D77" s="18">
        <f t="shared" si="11"/>
        <v>0</v>
      </c>
      <c r="E77" s="14">
        <v>900.9</v>
      </c>
      <c r="F77" s="18">
        <f t="shared" si="15"/>
        <v>0</v>
      </c>
      <c r="G77" s="18">
        <f t="shared" si="16"/>
        <v>900.9</v>
      </c>
      <c r="H77" s="14">
        <v>122.28</v>
      </c>
      <c r="I77" s="18">
        <f t="shared" si="17"/>
        <v>0</v>
      </c>
      <c r="J77" s="18">
        <f t="shared" si="18"/>
        <v>122.28</v>
      </c>
      <c r="K77" s="14">
        <v>1.8</v>
      </c>
      <c r="L77" s="18">
        <f t="shared" si="19"/>
        <v>0</v>
      </c>
      <c r="M77" s="18">
        <f t="shared" si="20"/>
        <v>1.8</v>
      </c>
      <c r="N77" s="15">
        <f t="shared" si="21"/>
        <v>1024.98</v>
      </c>
      <c r="O77" s="15">
        <f t="shared" si="12"/>
        <v>0</v>
      </c>
      <c r="P77" s="15">
        <f t="shared" si="13"/>
        <v>1024.98</v>
      </c>
      <c r="Q77" s="5">
        <f t="shared" si="14"/>
        <v>1</v>
      </c>
    </row>
    <row r="78" spans="1:17" x14ac:dyDescent="0.25">
      <c r="A78" s="7">
        <v>46238.166666666664</v>
      </c>
      <c r="B78" s="6">
        <v>0</v>
      </c>
      <c r="C78" s="13">
        <v>0</v>
      </c>
      <c r="D78" s="18">
        <f t="shared" si="11"/>
        <v>0</v>
      </c>
      <c r="E78" s="14">
        <v>888.3</v>
      </c>
      <c r="F78" s="18">
        <f t="shared" si="15"/>
        <v>0</v>
      </c>
      <c r="G78" s="18">
        <f t="shared" si="16"/>
        <v>888.3</v>
      </c>
      <c r="H78" s="14">
        <v>86.52</v>
      </c>
      <c r="I78" s="18">
        <f t="shared" si="17"/>
        <v>0</v>
      </c>
      <c r="J78" s="18">
        <f t="shared" si="18"/>
        <v>86.52</v>
      </c>
      <c r="K78" s="14">
        <v>1.8</v>
      </c>
      <c r="L78" s="18">
        <f t="shared" si="19"/>
        <v>0</v>
      </c>
      <c r="M78" s="18">
        <f t="shared" si="20"/>
        <v>1.8</v>
      </c>
      <c r="N78" s="15">
        <f t="shared" si="21"/>
        <v>976.61999999999989</v>
      </c>
      <c r="O78" s="15">
        <f t="shared" si="12"/>
        <v>0</v>
      </c>
      <c r="P78" s="15">
        <f t="shared" si="13"/>
        <v>976.61999999999989</v>
      </c>
      <c r="Q78" s="5">
        <f t="shared" si="14"/>
        <v>1</v>
      </c>
    </row>
    <row r="79" spans="1:17" x14ac:dyDescent="0.25">
      <c r="A79" s="7">
        <v>46238.208333333336</v>
      </c>
      <c r="B79" s="6">
        <v>0</v>
      </c>
      <c r="C79" s="13">
        <v>0</v>
      </c>
      <c r="D79" s="18">
        <f t="shared" si="11"/>
        <v>0</v>
      </c>
      <c r="E79" s="14">
        <v>882</v>
      </c>
      <c r="F79" s="18">
        <f t="shared" si="15"/>
        <v>0</v>
      </c>
      <c r="G79" s="18">
        <f t="shared" si="16"/>
        <v>882</v>
      </c>
      <c r="H79" s="14">
        <v>55.68</v>
      </c>
      <c r="I79" s="18">
        <f t="shared" si="17"/>
        <v>0</v>
      </c>
      <c r="J79" s="18">
        <f t="shared" si="18"/>
        <v>55.68</v>
      </c>
      <c r="K79" s="14">
        <v>2.76</v>
      </c>
      <c r="L79" s="18">
        <f t="shared" si="19"/>
        <v>0</v>
      </c>
      <c r="M79" s="18">
        <f t="shared" si="20"/>
        <v>2.76</v>
      </c>
      <c r="N79" s="15">
        <f t="shared" si="21"/>
        <v>940.43999999999994</v>
      </c>
      <c r="O79" s="15">
        <f t="shared" si="12"/>
        <v>0</v>
      </c>
      <c r="P79" s="15">
        <f t="shared" si="13"/>
        <v>940.43999999999994</v>
      </c>
      <c r="Q79" s="5">
        <f t="shared" si="14"/>
        <v>1</v>
      </c>
    </row>
    <row r="80" spans="1:17" x14ac:dyDescent="0.25">
      <c r="A80" s="7">
        <v>46238.25</v>
      </c>
      <c r="B80" s="6">
        <v>6.3</v>
      </c>
      <c r="C80" s="13">
        <v>0</v>
      </c>
      <c r="D80" s="18">
        <f t="shared" si="11"/>
        <v>6.3</v>
      </c>
      <c r="E80" s="14">
        <v>192.15</v>
      </c>
      <c r="F80" s="18">
        <f t="shared" si="15"/>
        <v>4.9687846324344491</v>
      </c>
      <c r="G80" s="18">
        <f t="shared" si="16"/>
        <v>187.18121536756556</v>
      </c>
      <c r="H80" s="14">
        <v>48.84</v>
      </c>
      <c r="I80" s="18">
        <f t="shared" si="17"/>
        <v>1.2629479128186247</v>
      </c>
      <c r="J80" s="18">
        <f t="shared" si="18"/>
        <v>47.577052087181379</v>
      </c>
      <c r="K80" s="14">
        <v>2.64</v>
      </c>
      <c r="L80" s="18">
        <f t="shared" si="19"/>
        <v>6.8267454746952616E-2</v>
      </c>
      <c r="M80" s="18">
        <f t="shared" si="20"/>
        <v>2.5717325452530475</v>
      </c>
      <c r="N80" s="15">
        <f t="shared" si="21"/>
        <v>243.63</v>
      </c>
      <c r="O80" s="15">
        <f t="shared" si="12"/>
        <v>6.3000000000000114</v>
      </c>
      <c r="P80" s="15">
        <f t="shared" si="13"/>
        <v>237.32999999999998</v>
      </c>
      <c r="Q80" s="5">
        <f t="shared" si="14"/>
        <v>0.97414111562615435</v>
      </c>
    </row>
    <row r="81" spans="1:17" x14ac:dyDescent="0.25">
      <c r="A81" s="7">
        <v>46238.291666666664</v>
      </c>
      <c r="B81" s="6">
        <v>292.95</v>
      </c>
      <c r="C81" s="13">
        <v>0.24</v>
      </c>
      <c r="D81" s="18">
        <f t="shared" si="11"/>
        <v>293.19</v>
      </c>
      <c r="E81" s="14">
        <v>0</v>
      </c>
      <c r="F81" s="18">
        <f t="shared" si="15"/>
        <v>0</v>
      </c>
      <c r="G81" s="18">
        <f t="shared" si="16"/>
        <v>0</v>
      </c>
      <c r="H81" s="14">
        <v>19.2</v>
      </c>
      <c r="I81" s="18">
        <f t="shared" si="17"/>
        <v>19.2</v>
      </c>
      <c r="J81" s="18">
        <f t="shared" si="18"/>
        <v>0</v>
      </c>
      <c r="K81" s="14">
        <v>1.92</v>
      </c>
      <c r="L81" s="18">
        <f t="shared" si="19"/>
        <v>1.92</v>
      </c>
      <c r="M81" s="18">
        <f t="shared" si="20"/>
        <v>0</v>
      </c>
      <c r="N81" s="15">
        <f t="shared" si="21"/>
        <v>21.119999999999997</v>
      </c>
      <c r="O81" s="15">
        <f t="shared" si="12"/>
        <v>21.119999999999997</v>
      </c>
      <c r="P81" s="15">
        <f t="shared" si="13"/>
        <v>0</v>
      </c>
      <c r="Q81" s="5">
        <f t="shared" si="14"/>
        <v>0</v>
      </c>
    </row>
    <row r="82" spans="1:17" x14ac:dyDescent="0.25">
      <c r="A82" s="7">
        <v>46238.333333333336</v>
      </c>
      <c r="B82" s="6">
        <v>630</v>
      </c>
      <c r="C82" s="13">
        <v>0</v>
      </c>
      <c r="D82" s="18">
        <f t="shared" si="11"/>
        <v>630</v>
      </c>
      <c r="E82" s="14">
        <v>0</v>
      </c>
      <c r="F82" s="18">
        <f t="shared" si="15"/>
        <v>0</v>
      </c>
      <c r="G82" s="18">
        <f t="shared" si="16"/>
        <v>0</v>
      </c>
      <c r="H82" s="14">
        <v>119.52</v>
      </c>
      <c r="I82" s="18">
        <f t="shared" si="17"/>
        <v>119.52</v>
      </c>
      <c r="J82" s="18">
        <f t="shared" si="18"/>
        <v>0</v>
      </c>
      <c r="K82" s="14">
        <v>4.32</v>
      </c>
      <c r="L82" s="18">
        <f t="shared" si="19"/>
        <v>4.32</v>
      </c>
      <c r="M82" s="18">
        <f t="shared" si="20"/>
        <v>0</v>
      </c>
      <c r="N82" s="15">
        <f t="shared" si="21"/>
        <v>123.84</v>
      </c>
      <c r="O82" s="15">
        <f t="shared" si="12"/>
        <v>123.84</v>
      </c>
      <c r="P82" s="15">
        <f t="shared" si="13"/>
        <v>0</v>
      </c>
      <c r="Q82" s="5">
        <f t="shared" si="14"/>
        <v>0</v>
      </c>
    </row>
    <row r="83" spans="1:17" x14ac:dyDescent="0.25">
      <c r="A83" s="7">
        <v>46238.375</v>
      </c>
      <c r="B83" s="6">
        <v>837.9</v>
      </c>
      <c r="C83" s="13">
        <v>0</v>
      </c>
      <c r="D83" s="18">
        <f t="shared" si="11"/>
        <v>837.9</v>
      </c>
      <c r="E83" s="14">
        <v>0</v>
      </c>
      <c r="F83" s="18">
        <f t="shared" si="15"/>
        <v>0</v>
      </c>
      <c r="G83" s="18">
        <f t="shared" si="16"/>
        <v>0</v>
      </c>
      <c r="H83" s="14">
        <v>108.72</v>
      </c>
      <c r="I83" s="18">
        <f t="shared" si="17"/>
        <v>108.72</v>
      </c>
      <c r="J83" s="18">
        <f t="shared" si="18"/>
        <v>0</v>
      </c>
      <c r="K83" s="14">
        <v>41.64</v>
      </c>
      <c r="L83" s="18">
        <f t="shared" si="19"/>
        <v>41.64</v>
      </c>
      <c r="M83" s="18">
        <f t="shared" si="20"/>
        <v>0</v>
      </c>
      <c r="N83" s="15">
        <f t="shared" si="21"/>
        <v>150.36000000000001</v>
      </c>
      <c r="O83" s="15">
        <f t="shared" si="12"/>
        <v>150.36000000000001</v>
      </c>
      <c r="P83" s="15">
        <f t="shared" si="13"/>
        <v>0</v>
      </c>
      <c r="Q83" s="5">
        <f t="shared" si="14"/>
        <v>0</v>
      </c>
    </row>
    <row r="84" spans="1:17" x14ac:dyDescent="0.25">
      <c r="A84" s="7">
        <v>46238.416666666664</v>
      </c>
      <c r="B84" s="6">
        <v>1392.3</v>
      </c>
      <c r="C84" s="13">
        <v>9.24</v>
      </c>
      <c r="D84" s="18">
        <f t="shared" si="11"/>
        <v>1401.54</v>
      </c>
      <c r="E84" s="14">
        <v>0</v>
      </c>
      <c r="F84" s="18">
        <f t="shared" si="15"/>
        <v>0</v>
      </c>
      <c r="G84" s="18">
        <f t="shared" si="16"/>
        <v>0</v>
      </c>
      <c r="H84" s="14">
        <v>32.28</v>
      </c>
      <c r="I84" s="18">
        <f t="shared" si="17"/>
        <v>32.28</v>
      </c>
      <c r="J84" s="18">
        <f t="shared" si="18"/>
        <v>0</v>
      </c>
      <c r="K84" s="14">
        <v>28.56</v>
      </c>
      <c r="L84" s="18">
        <f t="shared" si="19"/>
        <v>28.56</v>
      </c>
      <c r="M84" s="18">
        <f t="shared" si="20"/>
        <v>0</v>
      </c>
      <c r="N84" s="15">
        <f t="shared" si="21"/>
        <v>60.84</v>
      </c>
      <c r="O84" s="15">
        <f t="shared" si="12"/>
        <v>60.84</v>
      </c>
      <c r="P84" s="15">
        <f t="shared" si="13"/>
        <v>0</v>
      </c>
      <c r="Q84" s="5">
        <f t="shared" si="14"/>
        <v>0</v>
      </c>
    </row>
    <row r="85" spans="1:17" x14ac:dyDescent="0.25">
      <c r="A85" s="7">
        <v>46238.458333333336</v>
      </c>
      <c r="B85" s="6">
        <v>2116.8000000000002</v>
      </c>
      <c r="C85" s="13">
        <v>14.88</v>
      </c>
      <c r="D85" s="18">
        <f t="shared" si="11"/>
        <v>2131.6800000000003</v>
      </c>
      <c r="E85" s="14">
        <v>0</v>
      </c>
      <c r="F85" s="18">
        <f t="shared" si="15"/>
        <v>0</v>
      </c>
      <c r="G85" s="18">
        <f t="shared" si="16"/>
        <v>0</v>
      </c>
      <c r="H85" s="14">
        <v>19.2</v>
      </c>
      <c r="I85" s="18">
        <f t="shared" si="17"/>
        <v>19.2</v>
      </c>
      <c r="J85" s="18">
        <f t="shared" si="18"/>
        <v>0</v>
      </c>
      <c r="K85" s="14">
        <v>20.64</v>
      </c>
      <c r="L85" s="18">
        <f t="shared" si="19"/>
        <v>20.64</v>
      </c>
      <c r="M85" s="18">
        <f t="shared" si="20"/>
        <v>0</v>
      </c>
      <c r="N85" s="15">
        <f t="shared" si="21"/>
        <v>39.840000000000003</v>
      </c>
      <c r="O85" s="15">
        <f t="shared" si="12"/>
        <v>39.840000000000003</v>
      </c>
      <c r="P85" s="15">
        <f t="shared" si="13"/>
        <v>0</v>
      </c>
      <c r="Q85" s="5">
        <f t="shared" si="14"/>
        <v>0</v>
      </c>
    </row>
    <row r="86" spans="1:17" x14ac:dyDescent="0.25">
      <c r="A86" s="7">
        <v>46238.5</v>
      </c>
      <c r="B86" s="6">
        <v>2718.45</v>
      </c>
      <c r="C86" s="13">
        <v>32.4</v>
      </c>
      <c r="D86" s="18">
        <f t="shared" si="11"/>
        <v>2750.85</v>
      </c>
      <c r="E86" s="14">
        <v>0</v>
      </c>
      <c r="F86" s="18">
        <f t="shared" si="15"/>
        <v>0</v>
      </c>
      <c r="G86" s="18">
        <f t="shared" si="16"/>
        <v>0</v>
      </c>
      <c r="H86" s="14">
        <v>3.48</v>
      </c>
      <c r="I86" s="18">
        <f t="shared" si="17"/>
        <v>3.48</v>
      </c>
      <c r="J86" s="18">
        <f t="shared" si="18"/>
        <v>0</v>
      </c>
      <c r="K86" s="14">
        <v>31.08</v>
      </c>
      <c r="L86" s="18">
        <f t="shared" si="19"/>
        <v>31.08</v>
      </c>
      <c r="M86" s="18">
        <f t="shared" si="20"/>
        <v>0</v>
      </c>
      <c r="N86" s="15">
        <f t="shared" si="21"/>
        <v>34.559999999999995</v>
      </c>
      <c r="O86" s="15">
        <f t="shared" si="12"/>
        <v>34.559999999999995</v>
      </c>
      <c r="P86" s="15">
        <f t="shared" si="13"/>
        <v>0</v>
      </c>
      <c r="Q86" s="5">
        <f t="shared" si="14"/>
        <v>0</v>
      </c>
    </row>
    <row r="87" spans="1:17" x14ac:dyDescent="0.25">
      <c r="A87" s="7">
        <v>46238.541666666664</v>
      </c>
      <c r="B87" s="6">
        <v>2835</v>
      </c>
      <c r="C87" s="13">
        <v>24.84</v>
      </c>
      <c r="D87" s="18">
        <f t="shared" si="11"/>
        <v>2859.84</v>
      </c>
      <c r="E87" s="14">
        <v>0</v>
      </c>
      <c r="F87" s="18">
        <f t="shared" si="15"/>
        <v>0</v>
      </c>
      <c r="G87" s="18">
        <f t="shared" si="16"/>
        <v>0</v>
      </c>
      <c r="H87" s="14">
        <v>12</v>
      </c>
      <c r="I87" s="18">
        <f t="shared" si="17"/>
        <v>12</v>
      </c>
      <c r="J87" s="18">
        <f t="shared" si="18"/>
        <v>0</v>
      </c>
      <c r="K87" s="14">
        <v>15.72</v>
      </c>
      <c r="L87" s="18">
        <f t="shared" si="19"/>
        <v>15.72</v>
      </c>
      <c r="M87" s="18">
        <f t="shared" si="20"/>
        <v>0</v>
      </c>
      <c r="N87" s="15">
        <f t="shared" si="21"/>
        <v>27.72</v>
      </c>
      <c r="O87" s="15">
        <f t="shared" si="12"/>
        <v>27.72</v>
      </c>
      <c r="P87" s="15">
        <f t="shared" si="13"/>
        <v>0</v>
      </c>
      <c r="Q87" s="5">
        <f t="shared" si="14"/>
        <v>0</v>
      </c>
    </row>
    <row r="88" spans="1:17" x14ac:dyDescent="0.25">
      <c r="A88" s="7">
        <v>46238.583333333336</v>
      </c>
      <c r="B88" s="6">
        <v>1924.65</v>
      </c>
      <c r="C88" s="13">
        <v>4.8</v>
      </c>
      <c r="D88" s="18">
        <f t="shared" si="11"/>
        <v>1929.45</v>
      </c>
      <c r="E88" s="14">
        <v>0</v>
      </c>
      <c r="F88" s="18">
        <f t="shared" si="15"/>
        <v>0</v>
      </c>
      <c r="G88" s="18">
        <f t="shared" si="16"/>
        <v>0</v>
      </c>
      <c r="H88" s="14">
        <v>28.44</v>
      </c>
      <c r="I88" s="18">
        <f t="shared" si="17"/>
        <v>28.44</v>
      </c>
      <c r="J88" s="18">
        <f t="shared" si="18"/>
        <v>0</v>
      </c>
      <c r="K88" s="14">
        <v>13.2</v>
      </c>
      <c r="L88" s="18">
        <f t="shared" si="19"/>
        <v>13.2</v>
      </c>
      <c r="M88" s="18">
        <f t="shared" si="20"/>
        <v>0</v>
      </c>
      <c r="N88" s="15">
        <f t="shared" si="21"/>
        <v>41.64</v>
      </c>
      <c r="O88" s="15">
        <f t="shared" si="12"/>
        <v>41.64</v>
      </c>
      <c r="P88" s="15">
        <f t="shared" si="13"/>
        <v>0</v>
      </c>
      <c r="Q88" s="5">
        <f t="shared" si="14"/>
        <v>0</v>
      </c>
    </row>
    <row r="89" spans="1:17" x14ac:dyDescent="0.25">
      <c r="A89" s="7">
        <v>46238.625</v>
      </c>
      <c r="B89" s="6">
        <v>1275.75</v>
      </c>
      <c r="C89" s="13">
        <v>0.84</v>
      </c>
      <c r="D89" s="18">
        <f t="shared" si="11"/>
        <v>1276.5899999999999</v>
      </c>
      <c r="E89" s="14">
        <v>0</v>
      </c>
      <c r="F89" s="18">
        <f t="shared" si="15"/>
        <v>0</v>
      </c>
      <c r="G89" s="18">
        <f t="shared" si="16"/>
        <v>0</v>
      </c>
      <c r="H89" s="14">
        <v>51.6</v>
      </c>
      <c r="I89" s="18">
        <f t="shared" si="17"/>
        <v>51.6</v>
      </c>
      <c r="J89" s="18">
        <f t="shared" si="18"/>
        <v>0</v>
      </c>
      <c r="K89" s="14">
        <v>42.84</v>
      </c>
      <c r="L89" s="18">
        <f t="shared" si="19"/>
        <v>42.84</v>
      </c>
      <c r="M89" s="18">
        <f t="shared" si="20"/>
        <v>0</v>
      </c>
      <c r="N89" s="15">
        <f t="shared" si="21"/>
        <v>94.44</v>
      </c>
      <c r="O89" s="15">
        <f t="shared" si="12"/>
        <v>94.44</v>
      </c>
      <c r="P89" s="15">
        <f t="shared" si="13"/>
        <v>0</v>
      </c>
      <c r="Q89" s="5">
        <f t="shared" si="14"/>
        <v>0</v>
      </c>
    </row>
    <row r="90" spans="1:17" x14ac:dyDescent="0.25">
      <c r="A90" s="7">
        <v>46238.666666666664</v>
      </c>
      <c r="B90" s="6">
        <v>863.1</v>
      </c>
      <c r="C90" s="13">
        <v>0.12</v>
      </c>
      <c r="D90" s="18">
        <f t="shared" si="11"/>
        <v>863.22</v>
      </c>
      <c r="E90" s="14">
        <v>0</v>
      </c>
      <c r="F90" s="18">
        <f t="shared" si="15"/>
        <v>0</v>
      </c>
      <c r="G90" s="18">
        <f t="shared" si="16"/>
        <v>0</v>
      </c>
      <c r="H90" s="14">
        <v>75.36</v>
      </c>
      <c r="I90" s="18">
        <f t="shared" si="17"/>
        <v>75.36</v>
      </c>
      <c r="J90" s="18">
        <f t="shared" si="18"/>
        <v>0</v>
      </c>
      <c r="K90" s="14">
        <v>47.76</v>
      </c>
      <c r="L90" s="18">
        <f t="shared" si="19"/>
        <v>47.76</v>
      </c>
      <c r="M90" s="18">
        <f t="shared" si="20"/>
        <v>0</v>
      </c>
      <c r="N90" s="15">
        <f t="shared" si="21"/>
        <v>123.12</v>
      </c>
      <c r="O90" s="15">
        <f t="shared" si="12"/>
        <v>123.12</v>
      </c>
      <c r="P90" s="15">
        <f t="shared" si="13"/>
        <v>0</v>
      </c>
      <c r="Q90" s="5">
        <f t="shared" si="14"/>
        <v>0</v>
      </c>
    </row>
    <row r="91" spans="1:17" x14ac:dyDescent="0.25">
      <c r="A91" s="7">
        <v>46238.708333333336</v>
      </c>
      <c r="B91" s="6">
        <v>34.65</v>
      </c>
      <c r="C91" s="13">
        <v>0</v>
      </c>
      <c r="D91" s="18">
        <f t="shared" si="11"/>
        <v>34.65</v>
      </c>
      <c r="E91" s="14">
        <v>217.35</v>
      </c>
      <c r="F91" s="18">
        <f t="shared" si="15"/>
        <v>20.467937219730942</v>
      </c>
      <c r="G91" s="18">
        <f t="shared" si="16"/>
        <v>196.88206278026905</v>
      </c>
      <c r="H91" s="14">
        <v>100.08</v>
      </c>
      <c r="I91" s="18">
        <f t="shared" si="17"/>
        <v>9.4245739910313802</v>
      </c>
      <c r="J91" s="18">
        <f t="shared" si="18"/>
        <v>90.655426008968618</v>
      </c>
      <c r="K91" s="14">
        <v>50.52</v>
      </c>
      <c r="L91" s="18">
        <f t="shared" si="19"/>
        <v>4.7574887892376623</v>
      </c>
      <c r="M91" s="18">
        <f t="shared" si="20"/>
        <v>45.762511210762341</v>
      </c>
      <c r="N91" s="15">
        <f t="shared" si="21"/>
        <v>367.95</v>
      </c>
      <c r="O91" s="15">
        <f t="shared" si="12"/>
        <v>34.649999999999977</v>
      </c>
      <c r="P91" s="15">
        <f t="shared" si="13"/>
        <v>333.3</v>
      </c>
      <c r="Q91" s="5">
        <f t="shared" si="14"/>
        <v>0.90582959641255612</v>
      </c>
    </row>
    <row r="92" spans="1:17" x14ac:dyDescent="0.25">
      <c r="A92" s="7">
        <v>46238.75</v>
      </c>
      <c r="B92" s="6">
        <v>6.3</v>
      </c>
      <c r="C92" s="13">
        <v>0</v>
      </c>
      <c r="D92" s="18">
        <f t="shared" si="11"/>
        <v>6.3</v>
      </c>
      <c r="E92" s="14">
        <v>245.7</v>
      </c>
      <c r="F92" s="18">
        <f t="shared" si="15"/>
        <v>4.6159420289855291</v>
      </c>
      <c r="G92" s="18">
        <f t="shared" si="16"/>
        <v>241.08405797101446</v>
      </c>
      <c r="H92" s="14">
        <v>68.16</v>
      </c>
      <c r="I92" s="18">
        <f t="shared" si="17"/>
        <v>1.2805152979066037</v>
      </c>
      <c r="J92" s="18">
        <f t="shared" si="18"/>
        <v>66.879484702093393</v>
      </c>
      <c r="K92" s="14">
        <v>21.48</v>
      </c>
      <c r="L92" s="18">
        <f t="shared" si="19"/>
        <v>0.40354267310789282</v>
      </c>
      <c r="M92" s="18">
        <f t="shared" si="20"/>
        <v>21.076457326892108</v>
      </c>
      <c r="N92" s="15">
        <f t="shared" si="21"/>
        <v>335.34000000000003</v>
      </c>
      <c r="O92" s="15">
        <f t="shared" si="12"/>
        <v>6.3000000000000114</v>
      </c>
      <c r="P92" s="15">
        <f t="shared" si="13"/>
        <v>329.04</v>
      </c>
      <c r="Q92" s="5">
        <f t="shared" si="14"/>
        <v>0.98121309715512606</v>
      </c>
    </row>
    <row r="93" spans="1:17" x14ac:dyDescent="0.25">
      <c r="A93" s="7">
        <v>46238.791666666664</v>
      </c>
      <c r="B93" s="6">
        <v>0</v>
      </c>
      <c r="C93" s="13">
        <v>0</v>
      </c>
      <c r="D93" s="18">
        <f t="shared" si="11"/>
        <v>0</v>
      </c>
      <c r="E93" s="14">
        <v>103.95</v>
      </c>
      <c r="F93" s="18">
        <f t="shared" si="15"/>
        <v>0</v>
      </c>
      <c r="G93" s="18">
        <f t="shared" si="16"/>
        <v>103.95</v>
      </c>
      <c r="H93" s="14">
        <v>65.040000000000006</v>
      </c>
      <c r="I93" s="18">
        <f t="shared" si="17"/>
        <v>0</v>
      </c>
      <c r="J93" s="18">
        <f t="shared" si="18"/>
        <v>65.040000000000006</v>
      </c>
      <c r="K93" s="14">
        <v>9.24</v>
      </c>
      <c r="L93" s="18">
        <f t="shared" si="19"/>
        <v>0</v>
      </c>
      <c r="M93" s="18">
        <f t="shared" si="20"/>
        <v>9.24</v>
      </c>
      <c r="N93" s="15">
        <f t="shared" si="21"/>
        <v>178.23000000000002</v>
      </c>
      <c r="O93" s="15">
        <f t="shared" si="12"/>
        <v>0</v>
      </c>
      <c r="P93" s="15">
        <f t="shared" si="13"/>
        <v>178.23000000000002</v>
      </c>
      <c r="Q93" s="5">
        <f t="shared" si="14"/>
        <v>1</v>
      </c>
    </row>
    <row r="94" spans="1:17" x14ac:dyDescent="0.25">
      <c r="A94" s="7">
        <v>46238.833333333336</v>
      </c>
      <c r="B94" s="6">
        <v>0</v>
      </c>
      <c r="C94" s="13">
        <v>0</v>
      </c>
      <c r="D94" s="18">
        <f t="shared" si="11"/>
        <v>0</v>
      </c>
      <c r="E94" s="14">
        <v>834.75</v>
      </c>
      <c r="F94" s="18">
        <f t="shared" si="15"/>
        <v>0</v>
      </c>
      <c r="G94" s="18">
        <f t="shared" si="16"/>
        <v>834.75</v>
      </c>
      <c r="H94" s="14">
        <v>124.56</v>
      </c>
      <c r="I94" s="18">
        <f t="shared" si="17"/>
        <v>0</v>
      </c>
      <c r="J94" s="18">
        <f t="shared" si="18"/>
        <v>124.56</v>
      </c>
      <c r="K94" s="14">
        <v>1.56</v>
      </c>
      <c r="L94" s="18">
        <f t="shared" si="19"/>
        <v>0</v>
      </c>
      <c r="M94" s="18">
        <f t="shared" si="20"/>
        <v>1.56</v>
      </c>
      <c r="N94" s="15">
        <f t="shared" si="21"/>
        <v>960.86999999999989</v>
      </c>
      <c r="O94" s="15">
        <f t="shared" si="12"/>
        <v>0</v>
      </c>
      <c r="P94" s="15">
        <f t="shared" si="13"/>
        <v>960.86999999999989</v>
      </c>
      <c r="Q94" s="5">
        <f t="shared" si="14"/>
        <v>1</v>
      </c>
    </row>
    <row r="95" spans="1:17" x14ac:dyDescent="0.25">
      <c r="A95" s="7">
        <v>46238.875</v>
      </c>
      <c r="B95" s="6">
        <v>0</v>
      </c>
      <c r="C95" s="13">
        <v>0</v>
      </c>
      <c r="D95" s="18">
        <f t="shared" si="11"/>
        <v>0</v>
      </c>
      <c r="E95" s="14">
        <v>1121.4000000000001</v>
      </c>
      <c r="F95" s="18">
        <f t="shared" si="15"/>
        <v>0</v>
      </c>
      <c r="G95" s="18">
        <f t="shared" si="16"/>
        <v>1121.4000000000001</v>
      </c>
      <c r="H95" s="14">
        <v>114</v>
      </c>
      <c r="I95" s="18">
        <f t="shared" si="17"/>
        <v>0</v>
      </c>
      <c r="J95" s="18">
        <f t="shared" si="18"/>
        <v>114</v>
      </c>
      <c r="K95" s="14">
        <v>1.68</v>
      </c>
      <c r="L95" s="18">
        <f t="shared" si="19"/>
        <v>0</v>
      </c>
      <c r="M95" s="18">
        <f t="shared" si="20"/>
        <v>1.68</v>
      </c>
      <c r="N95" s="15">
        <f t="shared" si="21"/>
        <v>1237.0800000000002</v>
      </c>
      <c r="O95" s="15">
        <f t="shared" si="12"/>
        <v>0</v>
      </c>
      <c r="P95" s="15">
        <f t="shared" si="13"/>
        <v>1237.0800000000002</v>
      </c>
      <c r="Q95" s="5">
        <f t="shared" si="14"/>
        <v>1</v>
      </c>
    </row>
    <row r="96" spans="1:17" x14ac:dyDescent="0.25">
      <c r="A96" s="7">
        <v>46238.916666666664</v>
      </c>
      <c r="B96" s="6">
        <v>0</v>
      </c>
      <c r="C96" s="13">
        <v>0</v>
      </c>
      <c r="D96" s="18">
        <f t="shared" si="11"/>
        <v>0</v>
      </c>
      <c r="E96" s="14">
        <v>784.35</v>
      </c>
      <c r="F96" s="18">
        <f t="shared" si="15"/>
        <v>0</v>
      </c>
      <c r="G96" s="18">
        <f t="shared" si="16"/>
        <v>784.35</v>
      </c>
      <c r="H96" s="14">
        <v>102.72</v>
      </c>
      <c r="I96" s="18">
        <f t="shared" si="17"/>
        <v>0</v>
      </c>
      <c r="J96" s="18">
        <f t="shared" si="18"/>
        <v>102.72</v>
      </c>
      <c r="K96" s="14">
        <v>1.92</v>
      </c>
      <c r="L96" s="18">
        <f t="shared" si="19"/>
        <v>0</v>
      </c>
      <c r="M96" s="18">
        <f t="shared" si="20"/>
        <v>1.92</v>
      </c>
      <c r="N96" s="15">
        <f t="shared" si="21"/>
        <v>888.99</v>
      </c>
      <c r="O96" s="15">
        <f t="shared" si="12"/>
        <v>0</v>
      </c>
      <c r="P96" s="15">
        <f t="shared" si="13"/>
        <v>888.99</v>
      </c>
      <c r="Q96" s="5">
        <f t="shared" si="14"/>
        <v>1</v>
      </c>
    </row>
    <row r="97" spans="1:17" x14ac:dyDescent="0.25">
      <c r="A97" s="7">
        <v>46238.958333333336</v>
      </c>
      <c r="B97" s="6">
        <v>0</v>
      </c>
      <c r="C97" s="13">
        <v>0</v>
      </c>
      <c r="D97" s="18">
        <f t="shared" si="11"/>
        <v>0</v>
      </c>
      <c r="E97" s="14">
        <v>677.25</v>
      </c>
      <c r="F97" s="18">
        <f t="shared" si="15"/>
        <v>0</v>
      </c>
      <c r="G97" s="18">
        <f t="shared" si="16"/>
        <v>677.25</v>
      </c>
      <c r="H97" s="14">
        <v>102.96</v>
      </c>
      <c r="I97" s="18">
        <f t="shared" si="17"/>
        <v>0</v>
      </c>
      <c r="J97" s="18">
        <f t="shared" si="18"/>
        <v>102.96</v>
      </c>
      <c r="K97" s="14">
        <v>1.68</v>
      </c>
      <c r="L97" s="18">
        <f t="shared" si="19"/>
        <v>0</v>
      </c>
      <c r="M97" s="18">
        <f t="shared" si="20"/>
        <v>1.68</v>
      </c>
      <c r="N97" s="15">
        <f t="shared" si="21"/>
        <v>781.89</v>
      </c>
      <c r="O97" s="15">
        <f t="shared" si="12"/>
        <v>0</v>
      </c>
      <c r="P97" s="15">
        <f t="shared" si="13"/>
        <v>781.89</v>
      </c>
      <c r="Q97" s="5">
        <f t="shared" si="14"/>
        <v>1</v>
      </c>
    </row>
    <row r="98" spans="1:17" x14ac:dyDescent="0.25">
      <c r="A98" s="7">
        <v>46239</v>
      </c>
      <c r="B98" s="6">
        <v>0</v>
      </c>
      <c r="C98" s="13">
        <v>0</v>
      </c>
      <c r="D98" s="18">
        <f t="shared" si="11"/>
        <v>0</v>
      </c>
      <c r="E98" s="14">
        <v>1083.5999999999999</v>
      </c>
      <c r="F98" s="18">
        <f t="shared" si="15"/>
        <v>0</v>
      </c>
      <c r="G98" s="18">
        <f t="shared" si="16"/>
        <v>1083.5999999999999</v>
      </c>
      <c r="H98" s="14">
        <v>106.44</v>
      </c>
      <c r="I98" s="18">
        <f t="shared" si="17"/>
        <v>0</v>
      </c>
      <c r="J98" s="18">
        <f t="shared" si="18"/>
        <v>106.44</v>
      </c>
      <c r="K98" s="14">
        <v>1.8</v>
      </c>
      <c r="L98" s="18">
        <f t="shared" si="19"/>
        <v>0</v>
      </c>
      <c r="M98" s="18">
        <f t="shared" si="20"/>
        <v>1.8</v>
      </c>
      <c r="N98" s="15">
        <f t="shared" si="21"/>
        <v>1191.8399999999999</v>
      </c>
      <c r="O98" s="15">
        <f t="shared" si="12"/>
        <v>0</v>
      </c>
      <c r="P98" s="15">
        <f t="shared" si="13"/>
        <v>1191.8399999999999</v>
      </c>
      <c r="Q98" s="5">
        <f t="shared" si="14"/>
        <v>1</v>
      </c>
    </row>
    <row r="99" spans="1:17" x14ac:dyDescent="0.25">
      <c r="A99" s="7">
        <v>46239.041666666664</v>
      </c>
      <c r="B99" s="6">
        <v>0</v>
      </c>
      <c r="C99" s="13">
        <v>0</v>
      </c>
      <c r="D99" s="18">
        <f t="shared" si="11"/>
        <v>0</v>
      </c>
      <c r="E99" s="14">
        <v>305.55</v>
      </c>
      <c r="F99" s="18">
        <f t="shared" si="15"/>
        <v>0</v>
      </c>
      <c r="G99" s="18">
        <f t="shared" si="16"/>
        <v>305.55</v>
      </c>
      <c r="H99" s="14">
        <v>87.96</v>
      </c>
      <c r="I99" s="18">
        <f t="shared" si="17"/>
        <v>0</v>
      </c>
      <c r="J99" s="18">
        <f t="shared" si="18"/>
        <v>87.96</v>
      </c>
      <c r="K99" s="14">
        <v>1.8</v>
      </c>
      <c r="L99" s="18">
        <f t="shared" si="19"/>
        <v>0</v>
      </c>
      <c r="M99" s="18">
        <f t="shared" si="20"/>
        <v>1.8</v>
      </c>
      <c r="N99" s="15">
        <f t="shared" si="21"/>
        <v>395.31</v>
      </c>
      <c r="O99" s="15">
        <f t="shared" si="12"/>
        <v>0</v>
      </c>
      <c r="P99" s="15">
        <f t="shared" si="13"/>
        <v>395.31</v>
      </c>
      <c r="Q99" s="5">
        <f t="shared" si="14"/>
        <v>1</v>
      </c>
    </row>
    <row r="100" spans="1:17" x14ac:dyDescent="0.25">
      <c r="A100" s="7">
        <v>46239.083333333336</v>
      </c>
      <c r="B100" s="6">
        <v>0</v>
      </c>
      <c r="C100" s="13">
        <v>0</v>
      </c>
      <c r="D100" s="18">
        <f t="shared" si="11"/>
        <v>0</v>
      </c>
      <c r="E100" s="14">
        <v>667.8</v>
      </c>
      <c r="F100" s="18">
        <f t="shared" si="15"/>
        <v>0</v>
      </c>
      <c r="G100" s="18">
        <f t="shared" si="16"/>
        <v>667.8</v>
      </c>
      <c r="H100" s="14">
        <v>70.8</v>
      </c>
      <c r="I100" s="18">
        <f t="shared" si="17"/>
        <v>0</v>
      </c>
      <c r="J100" s="18">
        <f t="shared" si="18"/>
        <v>70.8</v>
      </c>
      <c r="K100" s="14">
        <v>1.8</v>
      </c>
      <c r="L100" s="18">
        <f t="shared" si="19"/>
        <v>0</v>
      </c>
      <c r="M100" s="18">
        <f t="shared" si="20"/>
        <v>1.8</v>
      </c>
      <c r="N100" s="15">
        <f t="shared" si="21"/>
        <v>740.39999999999986</v>
      </c>
      <c r="O100" s="15">
        <f t="shared" si="12"/>
        <v>0</v>
      </c>
      <c r="P100" s="15">
        <f t="shared" si="13"/>
        <v>740.39999999999986</v>
      </c>
      <c r="Q100" s="5">
        <f t="shared" si="14"/>
        <v>1</v>
      </c>
    </row>
    <row r="101" spans="1:17" x14ac:dyDescent="0.25">
      <c r="A101" s="7">
        <v>46239.125</v>
      </c>
      <c r="B101" s="6">
        <v>0</v>
      </c>
      <c r="C101" s="13">
        <v>0</v>
      </c>
      <c r="D101" s="18">
        <f t="shared" si="11"/>
        <v>0</v>
      </c>
      <c r="E101" s="14">
        <v>1014.3</v>
      </c>
      <c r="F101" s="18">
        <f t="shared" si="15"/>
        <v>0</v>
      </c>
      <c r="G101" s="18">
        <f t="shared" si="16"/>
        <v>1014.3</v>
      </c>
      <c r="H101" s="14">
        <v>60</v>
      </c>
      <c r="I101" s="18">
        <f t="shared" si="17"/>
        <v>0</v>
      </c>
      <c r="J101" s="18">
        <f t="shared" si="18"/>
        <v>60</v>
      </c>
      <c r="K101" s="14">
        <v>1.68</v>
      </c>
      <c r="L101" s="18">
        <f t="shared" si="19"/>
        <v>0</v>
      </c>
      <c r="M101" s="18">
        <f t="shared" si="20"/>
        <v>1.68</v>
      </c>
      <c r="N101" s="15">
        <f t="shared" si="21"/>
        <v>1075.98</v>
      </c>
      <c r="O101" s="15">
        <f t="shared" si="12"/>
        <v>0</v>
      </c>
      <c r="P101" s="15">
        <f t="shared" si="13"/>
        <v>1075.98</v>
      </c>
      <c r="Q101" s="5">
        <f t="shared" si="14"/>
        <v>1</v>
      </c>
    </row>
    <row r="102" spans="1:17" x14ac:dyDescent="0.25">
      <c r="A102" s="7">
        <v>46239.166666666664</v>
      </c>
      <c r="B102" s="6">
        <v>0</v>
      </c>
      <c r="C102" s="13">
        <v>0</v>
      </c>
      <c r="D102" s="18">
        <f t="shared" si="11"/>
        <v>0</v>
      </c>
      <c r="E102" s="14">
        <v>825.3</v>
      </c>
      <c r="F102" s="18">
        <f t="shared" si="15"/>
        <v>0</v>
      </c>
      <c r="G102" s="18">
        <f t="shared" si="16"/>
        <v>825.3</v>
      </c>
      <c r="H102" s="14">
        <v>39</v>
      </c>
      <c r="I102" s="18">
        <f t="shared" si="17"/>
        <v>0</v>
      </c>
      <c r="J102" s="18">
        <f t="shared" si="18"/>
        <v>39</v>
      </c>
      <c r="K102" s="14">
        <v>1.8</v>
      </c>
      <c r="L102" s="18">
        <f t="shared" si="19"/>
        <v>0</v>
      </c>
      <c r="M102" s="18">
        <f t="shared" si="20"/>
        <v>1.8</v>
      </c>
      <c r="N102" s="15">
        <f t="shared" si="21"/>
        <v>866.09999999999991</v>
      </c>
      <c r="O102" s="15">
        <f t="shared" si="12"/>
        <v>0</v>
      </c>
      <c r="P102" s="15">
        <f t="shared" si="13"/>
        <v>866.09999999999991</v>
      </c>
      <c r="Q102" s="5">
        <f t="shared" si="14"/>
        <v>1</v>
      </c>
    </row>
    <row r="103" spans="1:17" x14ac:dyDescent="0.25">
      <c r="A103" s="7">
        <v>46239.208333333336</v>
      </c>
      <c r="B103" s="6">
        <v>0</v>
      </c>
      <c r="C103" s="13">
        <v>0</v>
      </c>
      <c r="D103" s="18">
        <f t="shared" si="11"/>
        <v>0</v>
      </c>
      <c r="E103" s="14">
        <v>1108.8</v>
      </c>
      <c r="F103" s="18">
        <f t="shared" si="15"/>
        <v>0</v>
      </c>
      <c r="G103" s="18">
        <f t="shared" si="16"/>
        <v>1108.8</v>
      </c>
      <c r="H103" s="14">
        <v>46.2</v>
      </c>
      <c r="I103" s="18">
        <f t="shared" si="17"/>
        <v>0</v>
      </c>
      <c r="J103" s="18">
        <f t="shared" si="18"/>
        <v>46.2</v>
      </c>
      <c r="K103" s="14">
        <v>3</v>
      </c>
      <c r="L103" s="18">
        <f t="shared" si="19"/>
        <v>0</v>
      </c>
      <c r="M103" s="18">
        <f t="shared" si="20"/>
        <v>3</v>
      </c>
      <c r="N103" s="15">
        <f t="shared" si="21"/>
        <v>1158</v>
      </c>
      <c r="O103" s="15">
        <f t="shared" si="12"/>
        <v>0</v>
      </c>
      <c r="P103" s="15">
        <f t="shared" si="13"/>
        <v>1158</v>
      </c>
      <c r="Q103" s="5">
        <f t="shared" si="14"/>
        <v>1</v>
      </c>
    </row>
    <row r="104" spans="1:17" x14ac:dyDescent="0.25">
      <c r="A104" s="7">
        <v>46239.25</v>
      </c>
      <c r="B104" s="6">
        <v>0</v>
      </c>
      <c r="C104" s="13">
        <v>0</v>
      </c>
      <c r="D104" s="18">
        <f t="shared" si="11"/>
        <v>0</v>
      </c>
      <c r="E104" s="14">
        <v>274.05</v>
      </c>
      <c r="F104" s="18">
        <f t="shared" si="15"/>
        <v>0</v>
      </c>
      <c r="G104" s="18">
        <f t="shared" si="16"/>
        <v>274.05</v>
      </c>
      <c r="H104" s="14">
        <v>55.68</v>
      </c>
      <c r="I104" s="18">
        <f t="shared" si="17"/>
        <v>0</v>
      </c>
      <c r="J104" s="18">
        <f t="shared" si="18"/>
        <v>55.68</v>
      </c>
      <c r="K104" s="14">
        <v>2.64</v>
      </c>
      <c r="L104" s="18">
        <f t="shared" si="19"/>
        <v>0</v>
      </c>
      <c r="M104" s="18">
        <f t="shared" si="20"/>
        <v>2.64</v>
      </c>
      <c r="N104" s="15">
        <f t="shared" si="21"/>
        <v>332.37</v>
      </c>
      <c r="O104" s="15">
        <f t="shared" si="12"/>
        <v>0</v>
      </c>
      <c r="P104" s="15">
        <f t="shared" si="13"/>
        <v>332.37</v>
      </c>
      <c r="Q104" s="5">
        <f t="shared" si="14"/>
        <v>1</v>
      </c>
    </row>
    <row r="105" spans="1:17" x14ac:dyDescent="0.25">
      <c r="A105" s="7">
        <v>46239.291666666664</v>
      </c>
      <c r="B105" s="6">
        <v>214.2</v>
      </c>
      <c r="C105" s="13">
        <v>1.56</v>
      </c>
      <c r="D105" s="18">
        <f t="shared" si="11"/>
        <v>215.76</v>
      </c>
      <c r="E105" s="14">
        <v>9.4499999999999993</v>
      </c>
      <c r="F105" s="18">
        <f t="shared" si="15"/>
        <v>9.4499999999999993</v>
      </c>
      <c r="G105" s="18">
        <f t="shared" si="16"/>
        <v>0</v>
      </c>
      <c r="H105" s="14">
        <v>13.2</v>
      </c>
      <c r="I105" s="18">
        <f t="shared" si="17"/>
        <v>13.2</v>
      </c>
      <c r="J105" s="18">
        <f t="shared" si="18"/>
        <v>0</v>
      </c>
      <c r="K105" s="14">
        <v>2.2799999999999998</v>
      </c>
      <c r="L105" s="18">
        <f t="shared" si="19"/>
        <v>2.2799999999999998</v>
      </c>
      <c r="M105" s="18">
        <f t="shared" si="20"/>
        <v>0</v>
      </c>
      <c r="N105" s="15">
        <f t="shared" si="21"/>
        <v>24.93</v>
      </c>
      <c r="O105" s="15">
        <f t="shared" si="12"/>
        <v>24.93</v>
      </c>
      <c r="P105" s="15">
        <f t="shared" si="13"/>
        <v>0</v>
      </c>
      <c r="Q105" s="5">
        <f t="shared" si="14"/>
        <v>0</v>
      </c>
    </row>
    <row r="106" spans="1:17" x14ac:dyDescent="0.25">
      <c r="A106" s="7">
        <v>46239.333333333336</v>
      </c>
      <c r="B106" s="6">
        <v>677.25</v>
      </c>
      <c r="C106" s="13">
        <v>0</v>
      </c>
      <c r="D106" s="18">
        <f t="shared" si="11"/>
        <v>677.25</v>
      </c>
      <c r="E106" s="14">
        <v>0</v>
      </c>
      <c r="F106" s="18">
        <f t="shared" si="15"/>
        <v>0</v>
      </c>
      <c r="G106" s="18">
        <f t="shared" si="16"/>
        <v>0</v>
      </c>
      <c r="H106" s="14">
        <v>117</v>
      </c>
      <c r="I106" s="18">
        <f t="shared" si="17"/>
        <v>117</v>
      </c>
      <c r="J106" s="18">
        <f t="shared" si="18"/>
        <v>0</v>
      </c>
      <c r="K106" s="14">
        <v>1.32</v>
      </c>
      <c r="L106" s="18">
        <f t="shared" si="19"/>
        <v>1.32</v>
      </c>
      <c r="M106" s="18">
        <f t="shared" si="20"/>
        <v>0</v>
      </c>
      <c r="N106" s="15">
        <f t="shared" si="21"/>
        <v>118.32</v>
      </c>
      <c r="O106" s="15">
        <f t="shared" si="12"/>
        <v>118.32</v>
      </c>
      <c r="P106" s="15">
        <f t="shared" si="13"/>
        <v>0</v>
      </c>
      <c r="Q106" s="5">
        <f t="shared" si="14"/>
        <v>0</v>
      </c>
    </row>
    <row r="107" spans="1:17" x14ac:dyDescent="0.25">
      <c r="A107" s="7">
        <v>46239.375</v>
      </c>
      <c r="B107" s="6">
        <v>1310.4000000000001</v>
      </c>
      <c r="C107" s="13">
        <v>0.12</v>
      </c>
      <c r="D107" s="18">
        <f t="shared" si="11"/>
        <v>1310.52</v>
      </c>
      <c r="E107" s="14">
        <v>0</v>
      </c>
      <c r="F107" s="18">
        <f t="shared" si="15"/>
        <v>0</v>
      </c>
      <c r="G107" s="18">
        <f t="shared" si="16"/>
        <v>0</v>
      </c>
      <c r="H107" s="14">
        <v>74.28</v>
      </c>
      <c r="I107" s="18">
        <f t="shared" si="17"/>
        <v>74.28</v>
      </c>
      <c r="J107" s="18">
        <f t="shared" si="18"/>
        <v>0</v>
      </c>
      <c r="K107" s="14">
        <v>29.52</v>
      </c>
      <c r="L107" s="18">
        <f t="shared" si="19"/>
        <v>29.52</v>
      </c>
      <c r="M107" s="18">
        <f t="shared" si="20"/>
        <v>0</v>
      </c>
      <c r="N107" s="15">
        <f t="shared" si="21"/>
        <v>103.8</v>
      </c>
      <c r="O107" s="15">
        <f t="shared" si="12"/>
        <v>103.8</v>
      </c>
      <c r="P107" s="15">
        <f t="shared" si="13"/>
        <v>0</v>
      </c>
      <c r="Q107" s="5">
        <f t="shared" si="14"/>
        <v>0</v>
      </c>
    </row>
    <row r="108" spans="1:17" x14ac:dyDescent="0.25">
      <c r="A108" s="7">
        <v>46239.416666666664</v>
      </c>
      <c r="B108" s="6">
        <v>1890</v>
      </c>
      <c r="C108" s="13">
        <v>0.36</v>
      </c>
      <c r="D108" s="18">
        <f t="shared" si="11"/>
        <v>1890.36</v>
      </c>
      <c r="E108" s="14">
        <v>0</v>
      </c>
      <c r="F108" s="18">
        <f t="shared" si="15"/>
        <v>0</v>
      </c>
      <c r="G108" s="18">
        <f t="shared" si="16"/>
        <v>0</v>
      </c>
      <c r="H108" s="14">
        <v>41.04</v>
      </c>
      <c r="I108" s="18">
        <f t="shared" si="17"/>
        <v>41.04</v>
      </c>
      <c r="J108" s="18">
        <f t="shared" si="18"/>
        <v>0</v>
      </c>
      <c r="K108" s="14">
        <v>45</v>
      </c>
      <c r="L108" s="18">
        <f t="shared" si="19"/>
        <v>45</v>
      </c>
      <c r="M108" s="18">
        <f t="shared" si="20"/>
        <v>0</v>
      </c>
      <c r="N108" s="15">
        <f t="shared" si="21"/>
        <v>86.039999999999992</v>
      </c>
      <c r="O108" s="15">
        <f t="shared" si="12"/>
        <v>86.039999999999992</v>
      </c>
      <c r="P108" s="15">
        <f t="shared" si="13"/>
        <v>0</v>
      </c>
      <c r="Q108" s="5">
        <f t="shared" si="14"/>
        <v>0</v>
      </c>
    </row>
    <row r="109" spans="1:17" x14ac:dyDescent="0.25">
      <c r="A109" s="7">
        <v>46239.458333333336</v>
      </c>
      <c r="B109" s="6">
        <v>2261.6999999999998</v>
      </c>
      <c r="C109" s="13">
        <v>4.92</v>
      </c>
      <c r="D109" s="18">
        <f t="shared" si="11"/>
        <v>2266.62</v>
      </c>
      <c r="E109" s="14">
        <v>0</v>
      </c>
      <c r="F109" s="18">
        <f t="shared" si="15"/>
        <v>0</v>
      </c>
      <c r="G109" s="18">
        <f t="shared" si="16"/>
        <v>0</v>
      </c>
      <c r="H109" s="14">
        <v>17.16</v>
      </c>
      <c r="I109" s="18">
        <f t="shared" si="17"/>
        <v>17.16</v>
      </c>
      <c r="J109" s="18">
        <f t="shared" si="18"/>
        <v>0</v>
      </c>
      <c r="K109" s="14">
        <v>63.48</v>
      </c>
      <c r="L109" s="18">
        <f t="shared" si="19"/>
        <v>63.48</v>
      </c>
      <c r="M109" s="18">
        <f t="shared" si="20"/>
        <v>0</v>
      </c>
      <c r="N109" s="15">
        <f t="shared" si="21"/>
        <v>80.64</v>
      </c>
      <c r="O109" s="15">
        <f t="shared" si="12"/>
        <v>80.64</v>
      </c>
      <c r="P109" s="15">
        <f t="shared" si="13"/>
        <v>0</v>
      </c>
      <c r="Q109" s="5">
        <f t="shared" si="14"/>
        <v>0</v>
      </c>
    </row>
    <row r="110" spans="1:17" x14ac:dyDescent="0.25">
      <c r="A110" s="7">
        <v>46239.5</v>
      </c>
      <c r="B110" s="6">
        <v>2513.6999999999998</v>
      </c>
      <c r="C110" s="13">
        <v>22.92</v>
      </c>
      <c r="D110" s="18">
        <f t="shared" si="11"/>
        <v>2536.62</v>
      </c>
      <c r="E110" s="14">
        <v>0</v>
      </c>
      <c r="F110" s="18">
        <f t="shared" si="15"/>
        <v>0</v>
      </c>
      <c r="G110" s="18">
        <f t="shared" si="16"/>
        <v>0</v>
      </c>
      <c r="H110" s="14">
        <v>13.56</v>
      </c>
      <c r="I110" s="18">
        <f t="shared" si="17"/>
        <v>13.56</v>
      </c>
      <c r="J110" s="18">
        <f t="shared" si="18"/>
        <v>0</v>
      </c>
      <c r="K110" s="14">
        <v>24.96</v>
      </c>
      <c r="L110" s="18">
        <f t="shared" si="19"/>
        <v>24.96</v>
      </c>
      <c r="M110" s="18">
        <f t="shared" si="20"/>
        <v>0</v>
      </c>
      <c r="N110" s="15">
        <f t="shared" si="21"/>
        <v>38.520000000000003</v>
      </c>
      <c r="O110" s="15">
        <f t="shared" si="12"/>
        <v>38.520000000000003</v>
      </c>
      <c r="P110" s="15">
        <f t="shared" si="13"/>
        <v>0</v>
      </c>
      <c r="Q110" s="5">
        <f t="shared" si="14"/>
        <v>0</v>
      </c>
    </row>
    <row r="111" spans="1:17" x14ac:dyDescent="0.25">
      <c r="A111" s="7">
        <v>46239.541666666664</v>
      </c>
      <c r="B111" s="6">
        <v>2718.45</v>
      </c>
      <c r="C111" s="13">
        <v>13.2</v>
      </c>
      <c r="D111" s="18">
        <f t="shared" si="11"/>
        <v>2731.6499999999996</v>
      </c>
      <c r="E111" s="14">
        <v>0</v>
      </c>
      <c r="F111" s="18">
        <f t="shared" si="15"/>
        <v>0</v>
      </c>
      <c r="G111" s="18">
        <f t="shared" si="16"/>
        <v>0</v>
      </c>
      <c r="H111" s="14">
        <v>18.12</v>
      </c>
      <c r="I111" s="18">
        <f t="shared" si="17"/>
        <v>18.12</v>
      </c>
      <c r="J111" s="18">
        <f t="shared" si="18"/>
        <v>0</v>
      </c>
      <c r="K111" s="14">
        <v>40.68</v>
      </c>
      <c r="L111" s="18">
        <f t="shared" si="19"/>
        <v>40.68</v>
      </c>
      <c r="M111" s="18">
        <f t="shared" si="20"/>
        <v>0</v>
      </c>
      <c r="N111" s="15">
        <f t="shared" si="21"/>
        <v>58.8</v>
      </c>
      <c r="O111" s="15">
        <f t="shared" si="12"/>
        <v>58.8</v>
      </c>
      <c r="P111" s="15">
        <f t="shared" si="13"/>
        <v>0</v>
      </c>
      <c r="Q111" s="5">
        <f t="shared" si="14"/>
        <v>0</v>
      </c>
    </row>
    <row r="112" spans="1:17" x14ac:dyDescent="0.25">
      <c r="A112" s="7">
        <v>46239.583333333336</v>
      </c>
      <c r="B112" s="6">
        <v>2132.5500000000002</v>
      </c>
      <c r="C112" s="13">
        <v>23.28</v>
      </c>
      <c r="D112" s="18">
        <f t="shared" si="11"/>
        <v>2155.8300000000004</v>
      </c>
      <c r="E112" s="14">
        <v>0</v>
      </c>
      <c r="F112" s="18">
        <f t="shared" si="15"/>
        <v>0</v>
      </c>
      <c r="G112" s="18">
        <f t="shared" si="16"/>
        <v>0</v>
      </c>
      <c r="H112" s="14">
        <v>13.44</v>
      </c>
      <c r="I112" s="18">
        <f t="shared" si="17"/>
        <v>13.44</v>
      </c>
      <c r="J112" s="18">
        <f t="shared" si="18"/>
        <v>0</v>
      </c>
      <c r="K112" s="14">
        <v>59.4</v>
      </c>
      <c r="L112" s="18">
        <f t="shared" si="19"/>
        <v>59.4</v>
      </c>
      <c r="M112" s="18">
        <f t="shared" si="20"/>
        <v>0</v>
      </c>
      <c r="N112" s="15">
        <f t="shared" si="21"/>
        <v>72.84</v>
      </c>
      <c r="O112" s="15">
        <f t="shared" si="12"/>
        <v>72.84</v>
      </c>
      <c r="P112" s="15">
        <f t="shared" si="13"/>
        <v>0</v>
      </c>
      <c r="Q112" s="5">
        <f t="shared" si="14"/>
        <v>0</v>
      </c>
    </row>
    <row r="113" spans="1:17" x14ac:dyDescent="0.25">
      <c r="A113" s="7">
        <v>46239.625</v>
      </c>
      <c r="B113" s="6">
        <v>1713.6</v>
      </c>
      <c r="C113" s="13">
        <v>18.239999999999998</v>
      </c>
      <c r="D113" s="18">
        <f t="shared" si="11"/>
        <v>1731.84</v>
      </c>
      <c r="E113" s="14">
        <v>0</v>
      </c>
      <c r="F113" s="18">
        <f t="shared" si="15"/>
        <v>0</v>
      </c>
      <c r="G113" s="18">
        <f t="shared" si="16"/>
        <v>0</v>
      </c>
      <c r="H113" s="14">
        <v>18.96</v>
      </c>
      <c r="I113" s="18">
        <f t="shared" si="17"/>
        <v>18.96</v>
      </c>
      <c r="J113" s="18">
        <f t="shared" si="18"/>
        <v>0</v>
      </c>
      <c r="K113" s="14">
        <v>69.72</v>
      </c>
      <c r="L113" s="18">
        <f t="shared" si="19"/>
        <v>69.72</v>
      </c>
      <c r="M113" s="18">
        <f t="shared" si="20"/>
        <v>0</v>
      </c>
      <c r="N113" s="15">
        <f t="shared" si="21"/>
        <v>88.68</v>
      </c>
      <c r="O113" s="15">
        <f t="shared" si="12"/>
        <v>88.68</v>
      </c>
      <c r="P113" s="15">
        <f t="shared" si="13"/>
        <v>0</v>
      </c>
      <c r="Q113" s="5">
        <f t="shared" si="14"/>
        <v>0</v>
      </c>
    </row>
    <row r="114" spans="1:17" x14ac:dyDescent="0.25">
      <c r="A114" s="7">
        <v>46239.666666666664</v>
      </c>
      <c r="B114" s="6">
        <v>1115.0999999999999</v>
      </c>
      <c r="C114" s="13">
        <v>9.1199999999999992</v>
      </c>
      <c r="D114" s="18">
        <f t="shared" si="11"/>
        <v>1124.2199999999998</v>
      </c>
      <c r="E114" s="14">
        <v>0</v>
      </c>
      <c r="F114" s="18">
        <f t="shared" si="15"/>
        <v>0</v>
      </c>
      <c r="G114" s="18">
        <f t="shared" si="16"/>
        <v>0</v>
      </c>
      <c r="H114" s="14">
        <v>23.28</v>
      </c>
      <c r="I114" s="18">
        <f t="shared" si="17"/>
        <v>23.28</v>
      </c>
      <c r="J114" s="18">
        <f t="shared" si="18"/>
        <v>0</v>
      </c>
      <c r="K114" s="14">
        <v>37.68</v>
      </c>
      <c r="L114" s="18">
        <f t="shared" si="19"/>
        <v>37.68</v>
      </c>
      <c r="M114" s="18">
        <f t="shared" si="20"/>
        <v>0</v>
      </c>
      <c r="N114" s="15">
        <f t="shared" si="21"/>
        <v>60.96</v>
      </c>
      <c r="O114" s="15">
        <f t="shared" si="12"/>
        <v>60.96</v>
      </c>
      <c r="P114" s="15">
        <f t="shared" si="13"/>
        <v>0</v>
      </c>
      <c r="Q114" s="5">
        <f t="shared" si="14"/>
        <v>0</v>
      </c>
    </row>
    <row r="115" spans="1:17" x14ac:dyDescent="0.25">
      <c r="A115" s="7">
        <v>46239.708333333336</v>
      </c>
      <c r="B115" s="6">
        <v>355.95</v>
      </c>
      <c r="C115" s="13">
        <v>0</v>
      </c>
      <c r="D115" s="18">
        <f t="shared" si="11"/>
        <v>355.95</v>
      </c>
      <c r="E115" s="14">
        <v>12.6</v>
      </c>
      <c r="F115" s="18">
        <f t="shared" si="15"/>
        <v>12.6</v>
      </c>
      <c r="G115" s="18">
        <f t="shared" si="16"/>
        <v>0</v>
      </c>
      <c r="H115" s="14">
        <v>53.88</v>
      </c>
      <c r="I115" s="18">
        <f t="shared" si="17"/>
        <v>53.88</v>
      </c>
      <c r="J115" s="18">
        <f t="shared" si="18"/>
        <v>0</v>
      </c>
      <c r="K115" s="14">
        <v>27.24</v>
      </c>
      <c r="L115" s="18">
        <f t="shared" si="19"/>
        <v>27.24</v>
      </c>
      <c r="M115" s="18">
        <f t="shared" si="20"/>
        <v>0</v>
      </c>
      <c r="N115" s="15">
        <f t="shared" si="21"/>
        <v>93.72</v>
      </c>
      <c r="O115" s="15">
        <f t="shared" si="12"/>
        <v>93.72</v>
      </c>
      <c r="P115" s="15">
        <f t="shared" si="13"/>
        <v>0</v>
      </c>
      <c r="Q115" s="5">
        <f t="shared" si="14"/>
        <v>0</v>
      </c>
    </row>
    <row r="116" spans="1:17" x14ac:dyDescent="0.25">
      <c r="A116" s="7">
        <v>46239.75</v>
      </c>
      <c r="B116" s="6">
        <v>0</v>
      </c>
      <c r="C116" s="13">
        <v>0</v>
      </c>
      <c r="D116" s="18">
        <f t="shared" si="11"/>
        <v>0</v>
      </c>
      <c r="E116" s="14">
        <v>226.8</v>
      </c>
      <c r="F116" s="18">
        <f t="shared" si="15"/>
        <v>0</v>
      </c>
      <c r="G116" s="18">
        <f t="shared" si="16"/>
        <v>226.8</v>
      </c>
      <c r="H116" s="14">
        <v>63.36</v>
      </c>
      <c r="I116" s="18">
        <f t="shared" si="17"/>
        <v>0</v>
      </c>
      <c r="J116" s="18">
        <f t="shared" si="18"/>
        <v>63.36</v>
      </c>
      <c r="K116" s="14">
        <v>19.559999999999999</v>
      </c>
      <c r="L116" s="18">
        <f t="shared" si="19"/>
        <v>0</v>
      </c>
      <c r="M116" s="18">
        <f t="shared" si="20"/>
        <v>19.559999999999999</v>
      </c>
      <c r="N116" s="15">
        <f t="shared" si="21"/>
        <v>309.72000000000003</v>
      </c>
      <c r="O116" s="15">
        <f t="shared" si="12"/>
        <v>0</v>
      </c>
      <c r="P116" s="15">
        <f t="shared" si="13"/>
        <v>309.72000000000003</v>
      </c>
      <c r="Q116" s="5">
        <f t="shared" si="14"/>
        <v>1</v>
      </c>
    </row>
    <row r="117" spans="1:17" x14ac:dyDescent="0.25">
      <c r="A117" s="7">
        <v>46239.791666666664</v>
      </c>
      <c r="B117" s="6">
        <v>0</v>
      </c>
      <c r="C117" s="13">
        <v>0</v>
      </c>
      <c r="D117" s="18">
        <f t="shared" si="11"/>
        <v>0</v>
      </c>
      <c r="E117" s="14">
        <v>214.2</v>
      </c>
      <c r="F117" s="18">
        <f t="shared" si="15"/>
        <v>0</v>
      </c>
      <c r="G117" s="18">
        <f t="shared" si="16"/>
        <v>214.2</v>
      </c>
      <c r="H117" s="14">
        <v>75.959999999999994</v>
      </c>
      <c r="I117" s="18">
        <f t="shared" si="17"/>
        <v>0</v>
      </c>
      <c r="J117" s="18">
        <f t="shared" si="18"/>
        <v>75.959999999999994</v>
      </c>
      <c r="K117" s="14">
        <v>13.44</v>
      </c>
      <c r="L117" s="18">
        <f t="shared" si="19"/>
        <v>0</v>
      </c>
      <c r="M117" s="18">
        <f t="shared" si="20"/>
        <v>13.44</v>
      </c>
      <c r="N117" s="15">
        <f t="shared" si="21"/>
        <v>303.59999999999997</v>
      </c>
      <c r="O117" s="15">
        <f t="shared" si="12"/>
        <v>0</v>
      </c>
      <c r="P117" s="15">
        <f t="shared" si="13"/>
        <v>303.59999999999997</v>
      </c>
      <c r="Q117" s="5">
        <f t="shared" si="14"/>
        <v>1</v>
      </c>
    </row>
    <row r="118" spans="1:17" x14ac:dyDescent="0.25">
      <c r="A118" s="7">
        <v>46239.833333333336</v>
      </c>
      <c r="B118" s="6">
        <v>0</v>
      </c>
      <c r="C118" s="13">
        <v>0</v>
      </c>
      <c r="D118" s="18">
        <f t="shared" si="11"/>
        <v>0</v>
      </c>
      <c r="E118" s="14">
        <v>822.15</v>
      </c>
      <c r="F118" s="18">
        <f t="shared" si="15"/>
        <v>0</v>
      </c>
      <c r="G118" s="18">
        <f t="shared" si="16"/>
        <v>822.15</v>
      </c>
      <c r="H118" s="14">
        <v>115.92</v>
      </c>
      <c r="I118" s="18">
        <f t="shared" si="17"/>
        <v>0</v>
      </c>
      <c r="J118" s="18">
        <f t="shared" si="18"/>
        <v>115.92</v>
      </c>
      <c r="K118" s="14">
        <v>2.2799999999999998</v>
      </c>
      <c r="L118" s="18">
        <f t="shared" si="19"/>
        <v>0</v>
      </c>
      <c r="M118" s="18">
        <f t="shared" si="20"/>
        <v>2.2799999999999998</v>
      </c>
      <c r="N118" s="15">
        <f t="shared" si="21"/>
        <v>940.34999999999991</v>
      </c>
      <c r="O118" s="15">
        <f t="shared" si="12"/>
        <v>0</v>
      </c>
      <c r="P118" s="15">
        <f t="shared" si="13"/>
        <v>940.34999999999991</v>
      </c>
      <c r="Q118" s="5">
        <f t="shared" si="14"/>
        <v>1</v>
      </c>
    </row>
    <row r="119" spans="1:17" x14ac:dyDescent="0.25">
      <c r="A119" s="7">
        <v>46239.875</v>
      </c>
      <c r="B119" s="6">
        <v>0</v>
      </c>
      <c r="C119" s="13">
        <v>0</v>
      </c>
      <c r="D119" s="18">
        <f t="shared" si="11"/>
        <v>0</v>
      </c>
      <c r="E119" s="14">
        <v>1026.9000000000001</v>
      </c>
      <c r="F119" s="18">
        <f t="shared" si="15"/>
        <v>0</v>
      </c>
      <c r="G119" s="18">
        <f t="shared" si="16"/>
        <v>1026.9000000000001</v>
      </c>
      <c r="H119" s="14">
        <v>108.48</v>
      </c>
      <c r="I119" s="18">
        <f t="shared" si="17"/>
        <v>0</v>
      </c>
      <c r="J119" s="18">
        <f t="shared" si="18"/>
        <v>108.48</v>
      </c>
      <c r="K119" s="14">
        <v>2.2799999999999998</v>
      </c>
      <c r="L119" s="18">
        <f t="shared" si="19"/>
        <v>0</v>
      </c>
      <c r="M119" s="18">
        <f t="shared" si="20"/>
        <v>2.2799999999999998</v>
      </c>
      <c r="N119" s="15">
        <f t="shared" si="21"/>
        <v>1137.6600000000001</v>
      </c>
      <c r="O119" s="15">
        <f t="shared" si="12"/>
        <v>0</v>
      </c>
      <c r="P119" s="15">
        <f t="shared" si="13"/>
        <v>1137.6600000000001</v>
      </c>
      <c r="Q119" s="5">
        <f t="shared" si="14"/>
        <v>1</v>
      </c>
    </row>
    <row r="120" spans="1:17" x14ac:dyDescent="0.25">
      <c r="A120" s="7">
        <v>46239.916666666664</v>
      </c>
      <c r="B120" s="6">
        <v>0</v>
      </c>
      <c r="C120" s="13">
        <v>0</v>
      </c>
      <c r="D120" s="18">
        <f t="shared" si="11"/>
        <v>0</v>
      </c>
      <c r="E120" s="14">
        <v>1071</v>
      </c>
      <c r="F120" s="18">
        <f t="shared" si="15"/>
        <v>0</v>
      </c>
      <c r="G120" s="18">
        <f t="shared" si="16"/>
        <v>1071</v>
      </c>
      <c r="H120" s="14">
        <v>110.88</v>
      </c>
      <c r="I120" s="18">
        <f t="shared" si="17"/>
        <v>0</v>
      </c>
      <c r="J120" s="18">
        <f t="shared" si="18"/>
        <v>110.88</v>
      </c>
      <c r="K120" s="14">
        <v>2.04</v>
      </c>
      <c r="L120" s="18">
        <f t="shared" si="19"/>
        <v>0</v>
      </c>
      <c r="M120" s="18">
        <f t="shared" si="20"/>
        <v>2.04</v>
      </c>
      <c r="N120" s="15">
        <f t="shared" si="21"/>
        <v>1183.92</v>
      </c>
      <c r="O120" s="15">
        <f t="shared" si="12"/>
        <v>0</v>
      </c>
      <c r="P120" s="15">
        <f t="shared" si="13"/>
        <v>1183.92</v>
      </c>
      <c r="Q120" s="5">
        <f t="shared" si="14"/>
        <v>1</v>
      </c>
    </row>
    <row r="121" spans="1:17" x14ac:dyDescent="0.25">
      <c r="A121" s="7">
        <v>46239.958333333336</v>
      </c>
      <c r="B121" s="6">
        <v>0</v>
      </c>
      <c r="C121" s="13">
        <v>0</v>
      </c>
      <c r="D121" s="18">
        <f t="shared" si="11"/>
        <v>0</v>
      </c>
      <c r="E121" s="14">
        <v>661.5</v>
      </c>
      <c r="F121" s="18">
        <f t="shared" si="15"/>
        <v>0</v>
      </c>
      <c r="G121" s="18">
        <f t="shared" si="16"/>
        <v>661.5</v>
      </c>
      <c r="H121" s="14">
        <v>103.8</v>
      </c>
      <c r="I121" s="18">
        <f t="shared" si="17"/>
        <v>0</v>
      </c>
      <c r="J121" s="18">
        <f t="shared" si="18"/>
        <v>103.8</v>
      </c>
      <c r="K121" s="14">
        <v>2.2799999999999998</v>
      </c>
      <c r="L121" s="18">
        <f t="shared" si="19"/>
        <v>0</v>
      </c>
      <c r="M121" s="18">
        <f t="shared" si="20"/>
        <v>2.2799999999999998</v>
      </c>
      <c r="N121" s="15">
        <f t="shared" si="21"/>
        <v>767.57999999999993</v>
      </c>
      <c r="O121" s="15">
        <f t="shared" si="12"/>
        <v>0</v>
      </c>
      <c r="P121" s="15">
        <f t="shared" si="13"/>
        <v>767.57999999999993</v>
      </c>
      <c r="Q121" s="5">
        <f t="shared" si="14"/>
        <v>1</v>
      </c>
    </row>
    <row r="122" spans="1:17" x14ac:dyDescent="0.25">
      <c r="A122" s="7">
        <v>46240</v>
      </c>
      <c r="B122" s="6">
        <v>0</v>
      </c>
      <c r="C122" s="13">
        <v>0</v>
      </c>
      <c r="D122" s="18">
        <f t="shared" si="11"/>
        <v>0</v>
      </c>
      <c r="E122" s="14">
        <v>1052.0999999999999</v>
      </c>
      <c r="F122" s="18">
        <f t="shared" si="15"/>
        <v>0</v>
      </c>
      <c r="G122" s="18">
        <f t="shared" si="16"/>
        <v>1052.0999999999999</v>
      </c>
      <c r="H122" s="14">
        <v>101.52</v>
      </c>
      <c r="I122" s="18">
        <f t="shared" si="17"/>
        <v>0</v>
      </c>
      <c r="J122" s="18">
        <f t="shared" si="18"/>
        <v>101.52</v>
      </c>
      <c r="K122" s="14">
        <v>2.16</v>
      </c>
      <c r="L122" s="18">
        <f t="shared" si="19"/>
        <v>0</v>
      </c>
      <c r="M122" s="18">
        <f t="shared" si="20"/>
        <v>2.16</v>
      </c>
      <c r="N122" s="15">
        <f t="shared" si="21"/>
        <v>1155.78</v>
      </c>
      <c r="O122" s="15">
        <f t="shared" si="12"/>
        <v>0</v>
      </c>
      <c r="P122" s="15">
        <f t="shared" si="13"/>
        <v>1155.78</v>
      </c>
      <c r="Q122" s="5">
        <f t="shared" si="14"/>
        <v>1</v>
      </c>
    </row>
    <row r="123" spans="1:17" x14ac:dyDescent="0.25">
      <c r="A123" s="7">
        <v>46240.041666666664</v>
      </c>
      <c r="B123" s="6">
        <v>0</v>
      </c>
      <c r="C123" s="13">
        <v>0</v>
      </c>
      <c r="D123" s="18">
        <f t="shared" si="11"/>
        <v>0</v>
      </c>
      <c r="E123" s="14">
        <v>318.14999999999998</v>
      </c>
      <c r="F123" s="18">
        <f t="shared" si="15"/>
        <v>0</v>
      </c>
      <c r="G123" s="18">
        <f t="shared" si="16"/>
        <v>318.14999999999998</v>
      </c>
      <c r="H123" s="14">
        <v>98.76</v>
      </c>
      <c r="I123" s="18">
        <f t="shared" si="17"/>
        <v>0</v>
      </c>
      <c r="J123" s="18">
        <f t="shared" si="18"/>
        <v>98.76</v>
      </c>
      <c r="K123" s="14">
        <v>1.92</v>
      </c>
      <c r="L123" s="18">
        <f t="shared" si="19"/>
        <v>0</v>
      </c>
      <c r="M123" s="18">
        <f t="shared" si="20"/>
        <v>1.92</v>
      </c>
      <c r="N123" s="15">
        <f t="shared" si="21"/>
        <v>418.83</v>
      </c>
      <c r="O123" s="15">
        <f t="shared" si="12"/>
        <v>0</v>
      </c>
      <c r="P123" s="15">
        <f t="shared" si="13"/>
        <v>418.83</v>
      </c>
      <c r="Q123" s="5">
        <f t="shared" si="14"/>
        <v>1</v>
      </c>
    </row>
    <row r="124" spans="1:17" x14ac:dyDescent="0.25">
      <c r="A124" s="7">
        <v>46240.083333333336</v>
      </c>
      <c r="B124" s="6">
        <v>0</v>
      </c>
      <c r="C124" s="13">
        <v>0</v>
      </c>
      <c r="D124" s="18">
        <f t="shared" si="11"/>
        <v>0</v>
      </c>
      <c r="E124" s="14">
        <v>611.1</v>
      </c>
      <c r="F124" s="18">
        <f t="shared" si="15"/>
        <v>0</v>
      </c>
      <c r="G124" s="18">
        <f t="shared" si="16"/>
        <v>611.1</v>
      </c>
      <c r="H124" s="14">
        <v>108.96</v>
      </c>
      <c r="I124" s="18">
        <f t="shared" si="17"/>
        <v>0</v>
      </c>
      <c r="J124" s="18">
        <f t="shared" si="18"/>
        <v>108.96</v>
      </c>
      <c r="K124" s="14">
        <v>2.16</v>
      </c>
      <c r="L124" s="18">
        <f t="shared" si="19"/>
        <v>0</v>
      </c>
      <c r="M124" s="18">
        <f t="shared" si="20"/>
        <v>2.16</v>
      </c>
      <c r="N124" s="15">
        <f t="shared" si="21"/>
        <v>722.22</v>
      </c>
      <c r="O124" s="15">
        <f t="shared" si="12"/>
        <v>0</v>
      </c>
      <c r="P124" s="15">
        <f t="shared" si="13"/>
        <v>722.22</v>
      </c>
      <c r="Q124" s="5">
        <f t="shared" si="14"/>
        <v>1</v>
      </c>
    </row>
    <row r="125" spans="1:17" x14ac:dyDescent="0.25">
      <c r="A125" s="7">
        <v>46240.125</v>
      </c>
      <c r="B125" s="6">
        <v>0</v>
      </c>
      <c r="C125" s="13">
        <v>0</v>
      </c>
      <c r="D125" s="18">
        <f t="shared" si="11"/>
        <v>0</v>
      </c>
      <c r="E125" s="14">
        <v>737.1</v>
      </c>
      <c r="F125" s="18">
        <f t="shared" si="15"/>
        <v>0</v>
      </c>
      <c r="G125" s="18">
        <f t="shared" si="16"/>
        <v>737.1</v>
      </c>
      <c r="H125" s="14">
        <v>131.52000000000001</v>
      </c>
      <c r="I125" s="18">
        <f t="shared" si="17"/>
        <v>0</v>
      </c>
      <c r="J125" s="18">
        <f t="shared" si="18"/>
        <v>131.52000000000001</v>
      </c>
      <c r="K125" s="14">
        <v>3.24</v>
      </c>
      <c r="L125" s="18">
        <f t="shared" si="19"/>
        <v>0</v>
      </c>
      <c r="M125" s="18">
        <f t="shared" si="20"/>
        <v>3.24</v>
      </c>
      <c r="N125" s="15">
        <f t="shared" si="21"/>
        <v>871.86</v>
      </c>
      <c r="O125" s="15">
        <f t="shared" si="12"/>
        <v>0</v>
      </c>
      <c r="P125" s="15">
        <f t="shared" si="13"/>
        <v>871.86</v>
      </c>
      <c r="Q125" s="5">
        <f t="shared" si="14"/>
        <v>1</v>
      </c>
    </row>
    <row r="126" spans="1:17" x14ac:dyDescent="0.25">
      <c r="A126" s="7">
        <v>46240.166666666664</v>
      </c>
      <c r="B126" s="6">
        <v>0</v>
      </c>
      <c r="C126" s="13">
        <v>0</v>
      </c>
      <c r="D126" s="18">
        <f t="shared" si="11"/>
        <v>0</v>
      </c>
      <c r="E126" s="14">
        <v>1071</v>
      </c>
      <c r="F126" s="18">
        <f t="shared" si="15"/>
        <v>0</v>
      </c>
      <c r="G126" s="18">
        <f t="shared" si="16"/>
        <v>1071</v>
      </c>
      <c r="H126" s="14">
        <v>111.36</v>
      </c>
      <c r="I126" s="18">
        <f t="shared" si="17"/>
        <v>0</v>
      </c>
      <c r="J126" s="18">
        <f t="shared" si="18"/>
        <v>111.36</v>
      </c>
      <c r="K126" s="14">
        <v>1.92</v>
      </c>
      <c r="L126" s="18">
        <f t="shared" si="19"/>
        <v>0</v>
      </c>
      <c r="M126" s="18">
        <f t="shared" si="20"/>
        <v>1.92</v>
      </c>
      <c r="N126" s="15">
        <f t="shared" si="21"/>
        <v>1184.28</v>
      </c>
      <c r="O126" s="15">
        <f t="shared" si="12"/>
        <v>0</v>
      </c>
      <c r="P126" s="15">
        <f t="shared" si="13"/>
        <v>1184.28</v>
      </c>
      <c r="Q126" s="5">
        <f t="shared" si="14"/>
        <v>1</v>
      </c>
    </row>
    <row r="127" spans="1:17" x14ac:dyDescent="0.25">
      <c r="A127" s="7">
        <v>46240.208333333336</v>
      </c>
      <c r="B127" s="6">
        <v>0</v>
      </c>
      <c r="C127" s="13">
        <v>0</v>
      </c>
      <c r="D127" s="18">
        <f t="shared" si="11"/>
        <v>0</v>
      </c>
      <c r="E127" s="14">
        <v>1096.2</v>
      </c>
      <c r="F127" s="18">
        <f t="shared" si="15"/>
        <v>0</v>
      </c>
      <c r="G127" s="18">
        <f t="shared" si="16"/>
        <v>1096.2</v>
      </c>
      <c r="H127" s="14">
        <v>73.92</v>
      </c>
      <c r="I127" s="18">
        <f t="shared" si="17"/>
        <v>0</v>
      </c>
      <c r="J127" s="18">
        <f t="shared" si="18"/>
        <v>73.92</v>
      </c>
      <c r="K127" s="14">
        <v>2.16</v>
      </c>
      <c r="L127" s="18">
        <f t="shared" si="19"/>
        <v>0</v>
      </c>
      <c r="M127" s="18">
        <f t="shared" si="20"/>
        <v>2.16</v>
      </c>
      <c r="N127" s="15">
        <f t="shared" si="21"/>
        <v>1172.2800000000002</v>
      </c>
      <c r="O127" s="15">
        <f t="shared" si="12"/>
        <v>0</v>
      </c>
      <c r="P127" s="15">
        <f t="shared" si="13"/>
        <v>1172.2800000000002</v>
      </c>
      <c r="Q127" s="5">
        <f t="shared" si="14"/>
        <v>1</v>
      </c>
    </row>
    <row r="128" spans="1:17" x14ac:dyDescent="0.25">
      <c r="A128" s="7">
        <v>46240.25</v>
      </c>
      <c r="B128" s="6">
        <v>0</v>
      </c>
      <c r="C128" s="13">
        <v>0</v>
      </c>
      <c r="D128" s="18">
        <f t="shared" si="11"/>
        <v>0</v>
      </c>
      <c r="E128" s="14">
        <v>374.85</v>
      </c>
      <c r="F128" s="18">
        <f t="shared" si="15"/>
        <v>0</v>
      </c>
      <c r="G128" s="18">
        <f t="shared" si="16"/>
        <v>374.85</v>
      </c>
      <c r="H128" s="14">
        <v>64.44</v>
      </c>
      <c r="I128" s="18">
        <f t="shared" si="17"/>
        <v>0</v>
      </c>
      <c r="J128" s="18">
        <f t="shared" si="18"/>
        <v>64.44</v>
      </c>
      <c r="K128" s="14">
        <v>10.08</v>
      </c>
      <c r="L128" s="18">
        <f t="shared" si="19"/>
        <v>0</v>
      </c>
      <c r="M128" s="18">
        <f t="shared" si="20"/>
        <v>10.08</v>
      </c>
      <c r="N128" s="15">
        <f t="shared" si="21"/>
        <v>449.37</v>
      </c>
      <c r="O128" s="15">
        <f t="shared" si="12"/>
        <v>0</v>
      </c>
      <c r="P128" s="15">
        <f t="shared" si="13"/>
        <v>449.37</v>
      </c>
      <c r="Q128" s="5">
        <f t="shared" si="14"/>
        <v>1</v>
      </c>
    </row>
    <row r="129" spans="1:17" x14ac:dyDescent="0.25">
      <c r="A129" s="7">
        <v>46240.291666666664</v>
      </c>
      <c r="B129" s="6">
        <v>192.15</v>
      </c>
      <c r="C129" s="13">
        <v>0.12</v>
      </c>
      <c r="D129" s="18">
        <f t="shared" si="11"/>
        <v>192.27</v>
      </c>
      <c r="E129" s="14">
        <v>9.4499999999999993</v>
      </c>
      <c r="F129" s="18">
        <f t="shared" si="15"/>
        <v>9.4499999999999993</v>
      </c>
      <c r="G129" s="18">
        <f t="shared" si="16"/>
        <v>0</v>
      </c>
      <c r="H129" s="14">
        <v>30.48</v>
      </c>
      <c r="I129" s="18">
        <f t="shared" si="17"/>
        <v>30.48</v>
      </c>
      <c r="J129" s="18">
        <f t="shared" si="18"/>
        <v>0</v>
      </c>
      <c r="K129" s="14">
        <v>2.64</v>
      </c>
      <c r="L129" s="18">
        <f t="shared" si="19"/>
        <v>2.64</v>
      </c>
      <c r="M129" s="18">
        <f t="shared" si="20"/>
        <v>0</v>
      </c>
      <c r="N129" s="15">
        <f t="shared" si="21"/>
        <v>42.57</v>
      </c>
      <c r="O129" s="15">
        <f t="shared" si="12"/>
        <v>42.57</v>
      </c>
      <c r="P129" s="15">
        <f t="shared" si="13"/>
        <v>0</v>
      </c>
      <c r="Q129" s="5">
        <f t="shared" si="14"/>
        <v>0</v>
      </c>
    </row>
    <row r="130" spans="1:17" x14ac:dyDescent="0.25">
      <c r="A130" s="7">
        <v>46240.333333333336</v>
      </c>
      <c r="B130" s="6">
        <v>976.5</v>
      </c>
      <c r="C130" s="13">
        <v>1.2</v>
      </c>
      <c r="D130" s="18">
        <f t="shared" ref="D130:D193" si="22">+B130+C130</f>
        <v>977.7</v>
      </c>
      <c r="E130" s="14">
        <v>0</v>
      </c>
      <c r="F130" s="18">
        <f t="shared" si="15"/>
        <v>0</v>
      </c>
      <c r="G130" s="18">
        <f t="shared" si="16"/>
        <v>0</v>
      </c>
      <c r="H130" s="14">
        <v>28.56</v>
      </c>
      <c r="I130" s="18">
        <f t="shared" si="17"/>
        <v>28.56</v>
      </c>
      <c r="J130" s="18">
        <f t="shared" si="18"/>
        <v>0</v>
      </c>
      <c r="K130" s="14">
        <v>9.6</v>
      </c>
      <c r="L130" s="18">
        <f t="shared" si="19"/>
        <v>9.6</v>
      </c>
      <c r="M130" s="18">
        <f t="shared" si="20"/>
        <v>0</v>
      </c>
      <c r="N130" s="15">
        <f t="shared" si="21"/>
        <v>38.159999999999997</v>
      </c>
      <c r="O130" s="15">
        <f t="shared" ref="O130:O193" si="23">+N130-P130</f>
        <v>38.159999999999997</v>
      </c>
      <c r="P130" s="15">
        <f t="shared" ref="P130:P193" si="24">+IF(N130&gt;D130,N130-D130,0)</f>
        <v>0</v>
      </c>
      <c r="Q130" s="5">
        <f t="shared" ref="Q130:Q193" si="25">+IF(P130=0,P130,P130/N130)</f>
        <v>0</v>
      </c>
    </row>
    <row r="131" spans="1:17" x14ac:dyDescent="0.25">
      <c r="A131" s="7">
        <v>46240.375</v>
      </c>
      <c r="B131" s="6">
        <v>1748.25</v>
      </c>
      <c r="C131" s="13">
        <v>47.76</v>
      </c>
      <c r="D131" s="18">
        <f t="shared" si="22"/>
        <v>1796.01</v>
      </c>
      <c r="E131" s="14">
        <v>0</v>
      </c>
      <c r="F131" s="18">
        <f t="shared" ref="F131:F194" si="26">+E131-G131</f>
        <v>0</v>
      </c>
      <c r="G131" s="18">
        <f t="shared" ref="G131:G194" si="27">+E131*Q131</f>
        <v>0</v>
      </c>
      <c r="H131" s="14">
        <v>0.48</v>
      </c>
      <c r="I131" s="18">
        <f t="shared" ref="I131:I194" si="28">+H131-J131</f>
        <v>0.48</v>
      </c>
      <c r="J131" s="18">
        <f t="shared" ref="J131:J194" si="29">+H131*Q131</f>
        <v>0</v>
      </c>
      <c r="K131" s="14">
        <v>22.92</v>
      </c>
      <c r="L131" s="18">
        <f t="shared" ref="L131:L194" si="30">+K131-M131</f>
        <v>22.92</v>
      </c>
      <c r="M131" s="18">
        <f t="shared" ref="M131:M194" si="31">+K131*Q131</f>
        <v>0</v>
      </c>
      <c r="N131" s="15">
        <f t="shared" ref="N131:N194" si="32">+E131+H131+K131</f>
        <v>23.400000000000002</v>
      </c>
      <c r="O131" s="15">
        <f t="shared" si="23"/>
        <v>23.400000000000002</v>
      </c>
      <c r="P131" s="15">
        <f t="shared" si="24"/>
        <v>0</v>
      </c>
      <c r="Q131" s="5">
        <f t="shared" si="25"/>
        <v>0</v>
      </c>
    </row>
    <row r="132" spans="1:17" x14ac:dyDescent="0.25">
      <c r="A132" s="7">
        <v>46240.416666666664</v>
      </c>
      <c r="B132" s="6">
        <v>2346.75</v>
      </c>
      <c r="C132" s="13">
        <v>73.680000000000007</v>
      </c>
      <c r="D132" s="18">
        <f t="shared" si="22"/>
        <v>2420.4299999999998</v>
      </c>
      <c r="E132" s="14">
        <v>0</v>
      </c>
      <c r="F132" s="18">
        <f t="shared" si="26"/>
        <v>0</v>
      </c>
      <c r="G132" s="18">
        <f t="shared" si="27"/>
        <v>0</v>
      </c>
      <c r="H132" s="14">
        <v>0.72</v>
      </c>
      <c r="I132" s="18">
        <f t="shared" si="28"/>
        <v>0.72</v>
      </c>
      <c r="J132" s="18">
        <f t="shared" si="29"/>
        <v>0</v>
      </c>
      <c r="K132" s="14">
        <v>45.24</v>
      </c>
      <c r="L132" s="18">
        <f t="shared" si="30"/>
        <v>45.24</v>
      </c>
      <c r="M132" s="18">
        <f t="shared" si="31"/>
        <v>0</v>
      </c>
      <c r="N132" s="15">
        <f t="shared" si="32"/>
        <v>45.96</v>
      </c>
      <c r="O132" s="15">
        <f t="shared" si="23"/>
        <v>45.96</v>
      </c>
      <c r="P132" s="15">
        <f t="shared" si="24"/>
        <v>0</v>
      </c>
      <c r="Q132" s="5">
        <f t="shared" si="25"/>
        <v>0</v>
      </c>
    </row>
    <row r="133" spans="1:17" x14ac:dyDescent="0.25">
      <c r="A133" s="7">
        <v>46240.458333333336</v>
      </c>
      <c r="B133" s="6">
        <v>2605.0500000000002</v>
      </c>
      <c r="C133" s="13">
        <v>106.92</v>
      </c>
      <c r="D133" s="18">
        <f t="shared" si="22"/>
        <v>2711.9700000000003</v>
      </c>
      <c r="E133" s="14">
        <v>0</v>
      </c>
      <c r="F133" s="18">
        <f t="shared" si="26"/>
        <v>0</v>
      </c>
      <c r="G133" s="18">
        <f t="shared" si="27"/>
        <v>0</v>
      </c>
      <c r="H133" s="14">
        <v>0</v>
      </c>
      <c r="I133" s="18">
        <f t="shared" si="28"/>
        <v>0</v>
      </c>
      <c r="J133" s="18">
        <f t="shared" si="29"/>
        <v>0</v>
      </c>
      <c r="K133" s="14">
        <v>30.84</v>
      </c>
      <c r="L133" s="18">
        <f t="shared" si="30"/>
        <v>30.84</v>
      </c>
      <c r="M133" s="18">
        <f t="shared" si="31"/>
        <v>0</v>
      </c>
      <c r="N133" s="15">
        <f t="shared" si="32"/>
        <v>30.84</v>
      </c>
      <c r="O133" s="15">
        <f t="shared" si="23"/>
        <v>30.84</v>
      </c>
      <c r="P133" s="15">
        <f t="shared" si="24"/>
        <v>0</v>
      </c>
      <c r="Q133" s="5">
        <f t="shared" si="25"/>
        <v>0</v>
      </c>
    </row>
    <row r="134" spans="1:17" x14ac:dyDescent="0.25">
      <c r="A134" s="7">
        <v>46240.5</v>
      </c>
      <c r="B134" s="6">
        <v>2772</v>
      </c>
      <c r="C134" s="13">
        <v>89.28</v>
      </c>
      <c r="D134" s="18">
        <f t="shared" si="22"/>
        <v>2861.28</v>
      </c>
      <c r="E134" s="14">
        <v>0</v>
      </c>
      <c r="F134" s="18">
        <f t="shared" si="26"/>
        <v>0</v>
      </c>
      <c r="G134" s="18">
        <f t="shared" si="27"/>
        <v>0</v>
      </c>
      <c r="H134" s="14">
        <v>0</v>
      </c>
      <c r="I134" s="18">
        <f t="shared" si="28"/>
        <v>0</v>
      </c>
      <c r="J134" s="18">
        <f t="shared" si="29"/>
        <v>0</v>
      </c>
      <c r="K134" s="14">
        <v>14.64</v>
      </c>
      <c r="L134" s="18">
        <f t="shared" si="30"/>
        <v>14.64</v>
      </c>
      <c r="M134" s="18">
        <f t="shared" si="31"/>
        <v>0</v>
      </c>
      <c r="N134" s="15">
        <f t="shared" si="32"/>
        <v>14.64</v>
      </c>
      <c r="O134" s="15">
        <f t="shared" si="23"/>
        <v>14.64</v>
      </c>
      <c r="P134" s="15">
        <f t="shared" si="24"/>
        <v>0</v>
      </c>
      <c r="Q134" s="5">
        <f t="shared" si="25"/>
        <v>0</v>
      </c>
    </row>
    <row r="135" spans="1:17" x14ac:dyDescent="0.25">
      <c r="A135" s="7">
        <v>46240.541666666664</v>
      </c>
      <c r="B135" s="6">
        <v>2727.9</v>
      </c>
      <c r="C135" s="13">
        <v>100.92</v>
      </c>
      <c r="D135" s="18">
        <f t="shared" si="22"/>
        <v>2828.82</v>
      </c>
      <c r="E135" s="14">
        <v>0</v>
      </c>
      <c r="F135" s="18">
        <f t="shared" si="26"/>
        <v>0</v>
      </c>
      <c r="G135" s="18">
        <f t="shared" si="27"/>
        <v>0</v>
      </c>
      <c r="H135" s="14">
        <v>0.12</v>
      </c>
      <c r="I135" s="18">
        <f t="shared" si="28"/>
        <v>0.12</v>
      </c>
      <c r="J135" s="18">
        <f t="shared" si="29"/>
        <v>0</v>
      </c>
      <c r="K135" s="14">
        <v>23.88</v>
      </c>
      <c r="L135" s="18">
        <f t="shared" si="30"/>
        <v>23.88</v>
      </c>
      <c r="M135" s="18">
        <f t="shared" si="31"/>
        <v>0</v>
      </c>
      <c r="N135" s="15">
        <f t="shared" si="32"/>
        <v>24</v>
      </c>
      <c r="O135" s="15">
        <f t="shared" si="23"/>
        <v>24</v>
      </c>
      <c r="P135" s="15">
        <f t="shared" si="24"/>
        <v>0</v>
      </c>
      <c r="Q135" s="5">
        <f t="shared" si="25"/>
        <v>0</v>
      </c>
    </row>
    <row r="136" spans="1:17" x14ac:dyDescent="0.25">
      <c r="A136" s="7">
        <v>46240.583333333336</v>
      </c>
      <c r="B136" s="6">
        <v>2504.25</v>
      </c>
      <c r="C136" s="13">
        <v>92.28</v>
      </c>
      <c r="D136" s="18">
        <f t="shared" si="22"/>
        <v>2596.5300000000002</v>
      </c>
      <c r="E136" s="14">
        <v>0</v>
      </c>
      <c r="F136" s="18">
        <f t="shared" si="26"/>
        <v>0</v>
      </c>
      <c r="G136" s="18">
        <f t="shared" si="27"/>
        <v>0</v>
      </c>
      <c r="H136" s="14">
        <v>0</v>
      </c>
      <c r="I136" s="18">
        <f t="shared" si="28"/>
        <v>0</v>
      </c>
      <c r="J136" s="18">
        <f t="shared" si="29"/>
        <v>0</v>
      </c>
      <c r="K136" s="14">
        <v>21.36</v>
      </c>
      <c r="L136" s="18">
        <f t="shared" si="30"/>
        <v>21.36</v>
      </c>
      <c r="M136" s="18">
        <f t="shared" si="31"/>
        <v>0</v>
      </c>
      <c r="N136" s="15">
        <f t="shared" si="32"/>
        <v>21.36</v>
      </c>
      <c r="O136" s="15">
        <f t="shared" si="23"/>
        <v>21.36</v>
      </c>
      <c r="P136" s="15">
        <f t="shared" si="24"/>
        <v>0</v>
      </c>
      <c r="Q136" s="5">
        <f t="shared" si="25"/>
        <v>0</v>
      </c>
    </row>
    <row r="137" spans="1:17" x14ac:dyDescent="0.25">
      <c r="A137" s="7">
        <v>46240.625</v>
      </c>
      <c r="B137" s="6">
        <v>2151.4499999999998</v>
      </c>
      <c r="C137" s="13">
        <v>53.76</v>
      </c>
      <c r="D137" s="18">
        <f t="shared" si="22"/>
        <v>2205.21</v>
      </c>
      <c r="E137" s="14">
        <v>0</v>
      </c>
      <c r="F137" s="18">
        <f t="shared" si="26"/>
        <v>0</v>
      </c>
      <c r="G137" s="18">
        <f t="shared" si="27"/>
        <v>0</v>
      </c>
      <c r="H137" s="14">
        <v>12.72</v>
      </c>
      <c r="I137" s="18">
        <f t="shared" si="28"/>
        <v>12.72</v>
      </c>
      <c r="J137" s="18">
        <f t="shared" si="29"/>
        <v>0</v>
      </c>
      <c r="K137" s="14">
        <v>20.16</v>
      </c>
      <c r="L137" s="18">
        <f t="shared" si="30"/>
        <v>20.16</v>
      </c>
      <c r="M137" s="18">
        <f t="shared" si="31"/>
        <v>0</v>
      </c>
      <c r="N137" s="15">
        <f t="shared" si="32"/>
        <v>32.880000000000003</v>
      </c>
      <c r="O137" s="15">
        <f t="shared" si="23"/>
        <v>32.880000000000003</v>
      </c>
      <c r="P137" s="15">
        <f t="shared" si="24"/>
        <v>0</v>
      </c>
      <c r="Q137" s="5">
        <f t="shared" si="25"/>
        <v>0</v>
      </c>
    </row>
    <row r="138" spans="1:17" x14ac:dyDescent="0.25">
      <c r="A138" s="7">
        <v>46240.666666666664</v>
      </c>
      <c r="B138" s="6">
        <v>1568.7</v>
      </c>
      <c r="C138" s="13">
        <v>6.36</v>
      </c>
      <c r="D138" s="18">
        <f t="shared" si="22"/>
        <v>1575.06</v>
      </c>
      <c r="E138" s="14">
        <v>0</v>
      </c>
      <c r="F138" s="18">
        <f t="shared" si="26"/>
        <v>0</v>
      </c>
      <c r="G138" s="18">
        <f t="shared" si="27"/>
        <v>0</v>
      </c>
      <c r="H138" s="14">
        <v>22.68</v>
      </c>
      <c r="I138" s="18">
        <f t="shared" si="28"/>
        <v>22.68</v>
      </c>
      <c r="J138" s="18">
        <f t="shared" si="29"/>
        <v>0</v>
      </c>
      <c r="K138" s="14">
        <v>32.64</v>
      </c>
      <c r="L138" s="18">
        <f t="shared" si="30"/>
        <v>32.64</v>
      </c>
      <c r="M138" s="18">
        <f t="shared" si="31"/>
        <v>0</v>
      </c>
      <c r="N138" s="15">
        <f t="shared" si="32"/>
        <v>55.32</v>
      </c>
      <c r="O138" s="15">
        <f t="shared" si="23"/>
        <v>55.32</v>
      </c>
      <c r="P138" s="15">
        <f t="shared" si="24"/>
        <v>0</v>
      </c>
      <c r="Q138" s="5">
        <f t="shared" si="25"/>
        <v>0</v>
      </c>
    </row>
    <row r="139" spans="1:17" x14ac:dyDescent="0.25">
      <c r="A139" s="7">
        <v>46240.708333333336</v>
      </c>
      <c r="B139" s="6">
        <v>793.8</v>
      </c>
      <c r="C139" s="13">
        <v>0.24</v>
      </c>
      <c r="D139" s="18">
        <f t="shared" si="22"/>
        <v>794.04</v>
      </c>
      <c r="E139" s="14">
        <v>0</v>
      </c>
      <c r="F139" s="18">
        <f t="shared" si="26"/>
        <v>0</v>
      </c>
      <c r="G139" s="18">
        <f t="shared" si="27"/>
        <v>0</v>
      </c>
      <c r="H139" s="14">
        <v>30.96</v>
      </c>
      <c r="I139" s="18">
        <f t="shared" si="28"/>
        <v>30.96</v>
      </c>
      <c r="J139" s="18">
        <f t="shared" si="29"/>
        <v>0</v>
      </c>
      <c r="K139" s="14">
        <v>31.92</v>
      </c>
      <c r="L139" s="18">
        <f t="shared" si="30"/>
        <v>31.92</v>
      </c>
      <c r="M139" s="18">
        <f t="shared" si="31"/>
        <v>0</v>
      </c>
      <c r="N139" s="15">
        <f t="shared" si="32"/>
        <v>62.88</v>
      </c>
      <c r="O139" s="15">
        <f t="shared" si="23"/>
        <v>62.88</v>
      </c>
      <c r="P139" s="15">
        <f t="shared" si="24"/>
        <v>0</v>
      </c>
      <c r="Q139" s="5">
        <f t="shared" si="25"/>
        <v>0</v>
      </c>
    </row>
    <row r="140" spans="1:17" x14ac:dyDescent="0.25">
      <c r="A140" s="7">
        <v>46240.75</v>
      </c>
      <c r="B140" s="6">
        <v>119.7</v>
      </c>
      <c r="C140" s="13">
        <v>0</v>
      </c>
      <c r="D140" s="18">
        <f t="shared" si="22"/>
        <v>119.7</v>
      </c>
      <c r="E140" s="14">
        <v>25.2</v>
      </c>
      <c r="F140" s="18">
        <f t="shared" si="26"/>
        <v>25.2</v>
      </c>
      <c r="G140" s="18">
        <f t="shared" si="27"/>
        <v>0</v>
      </c>
      <c r="H140" s="14">
        <v>50.52</v>
      </c>
      <c r="I140" s="18">
        <f t="shared" si="28"/>
        <v>50.52</v>
      </c>
      <c r="J140" s="18">
        <f t="shared" si="29"/>
        <v>0</v>
      </c>
      <c r="K140" s="14">
        <v>24.36</v>
      </c>
      <c r="L140" s="18">
        <f t="shared" si="30"/>
        <v>24.36</v>
      </c>
      <c r="M140" s="18">
        <f t="shared" si="31"/>
        <v>0</v>
      </c>
      <c r="N140" s="15">
        <f t="shared" si="32"/>
        <v>100.08</v>
      </c>
      <c r="O140" s="15">
        <f t="shared" si="23"/>
        <v>100.08</v>
      </c>
      <c r="P140" s="15">
        <f t="shared" si="24"/>
        <v>0</v>
      </c>
      <c r="Q140" s="5">
        <f t="shared" si="25"/>
        <v>0</v>
      </c>
    </row>
    <row r="141" spans="1:17" x14ac:dyDescent="0.25">
      <c r="A141" s="7">
        <v>46240.791666666664</v>
      </c>
      <c r="B141" s="6">
        <v>0</v>
      </c>
      <c r="C141" s="13">
        <v>0</v>
      </c>
      <c r="D141" s="18">
        <f t="shared" si="22"/>
        <v>0</v>
      </c>
      <c r="E141" s="14">
        <v>160.65</v>
      </c>
      <c r="F141" s="18">
        <f t="shared" si="26"/>
        <v>0</v>
      </c>
      <c r="G141" s="18">
        <f t="shared" si="27"/>
        <v>160.65</v>
      </c>
      <c r="H141" s="14">
        <v>78.72</v>
      </c>
      <c r="I141" s="18">
        <f t="shared" si="28"/>
        <v>0</v>
      </c>
      <c r="J141" s="18">
        <f t="shared" si="29"/>
        <v>78.72</v>
      </c>
      <c r="K141" s="14">
        <v>17.16</v>
      </c>
      <c r="L141" s="18">
        <f t="shared" si="30"/>
        <v>0</v>
      </c>
      <c r="M141" s="18">
        <f t="shared" si="31"/>
        <v>17.16</v>
      </c>
      <c r="N141" s="15">
        <f t="shared" si="32"/>
        <v>256.53000000000003</v>
      </c>
      <c r="O141" s="15">
        <f t="shared" si="23"/>
        <v>0</v>
      </c>
      <c r="P141" s="15">
        <f t="shared" si="24"/>
        <v>256.53000000000003</v>
      </c>
      <c r="Q141" s="5">
        <f t="shared" si="25"/>
        <v>1</v>
      </c>
    </row>
    <row r="142" spans="1:17" x14ac:dyDescent="0.25">
      <c r="A142" s="7">
        <v>46240.833333333336</v>
      </c>
      <c r="B142" s="6">
        <v>0</v>
      </c>
      <c r="C142" s="13">
        <v>0</v>
      </c>
      <c r="D142" s="18">
        <f t="shared" si="22"/>
        <v>0</v>
      </c>
      <c r="E142" s="14">
        <v>163.80000000000001</v>
      </c>
      <c r="F142" s="18">
        <f t="shared" si="26"/>
        <v>0</v>
      </c>
      <c r="G142" s="18">
        <f t="shared" si="27"/>
        <v>163.80000000000001</v>
      </c>
      <c r="H142" s="14">
        <v>66.36</v>
      </c>
      <c r="I142" s="18">
        <f t="shared" si="28"/>
        <v>0</v>
      </c>
      <c r="J142" s="18">
        <f t="shared" si="29"/>
        <v>66.36</v>
      </c>
      <c r="K142" s="14">
        <v>6.96</v>
      </c>
      <c r="L142" s="18">
        <f t="shared" si="30"/>
        <v>0</v>
      </c>
      <c r="M142" s="18">
        <f t="shared" si="31"/>
        <v>6.96</v>
      </c>
      <c r="N142" s="15">
        <f t="shared" si="32"/>
        <v>237.12000000000003</v>
      </c>
      <c r="O142" s="15">
        <f t="shared" si="23"/>
        <v>0</v>
      </c>
      <c r="P142" s="15">
        <f t="shared" si="24"/>
        <v>237.12000000000003</v>
      </c>
      <c r="Q142" s="5">
        <f t="shared" si="25"/>
        <v>1</v>
      </c>
    </row>
    <row r="143" spans="1:17" x14ac:dyDescent="0.25">
      <c r="A143" s="7">
        <v>46240.875</v>
      </c>
      <c r="B143" s="6">
        <v>0</v>
      </c>
      <c r="C143" s="13">
        <v>0</v>
      </c>
      <c r="D143" s="18">
        <f t="shared" si="22"/>
        <v>0</v>
      </c>
      <c r="E143" s="14">
        <v>163.80000000000001</v>
      </c>
      <c r="F143" s="18">
        <f t="shared" si="26"/>
        <v>0</v>
      </c>
      <c r="G143" s="18">
        <f t="shared" si="27"/>
        <v>163.80000000000001</v>
      </c>
      <c r="H143" s="14">
        <v>54.24</v>
      </c>
      <c r="I143" s="18">
        <f t="shared" si="28"/>
        <v>0</v>
      </c>
      <c r="J143" s="18">
        <f t="shared" si="29"/>
        <v>54.24</v>
      </c>
      <c r="K143" s="14">
        <v>1.32</v>
      </c>
      <c r="L143" s="18">
        <f t="shared" si="30"/>
        <v>0</v>
      </c>
      <c r="M143" s="18">
        <f t="shared" si="31"/>
        <v>1.32</v>
      </c>
      <c r="N143" s="15">
        <f t="shared" si="32"/>
        <v>219.36</v>
      </c>
      <c r="O143" s="15">
        <f t="shared" si="23"/>
        <v>0</v>
      </c>
      <c r="P143" s="15">
        <f t="shared" si="24"/>
        <v>219.36</v>
      </c>
      <c r="Q143" s="5">
        <f t="shared" si="25"/>
        <v>1</v>
      </c>
    </row>
    <row r="144" spans="1:17" x14ac:dyDescent="0.25">
      <c r="A144" s="7">
        <v>46240.916666666664</v>
      </c>
      <c r="B144" s="6">
        <v>0</v>
      </c>
      <c r="C144" s="13">
        <v>0</v>
      </c>
      <c r="D144" s="18">
        <f t="shared" si="22"/>
        <v>0</v>
      </c>
      <c r="E144" s="14">
        <v>166.95</v>
      </c>
      <c r="F144" s="18">
        <f t="shared" si="26"/>
        <v>0</v>
      </c>
      <c r="G144" s="18">
        <f t="shared" si="27"/>
        <v>166.95</v>
      </c>
      <c r="H144" s="14">
        <v>48.6</v>
      </c>
      <c r="I144" s="18">
        <f t="shared" si="28"/>
        <v>0</v>
      </c>
      <c r="J144" s="18">
        <f t="shared" si="29"/>
        <v>48.6</v>
      </c>
      <c r="K144" s="14">
        <v>1.08</v>
      </c>
      <c r="L144" s="18">
        <f t="shared" si="30"/>
        <v>0</v>
      </c>
      <c r="M144" s="18">
        <f t="shared" si="31"/>
        <v>1.08</v>
      </c>
      <c r="N144" s="15">
        <f t="shared" si="32"/>
        <v>216.63</v>
      </c>
      <c r="O144" s="15">
        <f t="shared" si="23"/>
        <v>0</v>
      </c>
      <c r="P144" s="15">
        <f t="shared" si="24"/>
        <v>216.63</v>
      </c>
      <c r="Q144" s="5">
        <f t="shared" si="25"/>
        <v>1</v>
      </c>
    </row>
    <row r="145" spans="1:17" x14ac:dyDescent="0.25">
      <c r="A145" s="7">
        <v>46240.958333333336</v>
      </c>
      <c r="B145" s="6">
        <v>0</v>
      </c>
      <c r="C145" s="13">
        <v>0</v>
      </c>
      <c r="D145" s="18">
        <f t="shared" si="22"/>
        <v>0</v>
      </c>
      <c r="E145" s="14">
        <v>163.80000000000001</v>
      </c>
      <c r="F145" s="18">
        <f t="shared" si="26"/>
        <v>0</v>
      </c>
      <c r="G145" s="18">
        <f t="shared" si="27"/>
        <v>163.80000000000001</v>
      </c>
      <c r="H145" s="14">
        <v>39.72</v>
      </c>
      <c r="I145" s="18">
        <f t="shared" si="28"/>
        <v>0</v>
      </c>
      <c r="J145" s="18">
        <f t="shared" si="29"/>
        <v>39.72</v>
      </c>
      <c r="K145" s="14">
        <v>1.08</v>
      </c>
      <c r="L145" s="18">
        <f t="shared" si="30"/>
        <v>0</v>
      </c>
      <c r="M145" s="18">
        <f t="shared" si="31"/>
        <v>1.08</v>
      </c>
      <c r="N145" s="15">
        <f t="shared" si="32"/>
        <v>204.60000000000002</v>
      </c>
      <c r="O145" s="15">
        <f t="shared" si="23"/>
        <v>0</v>
      </c>
      <c r="P145" s="15">
        <f t="shared" si="24"/>
        <v>204.60000000000002</v>
      </c>
      <c r="Q145" s="5">
        <f t="shared" si="25"/>
        <v>1</v>
      </c>
    </row>
    <row r="146" spans="1:17" x14ac:dyDescent="0.25">
      <c r="A146" s="7">
        <v>46241</v>
      </c>
      <c r="B146" s="6">
        <v>0</v>
      </c>
      <c r="C146" s="13">
        <v>0</v>
      </c>
      <c r="D146" s="18">
        <f t="shared" si="22"/>
        <v>0</v>
      </c>
      <c r="E146" s="14">
        <v>40.950000000000003</v>
      </c>
      <c r="F146" s="18">
        <f t="shared" si="26"/>
        <v>0</v>
      </c>
      <c r="G146" s="18">
        <f t="shared" si="27"/>
        <v>40.950000000000003</v>
      </c>
      <c r="H146" s="14">
        <v>11.76</v>
      </c>
      <c r="I146" s="18">
        <f t="shared" si="28"/>
        <v>0</v>
      </c>
      <c r="J146" s="18">
        <f t="shared" si="29"/>
        <v>11.76</v>
      </c>
      <c r="K146" s="14">
        <v>0.6</v>
      </c>
      <c r="L146" s="18">
        <f t="shared" si="30"/>
        <v>0</v>
      </c>
      <c r="M146" s="18">
        <f t="shared" si="31"/>
        <v>0.6</v>
      </c>
      <c r="N146" s="15">
        <f t="shared" si="32"/>
        <v>53.31</v>
      </c>
      <c r="O146" s="15">
        <f t="shared" si="23"/>
        <v>0</v>
      </c>
      <c r="P146" s="15">
        <f t="shared" si="24"/>
        <v>53.31</v>
      </c>
      <c r="Q146" s="5">
        <f t="shared" si="25"/>
        <v>1</v>
      </c>
    </row>
    <row r="147" spans="1:17" x14ac:dyDescent="0.25">
      <c r="A147" s="7">
        <v>46241.041666666664</v>
      </c>
      <c r="B147" s="6">
        <v>0</v>
      </c>
      <c r="C147" s="13">
        <v>0</v>
      </c>
      <c r="D147" s="18">
        <f t="shared" si="22"/>
        <v>0</v>
      </c>
      <c r="E147" s="14">
        <v>163.80000000000001</v>
      </c>
      <c r="F147" s="18">
        <f t="shared" si="26"/>
        <v>0</v>
      </c>
      <c r="G147" s="18">
        <f t="shared" si="27"/>
        <v>163.80000000000001</v>
      </c>
      <c r="H147" s="14">
        <v>46.08</v>
      </c>
      <c r="I147" s="18">
        <f t="shared" si="28"/>
        <v>0</v>
      </c>
      <c r="J147" s="18">
        <f t="shared" si="29"/>
        <v>46.08</v>
      </c>
      <c r="K147" s="14">
        <v>1.08</v>
      </c>
      <c r="L147" s="18">
        <f t="shared" si="30"/>
        <v>0</v>
      </c>
      <c r="M147" s="18">
        <f t="shared" si="31"/>
        <v>1.08</v>
      </c>
      <c r="N147" s="15">
        <f t="shared" si="32"/>
        <v>210.96</v>
      </c>
      <c r="O147" s="15">
        <f t="shared" si="23"/>
        <v>0</v>
      </c>
      <c r="P147" s="15">
        <f t="shared" si="24"/>
        <v>210.96</v>
      </c>
      <c r="Q147" s="5">
        <f t="shared" si="25"/>
        <v>1</v>
      </c>
    </row>
    <row r="148" spans="1:17" x14ac:dyDescent="0.25">
      <c r="A148" s="7">
        <v>46241.083333333336</v>
      </c>
      <c r="B148" s="6">
        <v>0</v>
      </c>
      <c r="C148" s="13">
        <v>0</v>
      </c>
      <c r="D148" s="18">
        <f t="shared" si="22"/>
        <v>0</v>
      </c>
      <c r="E148" s="14">
        <v>163.80000000000001</v>
      </c>
      <c r="F148" s="18">
        <f t="shared" si="26"/>
        <v>0</v>
      </c>
      <c r="G148" s="18">
        <f t="shared" si="27"/>
        <v>163.80000000000001</v>
      </c>
      <c r="H148" s="14">
        <v>41.04</v>
      </c>
      <c r="I148" s="18">
        <f t="shared" si="28"/>
        <v>0</v>
      </c>
      <c r="J148" s="18">
        <f t="shared" si="29"/>
        <v>41.04</v>
      </c>
      <c r="K148" s="14">
        <v>1.2</v>
      </c>
      <c r="L148" s="18">
        <f t="shared" si="30"/>
        <v>0</v>
      </c>
      <c r="M148" s="18">
        <f t="shared" si="31"/>
        <v>1.2</v>
      </c>
      <c r="N148" s="15">
        <f t="shared" si="32"/>
        <v>206.04</v>
      </c>
      <c r="O148" s="15">
        <f t="shared" si="23"/>
        <v>0</v>
      </c>
      <c r="P148" s="15">
        <f t="shared" si="24"/>
        <v>206.04</v>
      </c>
      <c r="Q148" s="5">
        <f t="shared" si="25"/>
        <v>1</v>
      </c>
    </row>
    <row r="149" spans="1:17" x14ac:dyDescent="0.25">
      <c r="A149" s="7">
        <v>46241.125</v>
      </c>
      <c r="B149" s="6">
        <v>0</v>
      </c>
      <c r="C149" s="13">
        <v>0</v>
      </c>
      <c r="D149" s="18">
        <f t="shared" si="22"/>
        <v>0</v>
      </c>
      <c r="E149" s="14">
        <v>163.80000000000001</v>
      </c>
      <c r="F149" s="18">
        <f t="shared" si="26"/>
        <v>0</v>
      </c>
      <c r="G149" s="18">
        <f t="shared" si="27"/>
        <v>163.80000000000001</v>
      </c>
      <c r="H149" s="14">
        <v>52.08</v>
      </c>
      <c r="I149" s="18">
        <f t="shared" si="28"/>
        <v>0</v>
      </c>
      <c r="J149" s="18">
        <f t="shared" si="29"/>
        <v>52.08</v>
      </c>
      <c r="K149" s="14">
        <v>1.08</v>
      </c>
      <c r="L149" s="18">
        <f t="shared" si="30"/>
        <v>0</v>
      </c>
      <c r="M149" s="18">
        <f t="shared" si="31"/>
        <v>1.08</v>
      </c>
      <c r="N149" s="15">
        <f t="shared" si="32"/>
        <v>216.96</v>
      </c>
      <c r="O149" s="15">
        <f t="shared" si="23"/>
        <v>0</v>
      </c>
      <c r="P149" s="15">
        <f t="shared" si="24"/>
        <v>216.96</v>
      </c>
      <c r="Q149" s="5">
        <f t="shared" si="25"/>
        <v>1</v>
      </c>
    </row>
    <row r="150" spans="1:17" x14ac:dyDescent="0.25">
      <c r="A150" s="7">
        <v>46241.166666666664</v>
      </c>
      <c r="B150" s="6">
        <v>0</v>
      </c>
      <c r="C150" s="13">
        <v>0</v>
      </c>
      <c r="D150" s="18">
        <f t="shared" si="22"/>
        <v>0</v>
      </c>
      <c r="E150" s="14">
        <v>163.80000000000001</v>
      </c>
      <c r="F150" s="18">
        <f t="shared" si="26"/>
        <v>0</v>
      </c>
      <c r="G150" s="18">
        <f t="shared" si="27"/>
        <v>163.80000000000001</v>
      </c>
      <c r="H150" s="14">
        <v>43.44</v>
      </c>
      <c r="I150" s="18">
        <f t="shared" si="28"/>
        <v>0</v>
      </c>
      <c r="J150" s="18">
        <f t="shared" si="29"/>
        <v>43.44</v>
      </c>
      <c r="K150" s="14">
        <v>0.96</v>
      </c>
      <c r="L150" s="18">
        <f t="shared" si="30"/>
        <v>0</v>
      </c>
      <c r="M150" s="18">
        <f t="shared" si="31"/>
        <v>0.96</v>
      </c>
      <c r="N150" s="15">
        <f t="shared" si="32"/>
        <v>208.20000000000002</v>
      </c>
      <c r="O150" s="15">
        <f t="shared" si="23"/>
        <v>0</v>
      </c>
      <c r="P150" s="15">
        <f t="shared" si="24"/>
        <v>208.20000000000002</v>
      </c>
      <c r="Q150" s="5">
        <f t="shared" si="25"/>
        <v>1</v>
      </c>
    </row>
    <row r="151" spans="1:17" x14ac:dyDescent="0.25">
      <c r="A151" s="7">
        <v>46241.208333333336</v>
      </c>
      <c r="B151" s="6">
        <v>0</v>
      </c>
      <c r="C151" s="13">
        <v>0</v>
      </c>
      <c r="D151" s="18">
        <f t="shared" si="22"/>
        <v>0</v>
      </c>
      <c r="E151" s="14">
        <v>163.80000000000001</v>
      </c>
      <c r="F151" s="18">
        <f t="shared" si="26"/>
        <v>0</v>
      </c>
      <c r="G151" s="18">
        <f t="shared" si="27"/>
        <v>163.80000000000001</v>
      </c>
      <c r="H151" s="14">
        <v>45.72</v>
      </c>
      <c r="I151" s="18">
        <f t="shared" si="28"/>
        <v>0</v>
      </c>
      <c r="J151" s="18">
        <f t="shared" si="29"/>
        <v>45.72</v>
      </c>
      <c r="K151" s="14">
        <v>1.08</v>
      </c>
      <c r="L151" s="18">
        <f t="shared" si="30"/>
        <v>0</v>
      </c>
      <c r="M151" s="18">
        <f t="shared" si="31"/>
        <v>1.08</v>
      </c>
      <c r="N151" s="15">
        <f t="shared" si="32"/>
        <v>210.60000000000002</v>
      </c>
      <c r="O151" s="15">
        <f t="shared" si="23"/>
        <v>0</v>
      </c>
      <c r="P151" s="15">
        <f t="shared" si="24"/>
        <v>210.60000000000002</v>
      </c>
      <c r="Q151" s="5">
        <f t="shared" si="25"/>
        <v>1</v>
      </c>
    </row>
    <row r="152" spans="1:17" x14ac:dyDescent="0.25">
      <c r="A152" s="7">
        <v>46241.25</v>
      </c>
      <c r="B152" s="6">
        <v>0</v>
      </c>
      <c r="C152" s="13">
        <v>0</v>
      </c>
      <c r="D152" s="18">
        <f t="shared" si="22"/>
        <v>0</v>
      </c>
      <c r="E152" s="14">
        <v>151.19999999999999</v>
      </c>
      <c r="F152" s="18">
        <f t="shared" si="26"/>
        <v>0</v>
      </c>
      <c r="G152" s="18">
        <f t="shared" si="27"/>
        <v>151.19999999999999</v>
      </c>
      <c r="H152" s="14">
        <v>74.400000000000006</v>
      </c>
      <c r="I152" s="18">
        <f t="shared" si="28"/>
        <v>0</v>
      </c>
      <c r="J152" s="18">
        <f t="shared" si="29"/>
        <v>74.400000000000006</v>
      </c>
      <c r="K152" s="14">
        <v>1.8</v>
      </c>
      <c r="L152" s="18">
        <f t="shared" si="30"/>
        <v>0</v>
      </c>
      <c r="M152" s="18">
        <f t="shared" si="31"/>
        <v>1.8</v>
      </c>
      <c r="N152" s="15">
        <f t="shared" si="32"/>
        <v>227.4</v>
      </c>
      <c r="O152" s="15">
        <f t="shared" si="23"/>
        <v>0</v>
      </c>
      <c r="P152" s="15">
        <f t="shared" si="24"/>
        <v>227.4</v>
      </c>
      <c r="Q152" s="5">
        <f t="shared" si="25"/>
        <v>1</v>
      </c>
    </row>
    <row r="153" spans="1:17" x14ac:dyDescent="0.25">
      <c r="A153" s="7">
        <v>46241.291666666664</v>
      </c>
      <c r="B153" s="6">
        <v>163.80000000000001</v>
      </c>
      <c r="C153" s="13">
        <v>0</v>
      </c>
      <c r="D153" s="18">
        <f t="shared" si="22"/>
        <v>163.80000000000001</v>
      </c>
      <c r="E153" s="14">
        <v>18.899999999999999</v>
      </c>
      <c r="F153" s="18">
        <f t="shared" si="26"/>
        <v>18.899999999999999</v>
      </c>
      <c r="G153" s="18">
        <f t="shared" si="27"/>
        <v>0</v>
      </c>
      <c r="H153" s="14">
        <v>39.479999999999997</v>
      </c>
      <c r="I153" s="18">
        <f t="shared" si="28"/>
        <v>39.479999999999997</v>
      </c>
      <c r="J153" s="18">
        <f t="shared" si="29"/>
        <v>0</v>
      </c>
      <c r="K153" s="14">
        <v>1.56</v>
      </c>
      <c r="L153" s="18">
        <f t="shared" si="30"/>
        <v>1.56</v>
      </c>
      <c r="M153" s="18">
        <f t="shared" si="31"/>
        <v>0</v>
      </c>
      <c r="N153" s="15">
        <f t="shared" si="32"/>
        <v>59.94</v>
      </c>
      <c r="O153" s="15">
        <f t="shared" si="23"/>
        <v>59.94</v>
      </c>
      <c r="P153" s="15">
        <f t="shared" si="24"/>
        <v>0</v>
      </c>
      <c r="Q153" s="5">
        <f t="shared" si="25"/>
        <v>0</v>
      </c>
    </row>
    <row r="154" spans="1:17" x14ac:dyDescent="0.25">
      <c r="A154" s="7">
        <v>46241.333333333336</v>
      </c>
      <c r="B154" s="6">
        <v>645.75</v>
      </c>
      <c r="C154" s="13">
        <v>0</v>
      </c>
      <c r="D154" s="18">
        <f t="shared" si="22"/>
        <v>645.75</v>
      </c>
      <c r="E154" s="14">
        <v>0</v>
      </c>
      <c r="F154" s="18">
        <f t="shared" si="26"/>
        <v>0</v>
      </c>
      <c r="G154" s="18">
        <f t="shared" si="27"/>
        <v>0</v>
      </c>
      <c r="H154" s="14">
        <v>139.08000000000001</v>
      </c>
      <c r="I154" s="18">
        <f t="shared" si="28"/>
        <v>139.08000000000001</v>
      </c>
      <c r="J154" s="18">
        <f t="shared" si="29"/>
        <v>0</v>
      </c>
      <c r="K154" s="14">
        <v>2.2799999999999998</v>
      </c>
      <c r="L154" s="18">
        <f t="shared" si="30"/>
        <v>2.2799999999999998</v>
      </c>
      <c r="M154" s="18">
        <f t="shared" si="31"/>
        <v>0</v>
      </c>
      <c r="N154" s="15">
        <f t="shared" si="32"/>
        <v>141.36000000000001</v>
      </c>
      <c r="O154" s="15">
        <f t="shared" si="23"/>
        <v>141.36000000000001</v>
      </c>
      <c r="P154" s="15">
        <f t="shared" si="24"/>
        <v>0</v>
      </c>
      <c r="Q154" s="5">
        <f t="shared" si="25"/>
        <v>0</v>
      </c>
    </row>
    <row r="155" spans="1:17" x14ac:dyDescent="0.25">
      <c r="A155" s="7">
        <v>46241.375</v>
      </c>
      <c r="B155" s="6">
        <v>945</v>
      </c>
      <c r="C155" s="13">
        <v>0.24</v>
      </c>
      <c r="D155" s="18">
        <f t="shared" si="22"/>
        <v>945.24</v>
      </c>
      <c r="E155" s="14">
        <v>0</v>
      </c>
      <c r="F155" s="18">
        <f t="shared" si="26"/>
        <v>0</v>
      </c>
      <c r="G155" s="18">
        <f t="shared" si="27"/>
        <v>0</v>
      </c>
      <c r="H155" s="14">
        <v>66.36</v>
      </c>
      <c r="I155" s="18">
        <f t="shared" si="28"/>
        <v>66.36</v>
      </c>
      <c r="J155" s="18">
        <f t="shared" si="29"/>
        <v>0</v>
      </c>
      <c r="K155" s="14">
        <v>42.72</v>
      </c>
      <c r="L155" s="18">
        <f t="shared" si="30"/>
        <v>42.72</v>
      </c>
      <c r="M155" s="18">
        <f t="shared" si="31"/>
        <v>0</v>
      </c>
      <c r="N155" s="15">
        <f t="shared" si="32"/>
        <v>109.08</v>
      </c>
      <c r="O155" s="15">
        <f t="shared" si="23"/>
        <v>109.08</v>
      </c>
      <c r="P155" s="15">
        <f t="shared" si="24"/>
        <v>0</v>
      </c>
      <c r="Q155" s="5">
        <f t="shared" si="25"/>
        <v>0</v>
      </c>
    </row>
    <row r="156" spans="1:17" x14ac:dyDescent="0.25">
      <c r="A156" s="7">
        <v>46241.416666666664</v>
      </c>
      <c r="B156" s="6">
        <v>1471.05</v>
      </c>
      <c r="C156" s="13">
        <v>0</v>
      </c>
      <c r="D156" s="18">
        <f t="shared" si="22"/>
        <v>1471.05</v>
      </c>
      <c r="E156" s="14">
        <v>0</v>
      </c>
      <c r="F156" s="18">
        <f t="shared" si="26"/>
        <v>0</v>
      </c>
      <c r="G156" s="18">
        <f t="shared" si="27"/>
        <v>0</v>
      </c>
      <c r="H156" s="14">
        <v>94.8</v>
      </c>
      <c r="I156" s="18">
        <f t="shared" si="28"/>
        <v>94.8</v>
      </c>
      <c r="J156" s="18">
        <f t="shared" si="29"/>
        <v>0</v>
      </c>
      <c r="K156" s="14">
        <v>23.88</v>
      </c>
      <c r="L156" s="18">
        <f t="shared" si="30"/>
        <v>23.88</v>
      </c>
      <c r="M156" s="18">
        <f t="shared" si="31"/>
        <v>0</v>
      </c>
      <c r="N156" s="15">
        <f t="shared" si="32"/>
        <v>118.67999999999999</v>
      </c>
      <c r="O156" s="15">
        <f t="shared" si="23"/>
        <v>118.67999999999999</v>
      </c>
      <c r="P156" s="15">
        <f t="shared" si="24"/>
        <v>0</v>
      </c>
      <c r="Q156" s="5">
        <f t="shared" si="25"/>
        <v>0</v>
      </c>
    </row>
    <row r="157" spans="1:17" x14ac:dyDescent="0.25">
      <c r="A157" s="7">
        <v>46241.458333333336</v>
      </c>
      <c r="B157" s="6">
        <v>1997.1</v>
      </c>
      <c r="C157" s="13">
        <v>3</v>
      </c>
      <c r="D157" s="18">
        <f t="shared" si="22"/>
        <v>2000.1</v>
      </c>
      <c r="E157" s="14">
        <v>0</v>
      </c>
      <c r="F157" s="18">
        <f t="shared" si="26"/>
        <v>0</v>
      </c>
      <c r="G157" s="18">
        <f t="shared" si="27"/>
        <v>0</v>
      </c>
      <c r="H157" s="14">
        <v>44.76</v>
      </c>
      <c r="I157" s="18">
        <f t="shared" si="28"/>
        <v>44.76</v>
      </c>
      <c r="J157" s="18">
        <f t="shared" si="29"/>
        <v>0</v>
      </c>
      <c r="K157" s="14">
        <v>23.4</v>
      </c>
      <c r="L157" s="18">
        <f t="shared" si="30"/>
        <v>23.4</v>
      </c>
      <c r="M157" s="18">
        <f t="shared" si="31"/>
        <v>0</v>
      </c>
      <c r="N157" s="15">
        <f t="shared" si="32"/>
        <v>68.16</v>
      </c>
      <c r="O157" s="15">
        <f t="shared" si="23"/>
        <v>68.16</v>
      </c>
      <c r="P157" s="15">
        <f t="shared" si="24"/>
        <v>0</v>
      </c>
      <c r="Q157" s="5">
        <f t="shared" si="25"/>
        <v>0</v>
      </c>
    </row>
    <row r="158" spans="1:17" x14ac:dyDescent="0.25">
      <c r="A158" s="7">
        <v>46241.5</v>
      </c>
      <c r="B158" s="6">
        <v>2223.9</v>
      </c>
      <c r="C158" s="13">
        <v>12.6</v>
      </c>
      <c r="D158" s="18">
        <f t="shared" si="22"/>
        <v>2236.5</v>
      </c>
      <c r="E158" s="14">
        <v>0</v>
      </c>
      <c r="F158" s="18">
        <f t="shared" si="26"/>
        <v>0</v>
      </c>
      <c r="G158" s="18">
        <f t="shared" si="27"/>
        <v>0</v>
      </c>
      <c r="H158" s="14">
        <v>27.36</v>
      </c>
      <c r="I158" s="18">
        <f t="shared" si="28"/>
        <v>27.36</v>
      </c>
      <c r="J158" s="18">
        <f t="shared" si="29"/>
        <v>0</v>
      </c>
      <c r="K158" s="14">
        <v>36.6</v>
      </c>
      <c r="L158" s="18">
        <f t="shared" si="30"/>
        <v>36.6</v>
      </c>
      <c r="M158" s="18">
        <f t="shared" si="31"/>
        <v>0</v>
      </c>
      <c r="N158" s="15">
        <f t="shared" si="32"/>
        <v>63.96</v>
      </c>
      <c r="O158" s="15">
        <f t="shared" si="23"/>
        <v>63.96</v>
      </c>
      <c r="P158" s="15">
        <f t="shared" si="24"/>
        <v>0</v>
      </c>
      <c r="Q158" s="5">
        <f t="shared" si="25"/>
        <v>0</v>
      </c>
    </row>
    <row r="159" spans="1:17" x14ac:dyDescent="0.25">
      <c r="A159" s="7">
        <v>46241.541666666664</v>
      </c>
      <c r="B159" s="6">
        <v>2230.1999999999998</v>
      </c>
      <c r="C159" s="13">
        <v>13.2</v>
      </c>
      <c r="D159" s="18">
        <f t="shared" si="22"/>
        <v>2243.3999999999996</v>
      </c>
      <c r="E159" s="14">
        <v>22.05</v>
      </c>
      <c r="F159" s="18">
        <f t="shared" si="26"/>
        <v>22.05</v>
      </c>
      <c r="G159" s="18">
        <f t="shared" si="27"/>
        <v>0</v>
      </c>
      <c r="H159" s="14">
        <v>30.24</v>
      </c>
      <c r="I159" s="18">
        <f t="shared" si="28"/>
        <v>30.24</v>
      </c>
      <c r="J159" s="18">
        <f t="shared" si="29"/>
        <v>0</v>
      </c>
      <c r="K159" s="14">
        <v>18.239999999999998</v>
      </c>
      <c r="L159" s="18">
        <f t="shared" si="30"/>
        <v>18.239999999999998</v>
      </c>
      <c r="M159" s="18">
        <f t="shared" si="31"/>
        <v>0</v>
      </c>
      <c r="N159" s="15">
        <f t="shared" si="32"/>
        <v>70.53</v>
      </c>
      <c r="O159" s="15">
        <f t="shared" si="23"/>
        <v>70.53</v>
      </c>
      <c r="P159" s="15">
        <f t="shared" si="24"/>
        <v>0</v>
      </c>
      <c r="Q159" s="5">
        <f t="shared" si="25"/>
        <v>0</v>
      </c>
    </row>
    <row r="160" spans="1:17" x14ac:dyDescent="0.25">
      <c r="A160" s="7">
        <v>46241.583333333336</v>
      </c>
      <c r="B160" s="6">
        <v>1524.6</v>
      </c>
      <c r="C160" s="13">
        <v>4.4400000000000004</v>
      </c>
      <c r="D160" s="18">
        <f t="shared" si="22"/>
        <v>1529.04</v>
      </c>
      <c r="E160" s="14">
        <v>25.2</v>
      </c>
      <c r="F160" s="18">
        <f t="shared" si="26"/>
        <v>25.2</v>
      </c>
      <c r="G160" s="18">
        <f t="shared" si="27"/>
        <v>0</v>
      </c>
      <c r="H160" s="14">
        <v>59.04</v>
      </c>
      <c r="I160" s="18">
        <f t="shared" si="28"/>
        <v>59.04</v>
      </c>
      <c r="J160" s="18">
        <f t="shared" si="29"/>
        <v>0</v>
      </c>
      <c r="K160" s="14">
        <v>43.92</v>
      </c>
      <c r="L160" s="18">
        <f t="shared" si="30"/>
        <v>43.92</v>
      </c>
      <c r="M160" s="18">
        <f t="shared" si="31"/>
        <v>0</v>
      </c>
      <c r="N160" s="15">
        <f t="shared" si="32"/>
        <v>128.16</v>
      </c>
      <c r="O160" s="15">
        <f t="shared" si="23"/>
        <v>128.16</v>
      </c>
      <c r="P160" s="15">
        <f t="shared" si="24"/>
        <v>0</v>
      </c>
      <c r="Q160" s="5">
        <f t="shared" si="25"/>
        <v>0</v>
      </c>
    </row>
    <row r="161" spans="1:17" x14ac:dyDescent="0.25">
      <c r="A161" s="7">
        <v>46241.625</v>
      </c>
      <c r="B161" s="6">
        <v>1597.05</v>
      </c>
      <c r="C161" s="13">
        <v>0.36</v>
      </c>
      <c r="D161" s="18">
        <f t="shared" si="22"/>
        <v>1597.4099999999999</v>
      </c>
      <c r="E161" s="14">
        <v>0</v>
      </c>
      <c r="F161" s="18">
        <f t="shared" si="26"/>
        <v>0</v>
      </c>
      <c r="G161" s="18">
        <f t="shared" si="27"/>
        <v>0</v>
      </c>
      <c r="H161" s="14">
        <v>96.84</v>
      </c>
      <c r="I161" s="18">
        <f t="shared" si="28"/>
        <v>96.84</v>
      </c>
      <c r="J161" s="18">
        <f t="shared" si="29"/>
        <v>0</v>
      </c>
      <c r="K161" s="14">
        <v>39.119999999999997</v>
      </c>
      <c r="L161" s="18">
        <f t="shared" si="30"/>
        <v>39.119999999999997</v>
      </c>
      <c r="M161" s="18">
        <f t="shared" si="31"/>
        <v>0</v>
      </c>
      <c r="N161" s="15">
        <f t="shared" si="32"/>
        <v>135.96</v>
      </c>
      <c r="O161" s="15">
        <f t="shared" si="23"/>
        <v>135.96</v>
      </c>
      <c r="P161" s="15">
        <f t="shared" si="24"/>
        <v>0</v>
      </c>
      <c r="Q161" s="5">
        <f t="shared" si="25"/>
        <v>0</v>
      </c>
    </row>
    <row r="162" spans="1:17" x14ac:dyDescent="0.25">
      <c r="A162" s="7">
        <v>46241.666666666664</v>
      </c>
      <c r="B162" s="6">
        <v>951.3</v>
      </c>
      <c r="C162" s="13">
        <v>0</v>
      </c>
      <c r="D162" s="18">
        <f t="shared" si="22"/>
        <v>951.3</v>
      </c>
      <c r="E162" s="14">
        <v>0</v>
      </c>
      <c r="F162" s="18">
        <f t="shared" si="26"/>
        <v>0</v>
      </c>
      <c r="G162" s="18">
        <f t="shared" si="27"/>
        <v>0</v>
      </c>
      <c r="H162" s="14">
        <v>99.12</v>
      </c>
      <c r="I162" s="18">
        <f t="shared" si="28"/>
        <v>99.12</v>
      </c>
      <c r="J162" s="18">
        <f t="shared" si="29"/>
        <v>0</v>
      </c>
      <c r="K162" s="14">
        <v>42.96</v>
      </c>
      <c r="L162" s="18">
        <f t="shared" si="30"/>
        <v>42.96</v>
      </c>
      <c r="M162" s="18">
        <f t="shared" si="31"/>
        <v>0</v>
      </c>
      <c r="N162" s="15">
        <f t="shared" si="32"/>
        <v>142.08000000000001</v>
      </c>
      <c r="O162" s="15">
        <f t="shared" si="23"/>
        <v>142.08000000000001</v>
      </c>
      <c r="P162" s="15">
        <f t="shared" si="24"/>
        <v>0</v>
      </c>
      <c r="Q162" s="5">
        <f t="shared" si="25"/>
        <v>0</v>
      </c>
    </row>
    <row r="163" spans="1:17" x14ac:dyDescent="0.25">
      <c r="A163" s="7">
        <v>46241.708333333336</v>
      </c>
      <c r="B163" s="6">
        <v>274.05</v>
      </c>
      <c r="C163" s="13">
        <v>0</v>
      </c>
      <c r="D163" s="18">
        <f t="shared" si="22"/>
        <v>274.05</v>
      </c>
      <c r="E163" s="14">
        <v>166.95</v>
      </c>
      <c r="F163" s="18">
        <f t="shared" si="26"/>
        <v>157.99111675126903</v>
      </c>
      <c r="G163" s="18">
        <f t="shared" si="27"/>
        <v>8.9588832487309435</v>
      </c>
      <c r="H163" s="14">
        <v>99.6</v>
      </c>
      <c r="I163" s="18">
        <f t="shared" si="28"/>
        <v>94.25525743292242</v>
      </c>
      <c r="J163" s="18">
        <f t="shared" si="29"/>
        <v>5.3447425670775806</v>
      </c>
      <c r="K163" s="14">
        <v>23.04</v>
      </c>
      <c r="L163" s="18">
        <f t="shared" si="30"/>
        <v>21.803625815808559</v>
      </c>
      <c r="M163" s="18">
        <f t="shared" si="31"/>
        <v>1.2363741841914402</v>
      </c>
      <c r="N163" s="15">
        <f t="shared" si="32"/>
        <v>289.58999999999997</v>
      </c>
      <c r="O163" s="15">
        <f t="shared" si="23"/>
        <v>274.05</v>
      </c>
      <c r="P163" s="15">
        <f t="shared" si="24"/>
        <v>15.539999999999964</v>
      </c>
      <c r="Q163" s="5">
        <f t="shared" si="25"/>
        <v>5.3662073966642375E-2</v>
      </c>
    </row>
    <row r="164" spans="1:17" x14ac:dyDescent="0.25">
      <c r="A164" s="7">
        <v>46241.75</v>
      </c>
      <c r="B164" s="6">
        <v>31.5</v>
      </c>
      <c r="C164" s="13">
        <v>0</v>
      </c>
      <c r="D164" s="18">
        <f t="shared" si="22"/>
        <v>31.5</v>
      </c>
      <c r="E164" s="14">
        <v>179.55</v>
      </c>
      <c r="F164" s="18">
        <f t="shared" si="26"/>
        <v>22.042265871624011</v>
      </c>
      <c r="G164" s="18">
        <f t="shared" si="27"/>
        <v>157.507734128376</v>
      </c>
      <c r="H164" s="14">
        <v>67.2</v>
      </c>
      <c r="I164" s="18">
        <f t="shared" si="28"/>
        <v>8.2497369344089861</v>
      </c>
      <c r="J164" s="18">
        <f t="shared" si="29"/>
        <v>58.950263065591017</v>
      </c>
      <c r="K164" s="14">
        <v>9.84</v>
      </c>
      <c r="L164" s="18">
        <f t="shared" si="30"/>
        <v>1.2079971939670298</v>
      </c>
      <c r="M164" s="18">
        <f t="shared" si="31"/>
        <v>8.6320028060329701</v>
      </c>
      <c r="N164" s="15">
        <f t="shared" si="32"/>
        <v>256.58999999999997</v>
      </c>
      <c r="O164" s="15">
        <f t="shared" si="23"/>
        <v>31.5</v>
      </c>
      <c r="P164" s="15">
        <f t="shared" si="24"/>
        <v>225.08999999999997</v>
      </c>
      <c r="Q164" s="5">
        <f t="shared" si="25"/>
        <v>0.87723605752367584</v>
      </c>
    </row>
    <row r="165" spans="1:17" x14ac:dyDescent="0.25">
      <c r="A165" s="7">
        <v>46241.791666666664</v>
      </c>
      <c r="B165" s="6">
        <v>0</v>
      </c>
      <c r="C165" s="13">
        <v>0</v>
      </c>
      <c r="D165" s="18">
        <f t="shared" si="22"/>
        <v>0</v>
      </c>
      <c r="E165" s="14">
        <v>195.3</v>
      </c>
      <c r="F165" s="18">
        <f t="shared" si="26"/>
        <v>0</v>
      </c>
      <c r="G165" s="18">
        <f t="shared" si="27"/>
        <v>195.3</v>
      </c>
      <c r="H165" s="14">
        <v>80.88</v>
      </c>
      <c r="I165" s="18">
        <f t="shared" si="28"/>
        <v>0</v>
      </c>
      <c r="J165" s="18">
        <f t="shared" si="29"/>
        <v>80.88</v>
      </c>
      <c r="K165" s="14">
        <v>12.48</v>
      </c>
      <c r="L165" s="18">
        <f t="shared" si="30"/>
        <v>0</v>
      </c>
      <c r="M165" s="18">
        <f t="shared" si="31"/>
        <v>12.48</v>
      </c>
      <c r="N165" s="15">
        <f t="shared" si="32"/>
        <v>288.66000000000003</v>
      </c>
      <c r="O165" s="15">
        <f t="shared" si="23"/>
        <v>0</v>
      </c>
      <c r="P165" s="15">
        <f t="shared" si="24"/>
        <v>288.66000000000003</v>
      </c>
      <c r="Q165" s="5">
        <f t="shared" si="25"/>
        <v>1</v>
      </c>
    </row>
    <row r="166" spans="1:17" x14ac:dyDescent="0.25">
      <c r="A166" s="7">
        <v>46241.833333333336</v>
      </c>
      <c r="B166" s="6">
        <v>0</v>
      </c>
      <c r="C166" s="13">
        <v>0</v>
      </c>
      <c r="D166" s="18">
        <f t="shared" si="22"/>
        <v>0</v>
      </c>
      <c r="E166" s="14">
        <v>378</v>
      </c>
      <c r="F166" s="18">
        <f t="shared" si="26"/>
        <v>0</v>
      </c>
      <c r="G166" s="18">
        <f t="shared" si="27"/>
        <v>378</v>
      </c>
      <c r="H166" s="14">
        <v>48.12</v>
      </c>
      <c r="I166" s="18">
        <f t="shared" si="28"/>
        <v>0</v>
      </c>
      <c r="J166" s="18">
        <f t="shared" si="29"/>
        <v>48.12</v>
      </c>
      <c r="K166" s="14">
        <v>3.48</v>
      </c>
      <c r="L166" s="18">
        <f t="shared" si="30"/>
        <v>0</v>
      </c>
      <c r="M166" s="18">
        <f t="shared" si="31"/>
        <v>3.48</v>
      </c>
      <c r="N166" s="15">
        <f t="shared" si="32"/>
        <v>429.6</v>
      </c>
      <c r="O166" s="15">
        <f t="shared" si="23"/>
        <v>0</v>
      </c>
      <c r="P166" s="15">
        <f t="shared" si="24"/>
        <v>429.6</v>
      </c>
      <c r="Q166" s="5">
        <f t="shared" si="25"/>
        <v>1</v>
      </c>
    </row>
    <row r="167" spans="1:17" x14ac:dyDescent="0.25">
      <c r="A167" s="7">
        <v>46241.875</v>
      </c>
      <c r="B167" s="6">
        <v>0</v>
      </c>
      <c r="C167" s="13">
        <v>0</v>
      </c>
      <c r="D167" s="18">
        <f t="shared" si="22"/>
        <v>0</v>
      </c>
      <c r="E167" s="14">
        <v>472.5</v>
      </c>
      <c r="F167" s="18">
        <f t="shared" si="26"/>
        <v>0</v>
      </c>
      <c r="G167" s="18">
        <f t="shared" si="27"/>
        <v>472.5</v>
      </c>
      <c r="H167" s="14">
        <v>43.08</v>
      </c>
      <c r="I167" s="18">
        <f t="shared" si="28"/>
        <v>0</v>
      </c>
      <c r="J167" s="18">
        <f t="shared" si="29"/>
        <v>43.08</v>
      </c>
      <c r="K167" s="14">
        <v>1.92</v>
      </c>
      <c r="L167" s="18">
        <f t="shared" si="30"/>
        <v>0</v>
      </c>
      <c r="M167" s="18">
        <f t="shared" si="31"/>
        <v>1.92</v>
      </c>
      <c r="N167" s="15">
        <f t="shared" si="32"/>
        <v>517.5</v>
      </c>
      <c r="O167" s="15">
        <f t="shared" si="23"/>
        <v>0</v>
      </c>
      <c r="P167" s="15">
        <f t="shared" si="24"/>
        <v>517.5</v>
      </c>
      <c r="Q167" s="5">
        <f t="shared" si="25"/>
        <v>1</v>
      </c>
    </row>
    <row r="168" spans="1:17" x14ac:dyDescent="0.25">
      <c r="A168" s="7">
        <v>46241.916666666664</v>
      </c>
      <c r="B168" s="6">
        <v>0</v>
      </c>
      <c r="C168" s="13">
        <v>0</v>
      </c>
      <c r="D168" s="18">
        <f t="shared" si="22"/>
        <v>0</v>
      </c>
      <c r="E168" s="14">
        <v>459.9</v>
      </c>
      <c r="F168" s="18">
        <f t="shared" si="26"/>
        <v>0</v>
      </c>
      <c r="G168" s="18">
        <f t="shared" si="27"/>
        <v>459.9</v>
      </c>
      <c r="H168" s="14">
        <v>43.08</v>
      </c>
      <c r="I168" s="18">
        <f t="shared" si="28"/>
        <v>0</v>
      </c>
      <c r="J168" s="18">
        <f t="shared" si="29"/>
        <v>43.08</v>
      </c>
      <c r="K168" s="14">
        <v>1.56</v>
      </c>
      <c r="L168" s="18">
        <f t="shared" si="30"/>
        <v>0</v>
      </c>
      <c r="M168" s="18">
        <f t="shared" si="31"/>
        <v>1.56</v>
      </c>
      <c r="N168" s="15">
        <f t="shared" si="32"/>
        <v>504.53999999999996</v>
      </c>
      <c r="O168" s="15">
        <f t="shared" si="23"/>
        <v>0</v>
      </c>
      <c r="P168" s="15">
        <f t="shared" si="24"/>
        <v>504.53999999999996</v>
      </c>
      <c r="Q168" s="5">
        <f t="shared" si="25"/>
        <v>1</v>
      </c>
    </row>
    <row r="169" spans="1:17" x14ac:dyDescent="0.25">
      <c r="A169" s="7">
        <v>46241.958333333336</v>
      </c>
      <c r="B169" s="6">
        <v>0</v>
      </c>
      <c r="C169" s="13">
        <v>0</v>
      </c>
      <c r="D169" s="18">
        <f t="shared" si="22"/>
        <v>0</v>
      </c>
      <c r="E169" s="14">
        <v>497.7</v>
      </c>
      <c r="F169" s="18">
        <f t="shared" si="26"/>
        <v>0</v>
      </c>
      <c r="G169" s="18">
        <f t="shared" si="27"/>
        <v>497.7</v>
      </c>
      <c r="H169" s="14">
        <v>48.48</v>
      </c>
      <c r="I169" s="18">
        <f t="shared" si="28"/>
        <v>0</v>
      </c>
      <c r="J169" s="18">
        <f t="shared" si="29"/>
        <v>48.48</v>
      </c>
      <c r="K169" s="14">
        <v>1.92</v>
      </c>
      <c r="L169" s="18">
        <f t="shared" si="30"/>
        <v>0</v>
      </c>
      <c r="M169" s="18">
        <f t="shared" si="31"/>
        <v>1.92</v>
      </c>
      <c r="N169" s="15">
        <f t="shared" si="32"/>
        <v>548.09999999999991</v>
      </c>
      <c r="O169" s="15">
        <f t="shared" si="23"/>
        <v>0</v>
      </c>
      <c r="P169" s="15">
        <f t="shared" si="24"/>
        <v>548.09999999999991</v>
      </c>
      <c r="Q169" s="5">
        <f t="shared" si="25"/>
        <v>1</v>
      </c>
    </row>
    <row r="170" spans="1:17" x14ac:dyDescent="0.25">
      <c r="A170" s="7">
        <v>46242</v>
      </c>
      <c r="B170" s="6">
        <v>0</v>
      </c>
      <c r="C170" s="13">
        <v>0</v>
      </c>
      <c r="D170" s="18">
        <f t="shared" si="22"/>
        <v>0</v>
      </c>
      <c r="E170" s="14">
        <v>466.2</v>
      </c>
      <c r="F170" s="18">
        <f t="shared" si="26"/>
        <v>0</v>
      </c>
      <c r="G170" s="18">
        <f t="shared" si="27"/>
        <v>466.2</v>
      </c>
      <c r="H170" s="14">
        <v>42.24</v>
      </c>
      <c r="I170" s="18">
        <f t="shared" si="28"/>
        <v>0</v>
      </c>
      <c r="J170" s="18">
        <f t="shared" si="29"/>
        <v>42.24</v>
      </c>
      <c r="K170" s="14">
        <v>1.68</v>
      </c>
      <c r="L170" s="18">
        <f t="shared" si="30"/>
        <v>0</v>
      </c>
      <c r="M170" s="18">
        <f t="shared" si="31"/>
        <v>1.68</v>
      </c>
      <c r="N170" s="15">
        <f t="shared" si="32"/>
        <v>510.12</v>
      </c>
      <c r="O170" s="15">
        <f t="shared" si="23"/>
        <v>0</v>
      </c>
      <c r="P170" s="15">
        <f t="shared" si="24"/>
        <v>510.12</v>
      </c>
      <c r="Q170" s="5">
        <f t="shared" si="25"/>
        <v>1</v>
      </c>
    </row>
    <row r="171" spans="1:17" x14ac:dyDescent="0.25">
      <c r="A171" s="7">
        <v>46242.041666666664</v>
      </c>
      <c r="B171" s="6">
        <v>0</v>
      </c>
      <c r="C171" s="13">
        <v>0</v>
      </c>
      <c r="D171" s="18">
        <f t="shared" si="22"/>
        <v>0</v>
      </c>
      <c r="E171" s="14">
        <v>239.4</v>
      </c>
      <c r="F171" s="18">
        <f t="shared" si="26"/>
        <v>0</v>
      </c>
      <c r="G171" s="18">
        <f t="shared" si="27"/>
        <v>239.4</v>
      </c>
      <c r="H171" s="14">
        <v>38.520000000000003</v>
      </c>
      <c r="I171" s="18">
        <f t="shared" si="28"/>
        <v>0</v>
      </c>
      <c r="J171" s="18">
        <f t="shared" si="29"/>
        <v>38.520000000000003</v>
      </c>
      <c r="K171" s="14">
        <v>1.92</v>
      </c>
      <c r="L171" s="18">
        <f t="shared" si="30"/>
        <v>0</v>
      </c>
      <c r="M171" s="18">
        <f t="shared" si="31"/>
        <v>1.92</v>
      </c>
      <c r="N171" s="15">
        <f t="shared" si="32"/>
        <v>279.84000000000003</v>
      </c>
      <c r="O171" s="15">
        <f t="shared" si="23"/>
        <v>0</v>
      </c>
      <c r="P171" s="15">
        <f t="shared" si="24"/>
        <v>279.84000000000003</v>
      </c>
      <c r="Q171" s="5">
        <f t="shared" si="25"/>
        <v>1</v>
      </c>
    </row>
    <row r="172" spans="1:17" x14ac:dyDescent="0.25">
      <c r="A172" s="7">
        <v>46242.083333333336</v>
      </c>
      <c r="B172" s="6">
        <v>0</v>
      </c>
      <c r="C172" s="13">
        <v>0</v>
      </c>
      <c r="D172" s="18">
        <f t="shared" si="22"/>
        <v>0</v>
      </c>
      <c r="E172" s="14">
        <v>393.75</v>
      </c>
      <c r="F172" s="18">
        <f t="shared" si="26"/>
        <v>0</v>
      </c>
      <c r="G172" s="18">
        <f t="shared" si="27"/>
        <v>393.75</v>
      </c>
      <c r="H172" s="14">
        <v>41.16</v>
      </c>
      <c r="I172" s="18">
        <f t="shared" si="28"/>
        <v>0</v>
      </c>
      <c r="J172" s="18">
        <f t="shared" si="29"/>
        <v>41.16</v>
      </c>
      <c r="K172" s="14">
        <v>1.68</v>
      </c>
      <c r="L172" s="18">
        <f t="shared" si="30"/>
        <v>0</v>
      </c>
      <c r="M172" s="18">
        <f t="shared" si="31"/>
        <v>1.68</v>
      </c>
      <c r="N172" s="15">
        <f t="shared" si="32"/>
        <v>436.59</v>
      </c>
      <c r="O172" s="15">
        <f t="shared" si="23"/>
        <v>0</v>
      </c>
      <c r="P172" s="15">
        <f t="shared" si="24"/>
        <v>436.59</v>
      </c>
      <c r="Q172" s="5">
        <f t="shared" si="25"/>
        <v>1</v>
      </c>
    </row>
    <row r="173" spans="1:17" x14ac:dyDescent="0.25">
      <c r="A173" s="7">
        <v>46242.125</v>
      </c>
      <c r="B173" s="6">
        <v>0</v>
      </c>
      <c r="C173" s="13">
        <v>0</v>
      </c>
      <c r="D173" s="18">
        <f t="shared" si="22"/>
        <v>0</v>
      </c>
      <c r="E173" s="14">
        <v>478.8</v>
      </c>
      <c r="F173" s="18">
        <f t="shared" si="26"/>
        <v>0</v>
      </c>
      <c r="G173" s="18">
        <f t="shared" si="27"/>
        <v>478.8</v>
      </c>
      <c r="H173" s="14">
        <v>44.4</v>
      </c>
      <c r="I173" s="18">
        <f t="shared" si="28"/>
        <v>0</v>
      </c>
      <c r="J173" s="18">
        <f t="shared" si="29"/>
        <v>44.4</v>
      </c>
      <c r="K173" s="14">
        <v>1.8</v>
      </c>
      <c r="L173" s="18">
        <f t="shared" si="30"/>
        <v>0</v>
      </c>
      <c r="M173" s="18">
        <f t="shared" si="31"/>
        <v>1.8</v>
      </c>
      <c r="N173" s="15">
        <f t="shared" si="32"/>
        <v>525</v>
      </c>
      <c r="O173" s="15">
        <f t="shared" si="23"/>
        <v>0</v>
      </c>
      <c r="P173" s="15">
        <f t="shared" si="24"/>
        <v>525</v>
      </c>
      <c r="Q173" s="5">
        <f t="shared" si="25"/>
        <v>1</v>
      </c>
    </row>
    <row r="174" spans="1:17" x14ac:dyDescent="0.25">
      <c r="A174" s="7">
        <v>46242.166666666664</v>
      </c>
      <c r="B174" s="6">
        <v>0</v>
      </c>
      <c r="C174" s="13">
        <v>0</v>
      </c>
      <c r="D174" s="18">
        <f t="shared" si="22"/>
        <v>0</v>
      </c>
      <c r="E174" s="14">
        <v>459.9</v>
      </c>
      <c r="F174" s="18">
        <f t="shared" si="26"/>
        <v>0</v>
      </c>
      <c r="G174" s="18">
        <f t="shared" si="27"/>
        <v>459.9</v>
      </c>
      <c r="H174" s="14">
        <v>40.32</v>
      </c>
      <c r="I174" s="18">
        <f t="shared" si="28"/>
        <v>0</v>
      </c>
      <c r="J174" s="18">
        <f t="shared" si="29"/>
        <v>40.32</v>
      </c>
      <c r="K174" s="14">
        <v>1.68</v>
      </c>
      <c r="L174" s="18">
        <f t="shared" si="30"/>
        <v>0</v>
      </c>
      <c r="M174" s="18">
        <f t="shared" si="31"/>
        <v>1.68</v>
      </c>
      <c r="N174" s="15">
        <f t="shared" si="32"/>
        <v>501.9</v>
      </c>
      <c r="O174" s="15">
        <f t="shared" si="23"/>
        <v>0</v>
      </c>
      <c r="P174" s="15">
        <f t="shared" si="24"/>
        <v>501.9</v>
      </c>
      <c r="Q174" s="5">
        <f t="shared" si="25"/>
        <v>1</v>
      </c>
    </row>
    <row r="175" spans="1:17" x14ac:dyDescent="0.25">
      <c r="A175" s="7">
        <v>46242.208333333336</v>
      </c>
      <c r="B175" s="6">
        <v>0</v>
      </c>
      <c r="C175" s="13">
        <v>0</v>
      </c>
      <c r="D175" s="18">
        <f t="shared" si="22"/>
        <v>0</v>
      </c>
      <c r="E175" s="14">
        <v>444.15</v>
      </c>
      <c r="F175" s="18">
        <f t="shared" si="26"/>
        <v>0</v>
      </c>
      <c r="G175" s="18">
        <f t="shared" si="27"/>
        <v>444.15</v>
      </c>
      <c r="H175" s="14">
        <v>40.56</v>
      </c>
      <c r="I175" s="18">
        <f t="shared" si="28"/>
        <v>0</v>
      </c>
      <c r="J175" s="18">
        <f t="shared" si="29"/>
        <v>40.56</v>
      </c>
      <c r="K175" s="14">
        <v>1.68</v>
      </c>
      <c r="L175" s="18">
        <f t="shared" si="30"/>
        <v>0</v>
      </c>
      <c r="M175" s="18">
        <f t="shared" si="31"/>
        <v>1.68</v>
      </c>
      <c r="N175" s="15">
        <f t="shared" si="32"/>
        <v>486.39</v>
      </c>
      <c r="O175" s="15">
        <f t="shared" si="23"/>
        <v>0</v>
      </c>
      <c r="P175" s="15">
        <f t="shared" si="24"/>
        <v>486.39</v>
      </c>
      <c r="Q175" s="5">
        <f t="shared" si="25"/>
        <v>1</v>
      </c>
    </row>
    <row r="176" spans="1:17" x14ac:dyDescent="0.25">
      <c r="A176" s="7">
        <v>46242.25</v>
      </c>
      <c r="B176" s="6">
        <v>0</v>
      </c>
      <c r="C176" s="13">
        <v>0</v>
      </c>
      <c r="D176" s="18">
        <f t="shared" si="22"/>
        <v>0</v>
      </c>
      <c r="E176" s="14">
        <v>214.2</v>
      </c>
      <c r="F176" s="18">
        <f t="shared" si="26"/>
        <v>0</v>
      </c>
      <c r="G176" s="18">
        <f t="shared" si="27"/>
        <v>214.2</v>
      </c>
      <c r="H176" s="14">
        <v>54.12</v>
      </c>
      <c r="I176" s="18">
        <f t="shared" si="28"/>
        <v>0</v>
      </c>
      <c r="J176" s="18">
        <f t="shared" si="29"/>
        <v>54.12</v>
      </c>
      <c r="K176" s="14">
        <v>2.4</v>
      </c>
      <c r="L176" s="18">
        <f t="shared" si="30"/>
        <v>0</v>
      </c>
      <c r="M176" s="18">
        <f t="shared" si="31"/>
        <v>2.4</v>
      </c>
      <c r="N176" s="15">
        <f t="shared" si="32"/>
        <v>270.71999999999997</v>
      </c>
      <c r="O176" s="15">
        <f t="shared" si="23"/>
        <v>0</v>
      </c>
      <c r="P176" s="15">
        <f t="shared" si="24"/>
        <v>270.71999999999997</v>
      </c>
      <c r="Q176" s="5">
        <f t="shared" si="25"/>
        <v>1</v>
      </c>
    </row>
    <row r="177" spans="1:17" x14ac:dyDescent="0.25">
      <c r="A177" s="7">
        <v>46242.291666666664</v>
      </c>
      <c r="B177" s="6">
        <v>179.55</v>
      </c>
      <c r="C177" s="13">
        <v>0.24</v>
      </c>
      <c r="D177" s="18">
        <f t="shared" si="22"/>
        <v>179.79000000000002</v>
      </c>
      <c r="E177" s="14">
        <v>22.05</v>
      </c>
      <c r="F177" s="18">
        <f t="shared" si="26"/>
        <v>22.05</v>
      </c>
      <c r="G177" s="18">
        <f t="shared" si="27"/>
        <v>0</v>
      </c>
      <c r="H177" s="14">
        <v>28.2</v>
      </c>
      <c r="I177" s="18">
        <f t="shared" si="28"/>
        <v>28.2</v>
      </c>
      <c r="J177" s="18">
        <f t="shared" si="29"/>
        <v>0</v>
      </c>
      <c r="K177" s="14">
        <v>2.52</v>
      </c>
      <c r="L177" s="18">
        <f t="shared" si="30"/>
        <v>2.52</v>
      </c>
      <c r="M177" s="18">
        <f t="shared" si="31"/>
        <v>0</v>
      </c>
      <c r="N177" s="15">
        <f t="shared" si="32"/>
        <v>52.77</v>
      </c>
      <c r="O177" s="15">
        <f t="shared" si="23"/>
        <v>52.77</v>
      </c>
      <c r="P177" s="15">
        <f t="shared" si="24"/>
        <v>0</v>
      </c>
      <c r="Q177" s="5">
        <f t="shared" si="25"/>
        <v>0</v>
      </c>
    </row>
    <row r="178" spans="1:17" x14ac:dyDescent="0.25">
      <c r="A178" s="7">
        <v>46242.333333333336</v>
      </c>
      <c r="B178" s="6">
        <v>315</v>
      </c>
      <c r="C178" s="13">
        <v>0</v>
      </c>
      <c r="D178" s="18">
        <f t="shared" si="22"/>
        <v>315</v>
      </c>
      <c r="E178" s="14">
        <v>12.6</v>
      </c>
      <c r="F178" s="18">
        <f t="shared" si="26"/>
        <v>12.6</v>
      </c>
      <c r="G178" s="18">
        <f t="shared" si="27"/>
        <v>0</v>
      </c>
      <c r="H178" s="14">
        <v>117.48</v>
      </c>
      <c r="I178" s="18">
        <f t="shared" si="28"/>
        <v>117.48</v>
      </c>
      <c r="J178" s="18">
        <f t="shared" si="29"/>
        <v>0</v>
      </c>
      <c r="K178" s="14">
        <v>12.24</v>
      </c>
      <c r="L178" s="18">
        <f t="shared" si="30"/>
        <v>12.24</v>
      </c>
      <c r="M178" s="18">
        <f t="shared" si="31"/>
        <v>0</v>
      </c>
      <c r="N178" s="15">
        <f t="shared" si="32"/>
        <v>142.32000000000002</v>
      </c>
      <c r="O178" s="15">
        <f t="shared" si="23"/>
        <v>142.32000000000002</v>
      </c>
      <c r="P178" s="15">
        <f t="shared" si="24"/>
        <v>0</v>
      </c>
      <c r="Q178" s="5">
        <f t="shared" si="25"/>
        <v>0</v>
      </c>
    </row>
    <row r="179" spans="1:17" x14ac:dyDescent="0.25">
      <c r="A179" s="7">
        <v>46242.375</v>
      </c>
      <c r="B179" s="6">
        <v>1209.5999999999999</v>
      </c>
      <c r="C179" s="13">
        <v>3.48</v>
      </c>
      <c r="D179" s="18">
        <f t="shared" si="22"/>
        <v>1213.08</v>
      </c>
      <c r="E179" s="14">
        <v>0</v>
      </c>
      <c r="F179" s="18">
        <f t="shared" si="26"/>
        <v>0</v>
      </c>
      <c r="G179" s="18">
        <f t="shared" si="27"/>
        <v>0</v>
      </c>
      <c r="H179" s="14">
        <v>29.52</v>
      </c>
      <c r="I179" s="18">
        <f t="shared" si="28"/>
        <v>29.52</v>
      </c>
      <c r="J179" s="18">
        <f t="shared" si="29"/>
        <v>0</v>
      </c>
      <c r="K179" s="14">
        <v>26.4</v>
      </c>
      <c r="L179" s="18">
        <f t="shared" si="30"/>
        <v>26.4</v>
      </c>
      <c r="M179" s="18">
        <f t="shared" si="31"/>
        <v>0</v>
      </c>
      <c r="N179" s="15">
        <f t="shared" si="32"/>
        <v>55.92</v>
      </c>
      <c r="O179" s="15">
        <f t="shared" si="23"/>
        <v>55.92</v>
      </c>
      <c r="P179" s="15">
        <f t="shared" si="24"/>
        <v>0</v>
      </c>
      <c r="Q179" s="5">
        <f t="shared" si="25"/>
        <v>0</v>
      </c>
    </row>
    <row r="180" spans="1:17" x14ac:dyDescent="0.25">
      <c r="A180" s="7">
        <v>46242.416666666664</v>
      </c>
      <c r="B180" s="6">
        <v>1458.45</v>
      </c>
      <c r="C180" s="13">
        <v>6.96</v>
      </c>
      <c r="D180" s="18">
        <f t="shared" si="22"/>
        <v>1465.41</v>
      </c>
      <c r="E180" s="14">
        <v>0</v>
      </c>
      <c r="F180" s="18">
        <f t="shared" si="26"/>
        <v>0</v>
      </c>
      <c r="G180" s="18">
        <f t="shared" si="27"/>
        <v>0</v>
      </c>
      <c r="H180" s="14">
        <v>37.799999999999997</v>
      </c>
      <c r="I180" s="18">
        <f t="shared" si="28"/>
        <v>37.799999999999997</v>
      </c>
      <c r="J180" s="18">
        <f t="shared" si="29"/>
        <v>0</v>
      </c>
      <c r="K180" s="14">
        <v>39</v>
      </c>
      <c r="L180" s="18">
        <f t="shared" si="30"/>
        <v>39</v>
      </c>
      <c r="M180" s="18">
        <f t="shared" si="31"/>
        <v>0</v>
      </c>
      <c r="N180" s="15">
        <f t="shared" si="32"/>
        <v>76.8</v>
      </c>
      <c r="O180" s="15">
        <f t="shared" si="23"/>
        <v>76.8</v>
      </c>
      <c r="P180" s="15">
        <f t="shared" si="24"/>
        <v>0</v>
      </c>
      <c r="Q180" s="5">
        <f t="shared" si="25"/>
        <v>0</v>
      </c>
    </row>
    <row r="181" spans="1:17" x14ac:dyDescent="0.25">
      <c r="A181" s="7">
        <v>46242.458333333336</v>
      </c>
      <c r="B181" s="6">
        <v>1836.45</v>
      </c>
      <c r="C181" s="13">
        <v>12.36</v>
      </c>
      <c r="D181" s="18">
        <f t="shared" si="22"/>
        <v>1848.81</v>
      </c>
      <c r="E181" s="14">
        <v>0</v>
      </c>
      <c r="F181" s="18">
        <f t="shared" si="26"/>
        <v>0</v>
      </c>
      <c r="G181" s="18">
        <f t="shared" si="27"/>
        <v>0</v>
      </c>
      <c r="H181" s="14">
        <v>14.04</v>
      </c>
      <c r="I181" s="18">
        <f t="shared" si="28"/>
        <v>14.04</v>
      </c>
      <c r="J181" s="18">
        <f t="shared" si="29"/>
        <v>0</v>
      </c>
      <c r="K181" s="14">
        <v>48.12</v>
      </c>
      <c r="L181" s="18">
        <f t="shared" si="30"/>
        <v>48.12</v>
      </c>
      <c r="M181" s="18">
        <f t="shared" si="31"/>
        <v>0</v>
      </c>
      <c r="N181" s="15">
        <f t="shared" si="32"/>
        <v>62.16</v>
      </c>
      <c r="O181" s="15">
        <f t="shared" si="23"/>
        <v>62.16</v>
      </c>
      <c r="P181" s="15">
        <f t="shared" si="24"/>
        <v>0</v>
      </c>
      <c r="Q181" s="5">
        <f t="shared" si="25"/>
        <v>0</v>
      </c>
    </row>
    <row r="182" spans="1:17" x14ac:dyDescent="0.25">
      <c r="A182" s="7">
        <v>46242.5</v>
      </c>
      <c r="B182" s="6">
        <v>2526.3000000000002</v>
      </c>
      <c r="C182" s="13">
        <v>14.52</v>
      </c>
      <c r="D182" s="18">
        <f t="shared" si="22"/>
        <v>2540.8200000000002</v>
      </c>
      <c r="E182" s="14">
        <v>0</v>
      </c>
      <c r="F182" s="18">
        <f t="shared" si="26"/>
        <v>0</v>
      </c>
      <c r="G182" s="18">
        <f t="shared" si="27"/>
        <v>0</v>
      </c>
      <c r="H182" s="14">
        <v>22.92</v>
      </c>
      <c r="I182" s="18">
        <f t="shared" si="28"/>
        <v>22.92</v>
      </c>
      <c r="J182" s="18">
        <f t="shared" si="29"/>
        <v>0</v>
      </c>
      <c r="K182" s="14">
        <v>49.08</v>
      </c>
      <c r="L182" s="18">
        <f t="shared" si="30"/>
        <v>49.08</v>
      </c>
      <c r="M182" s="18">
        <f t="shared" si="31"/>
        <v>0</v>
      </c>
      <c r="N182" s="15">
        <f t="shared" si="32"/>
        <v>72</v>
      </c>
      <c r="O182" s="15">
        <f t="shared" si="23"/>
        <v>72</v>
      </c>
      <c r="P182" s="15">
        <f t="shared" si="24"/>
        <v>0</v>
      </c>
      <c r="Q182" s="5">
        <f t="shared" si="25"/>
        <v>0</v>
      </c>
    </row>
    <row r="183" spans="1:17" x14ac:dyDescent="0.25">
      <c r="A183" s="7">
        <v>46242.541666666664</v>
      </c>
      <c r="B183" s="6">
        <v>2784.6</v>
      </c>
      <c r="C183" s="13">
        <v>34.08</v>
      </c>
      <c r="D183" s="18">
        <f t="shared" si="22"/>
        <v>2818.68</v>
      </c>
      <c r="E183" s="14">
        <v>0</v>
      </c>
      <c r="F183" s="18">
        <f t="shared" si="26"/>
        <v>0</v>
      </c>
      <c r="G183" s="18">
        <f t="shared" si="27"/>
        <v>0</v>
      </c>
      <c r="H183" s="14">
        <v>2.52</v>
      </c>
      <c r="I183" s="18">
        <f t="shared" si="28"/>
        <v>2.52</v>
      </c>
      <c r="J183" s="18">
        <f t="shared" si="29"/>
        <v>0</v>
      </c>
      <c r="K183" s="14">
        <v>37.799999999999997</v>
      </c>
      <c r="L183" s="18">
        <f t="shared" si="30"/>
        <v>37.799999999999997</v>
      </c>
      <c r="M183" s="18">
        <f t="shared" si="31"/>
        <v>0</v>
      </c>
      <c r="N183" s="15">
        <f t="shared" si="32"/>
        <v>40.32</v>
      </c>
      <c r="O183" s="15">
        <f t="shared" si="23"/>
        <v>40.32</v>
      </c>
      <c r="P183" s="15">
        <f t="shared" si="24"/>
        <v>0</v>
      </c>
      <c r="Q183" s="5">
        <f t="shared" si="25"/>
        <v>0</v>
      </c>
    </row>
    <row r="184" spans="1:17" x14ac:dyDescent="0.25">
      <c r="A184" s="7">
        <v>46242.583333333336</v>
      </c>
      <c r="B184" s="6">
        <v>2249.1</v>
      </c>
      <c r="C184" s="13">
        <v>11.28</v>
      </c>
      <c r="D184" s="18">
        <f t="shared" si="22"/>
        <v>2260.38</v>
      </c>
      <c r="E184" s="14">
        <v>0</v>
      </c>
      <c r="F184" s="18">
        <f t="shared" si="26"/>
        <v>0</v>
      </c>
      <c r="G184" s="18">
        <f t="shared" si="27"/>
        <v>0</v>
      </c>
      <c r="H184" s="14">
        <v>13.44</v>
      </c>
      <c r="I184" s="18">
        <f t="shared" si="28"/>
        <v>13.44</v>
      </c>
      <c r="J184" s="18">
        <f t="shared" si="29"/>
        <v>0</v>
      </c>
      <c r="K184" s="14">
        <v>33.6</v>
      </c>
      <c r="L184" s="18">
        <f t="shared" si="30"/>
        <v>33.6</v>
      </c>
      <c r="M184" s="18">
        <f t="shared" si="31"/>
        <v>0</v>
      </c>
      <c r="N184" s="15">
        <f t="shared" si="32"/>
        <v>47.04</v>
      </c>
      <c r="O184" s="15">
        <f t="shared" si="23"/>
        <v>47.04</v>
      </c>
      <c r="P184" s="15">
        <f t="shared" si="24"/>
        <v>0</v>
      </c>
      <c r="Q184" s="5">
        <f t="shared" si="25"/>
        <v>0</v>
      </c>
    </row>
    <row r="185" spans="1:17" x14ac:dyDescent="0.25">
      <c r="A185" s="7">
        <v>46242.625</v>
      </c>
      <c r="B185" s="6">
        <v>1581.3</v>
      </c>
      <c r="C185" s="13">
        <v>3</v>
      </c>
      <c r="D185" s="18">
        <f t="shared" si="22"/>
        <v>1584.3</v>
      </c>
      <c r="E185" s="14">
        <v>0</v>
      </c>
      <c r="F185" s="18">
        <f t="shared" si="26"/>
        <v>0</v>
      </c>
      <c r="G185" s="18">
        <f t="shared" si="27"/>
        <v>0</v>
      </c>
      <c r="H185" s="14">
        <v>30</v>
      </c>
      <c r="I185" s="18">
        <f t="shared" si="28"/>
        <v>30</v>
      </c>
      <c r="J185" s="18">
        <f t="shared" si="29"/>
        <v>0</v>
      </c>
      <c r="K185" s="14">
        <v>41.4</v>
      </c>
      <c r="L185" s="18">
        <f t="shared" si="30"/>
        <v>41.4</v>
      </c>
      <c r="M185" s="18">
        <f t="shared" si="31"/>
        <v>0</v>
      </c>
      <c r="N185" s="15">
        <f t="shared" si="32"/>
        <v>71.400000000000006</v>
      </c>
      <c r="O185" s="15">
        <f t="shared" si="23"/>
        <v>71.400000000000006</v>
      </c>
      <c r="P185" s="15">
        <f t="shared" si="24"/>
        <v>0</v>
      </c>
      <c r="Q185" s="5">
        <f t="shared" si="25"/>
        <v>0</v>
      </c>
    </row>
    <row r="186" spans="1:17" x14ac:dyDescent="0.25">
      <c r="A186" s="7">
        <v>46242.666666666664</v>
      </c>
      <c r="B186" s="6">
        <v>765.45</v>
      </c>
      <c r="C186" s="13">
        <v>0.84</v>
      </c>
      <c r="D186" s="18">
        <f t="shared" si="22"/>
        <v>766.29000000000008</v>
      </c>
      <c r="E186" s="14">
        <v>0</v>
      </c>
      <c r="F186" s="18">
        <f t="shared" si="26"/>
        <v>0</v>
      </c>
      <c r="G186" s="18">
        <f t="shared" si="27"/>
        <v>0</v>
      </c>
      <c r="H186" s="14">
        <v>72.84</v>
      </c>
      <c r="I186" s="18">
        <f t="shared" si="28"/>
        <v>72.84</v>
      </c>
      <c r="J186" s="18">
        <f t="shared" si="29"/>
        <v>0</v>
      </c>
      <c r="K186" s="14">
        <v>36.24</v>
      </c>
      <c r="L186" s="18">
        <f t="shared" si="30"/>
        <v>36.24</v>
      </c>
      <c r="M186" s="18">
        <f t="shared" si="31"/>
        <v>0</v>
      </c>
      <c r="N186" s="15">
        <f t="shared" si="32"/>
        <v>109.08000000000001</v>
      </c>
      <c r="O186" s="15">
        <f t="shared" si="23"/>
        <v>109.08000000000001</v>
      </c>
      <c r="P186" s="15">
        <f t="shared" si="24"/>
        <v>0</v>
      </c>
      <c r="Q186" s="5">
        <f t="shared" si="25"/>
        <v>0</v>
      </c>
    </row>
    <row r="187" spans="1:17" x14ac:dyDescent="0.25">
      <c r="A187" s="7">
        <v>46242.708333333336</v>
      </c>
      <c r="B187" s="6">
        <v>97.65</v>
      </c>
      <c r="C187" s="13">
        <v>0</v>
      </c>
      <c r="D187" s="18">
        <f t="shared" si="22"/>
        <v>97.65</v>
      </c>
      <c r="E187" s="14">
        <v>53.55</v>
      </c>
      <c r="F187" s="18">
        <f t="shared" si="26"/>
        <v>31.801724137931032</v>
      </c>
      <c r="G187" s="18">
        <f t="shared" si="27"/>
        <v>21.748275862068965</v>
      </c>
      <c r="H187" s="14">
        <v>68.28</v>
      </c>
      <c r="I187" s="18">
        <f t="shared" si="28"/>
        <v>40.549425287356328</v>
      </c>
      <c r="J187" s="18">
        <f t="shared" si="29"/>
        <v>27.730574712643676</v>
      </c>
      <c r="K187" s="14">
        <v>42.6</v>
      </c>
      <c r="L187" s="18">
        <f t="shared" si="30"/>
        <v>25.298850574712645</v>
      </c>
      <c r="M187" s="18">
        <f t="shared" si="31"/>
        <v>17.301149425287356</v>
      </c>
      <c r="N187" s="15">
        <f t="shared" si="32"/>
        <v>164.43</v>
      </c>
      <c r="O187" s="15">
        <f t="shared" si="23"/>
        <v>97.65</v>
      </c>
      <c r="P187" s="15">
        <f t="shared" si="24"/>
        <v>66.78</v>
      </c>
      <c r="Q187" s="5">
        <f t="shared" si="25"/>
        <v>0.4061302681992337</v>
      </c>
    </row>
    <row r="188" spans="1:17" x14ac:dyDescent="0.25">
      <c r="A188" s="7">
        <v>46242.75</v>
      </c>
      <c r="B188" s="6">
        <v>31.5</v>
      </c>
      <c r="C188" s="13">
        <v>0</v>
      </c>
      <c r="D188" s="18">
        <f t="shared" si="22"/>
        <v>31.5</v>
      </c>
      <c r="E188" s="14">
        <v>144.9</v>
      </c>
      <c r="F188" s="18">
        <f t="shared" si="26"/>
        <v>21.654568744662683</v>
      </c>
      <c r="G188" s="18">
        <f t="shared" si="27"/>
        <v>123.24543125533732</v>
      </c>
      <c r="H188" s="14">
        <v>37.92</v>
      </c>
      <c r="I188" s="18">
        <f t="shared" si="28"/>
        <v>5.6669513236549989</v>
      </c>
      <c r="J188" s="18">
        <f t="shared" si="29"/>
        <v>32.253048676345003</v>
      </c>
      <c r="K188" s="14">
        <v>27.96</v>
      </c>
      <c r="L188" s="18">
        <f t="shared" si="30"/>
        <v>4.1784799316823218</v>
      </c>
      <c r="M188" s="18">
        <f t="shared" si="31"/>
        <v>23.781520068317679</v>
      </c>
      <c r="N188" s="15">
        <f t="shared" si="32"/>
        <v>210.78</v>
      </c>
      <c r="O188" s="15">
        <f t="shared" si="23"/>
        <v>31.5</v>
      </c>
      <c r="P188" s="15">
        <f t="shared" si="24"/>
        <v>179.28</v>
      </c>
      <c r="Q188" s="5">
        <f t="shared" si="25"/>
        <v>0.85055508112724165</v>
      </c>
    </row>
    <row r="189" spans="1:17" x14ac:dyDescent="0.25">
      <c r="A189" s="7">
        <v>46242.791666666664</v>
      </c>
      <c r="B189" s="6">
        <v>0</v>
      </c>
      <c r="C189" s="13">
        <v>0</v>
      </c>
      <c r="D189" s="18">
        <f t="shared" si="22"/>
        <v>0</v>
      </c>
      <c r="E189" s="14">
        <v>163.80000000000001</v>
      </c>
      <c r="F189" s="18">
        <f t="shared" si="26"/>
        <v>0</v>
      </c>
      <c r="G189" s="18">
        <f t="shared" si="27"/>
        <v>163.80000000000001</v>
      </c>
      <c r="H189" s="14">
        <v>50.04</v>
      </c>
      <c r="I189" s="18">
        <f t="shared" si="28"/>
        <v>0</v>
      </c>
      <c r="J189" s="18">
        <f t="shared" si="29"/>
        <v>50.04</v>
      </c>
      <c r="K189" s="14">
        <v>33.840000000000003</v>
      </c>
      <c r="L189" s="18">
        <f t="shared" si="30"/>
        <v>0</v>
      </c>
      <c r="M189" s="18">
        <f t="shared" si="31"/>
        <v>33.840000000000003</v>
      </c>
      <c r="N189" s="15">
        <f t="shared" si="32"/>
        <v>247.68</v>
      </c>
      <c r="O189" s="15">
        <f t="shared" si="23"/>
        <v>0</v>
      </c>
      <c r="P189" s="15">
        <f t="shared" si="24"/>
        <v>247.68</v>
      </c>
      <c r="Q189" s="5">
        <f t="shared" si="25"/>
        <v>1</v>
      </c>
    </row>
    <row r="190" spans="1:17" x14ac:dyDescent="0.25">
      <c r="A190" s="7">
        <v>46242.833333333336</v>
      </c>
      <c r="B190" s="6">
        <v>0</v>
      </c>
      <c r="C190" s="13">
        <v>0</v>
      </c>
      <c r="D190" s="18">
        <f t="shared" si="22"/>
        <v>0</v>
      </c>
      <c r="E190" s="14">
        <v>324.45</v>
      </c>
      <c r="F190" s="18">
        <f t="shared" si="26"/>
        <v>0</v>
      </c>
      <c r="G190" s="18">
        <f t="shared" si="27"/>
        <v>324.45</v>
      </c>
      <c r="H190" s="14">
        <v>44.76</v>
      </c>
      <c r="I190" s="18">
        <f t="shared" si="28"/>
        <v>0</v>
      </c>
      <c r="J190" s="18">
        <f t="shared" si="29"/>
        <v>44.76</v>
      </c>
      <c r="K190" s="14">
        <v>5.76</v>
      </c>
      <c r="L190" s="18">
        <f t="shared" si="30"/>
        <v>0</v>
      </c>
      <c r="M190" s="18">
        <f t="shared" si="31"/>
        <v>5.76</v>
      </c>
      <c r="N190" s="15">
        <f t="shared" si="32"/>
        <v>374.96999999999997</v>
      </c>
      <c r="O190" s="15">
        <f t="shared" si="23"/>
        <v>0</v>
      </c>
      <c r="P190" s="15">
        <f t="shared" si="24"/>
        <v>374.96999999999997</v>
      </c>
      <c r="Q190" s="5">
        <f t="shared" si="25"/>
        <v>1</v>
      </c>
    </row>
    <row r="191" spans="1:17" x14ac:dyDescent="0.25">
      <c r="A191" s="7">
        <v>46242.875</v>
      </c>
      <c r="B191" s="6">
        <v>0</v>
      </c>
      <c r="C191" s="13">
        <v>0</v>
      </c>
      <c r="D191" s="18">
        <f t="shared" si="22"/>
        <v>0</v>
      </c>
      <c r="E191" s="14">
        <v>428.4</v>
      </c>
      <c r="F191" s="18">
        <f t="shared" si="26"/>
        <v>0</v>
      </c>
      <c r="G191" s="18">
        <f t="shared" si="27"/>
        <v>428.4</v>
      </c>
      <c r="H191" s="14">
        <v>40.799999999999997</v>
      </c>
      <c r="I191" s="18">
        <f t="shared" si="28"/>
        <v>0</v>
      </c>
      <c r="J191" s="18">
        <f t="shared" si="29"/>
        <v>40.799999999999997</v>
      </c>
      <c r="K191" s="14">
        <v>15.72</v>
      </c>
      <c r="L191" s="18">
        <f t="shared" si="30"/>
        <v>0</v>
      </c>
      <c r="M191" s="18">
        <f t="shared" si="31"/>
        <v>15.72</v>
      </c>
      <c r="N191" s="15">
        <f t="shared" si="32"/>
        <v>484.92</v>
      </c>
      <c r="O191" s="15">
        <f t="shared" si="23"/>
        <v>0</v>
      </c>
      <c r="P191" s="15">
        <f t="shared" si="24"/>
        <v>484.92</v>
      </c>
      <c r="Q191" s="5">
        <f t="shared" si="25"/>
        <v>1</v>
      </c>
    </row>
    <row r="192" spans="1:17" x14ac:dyDescent="0.25">
      <c r="A192" s="7">
        <v>46242.916666666664</v>
      </c>
      <c r="B192" s="6">
        <v>0</v>
      </c>
      <c r="C192" s="13">
        <v>0</v>
      </c>
      <c r="D192" s="18">
        <f t="shared" si="22"/>
        <v>0</v>
      </c>
      <c r="E192" s="14">
        <v>261.45</v>
      </c>
      <c r="F192" s="18">
        <f t="shared" si="26"/>
        <v>0</v>
      </c>
      <c r="G192" s="18">
        <f t="shared" si="27"/>
        <v>261.45</v>
      </c>
      <c r="H192" s="14">
        <v>39.72</v>
      </c>
      <c r="I192" s="18">
        <f t="shared" si="28"/>
        <v>0</v>
      </c>
      <c r="J192" s="18">
        <f t="shared" si="29"/>
        <v>39.72</v>
      </c>
      <c r="K192" s="14">
        <v>1.8</v>
      </c>
      <c r="L192" s="18">
        <f t="shared" si="30"/>
        <v>0</v>
      </c>
      <c r="M192" s="18">
        <f t="shared" si="31"/>
        <v>1.8</v>
      </c>
      <c r="N192" s="15">
        <f t="shared" si="32"/>
        <v>302.96999999999997</v>
      </c>
      <c r="O192" s="15">
        <f t="shared" si="23"/>
        <v>0</v>
      </c>
      <c r="P192" s="15">
        <f t="shared" si="24"/>
        <v>302.96999999999997</v>
      </c>
      <c r="Q192" s="5">
        <f t="shared" si="25"/>
        <v>1</v>
      </c>
    </row>
    <row r="193" spans="1:17" x14ac:dyDescent="0.25">
      <c r="A193" s="7">
        <v>46242.958333333336</v>
      </c>
      <c r="B193" s="6">
        <v>0</v>
      </c>
      <c r="C193" s="13">
        <v>0</v>
      </c>
      <c r="D193" s="18">
        <f t="shared" si="22"/>
        <v>0</v>
      </c>
      <c r="E193" s="14">
        <v>217.35</v>
      </c>
      <c r="F193" s="18">
        <f t="shared" si="26"/>
        <v>0</v>
      </c>
      <c r="G193" s="18">
        <f t="shared" si="27"/>
        <v>217.35</v>
      </c>
      <c r="H193" s="14">
        <v>40.68</v>
      </c>
      <c r="I193" s="18">
        <f t="shared" si="28"/>
        <v>0</v>
      </c>
      <c r="J193" s="18">
        <f t="shared" si="29"/>
        <v>40.68</v>
      </c>
      <c r="K193" s="14">
        <v>1.68</v>
      </c>
      <c r="L193" s="18">
        <f t="shared" si="30"/>
        <v>0</v>
      </c>
      <c r="M193" s="18">
        <f t="shared" si="31"/>
        <v>1.68</v>
      </c>
      <c r="N193" s="15">
        <f t="shared" si="32"/>
        <v>259.70999999999998</v>
      </c>
      <c r="O193" s="15">
        <f t="shared" si="23"/>
        <v>0</v>
      </c>
      <c r="P193" s="15">
        <f t="shared" si="24"/>
        <v>259.70999999999998</v>
      </c>
      <c r="Q193" s="5">
        <f t="shared" si="25"/>
        <v>1</v>
      </c>
    </row>
    <row r="194" spans="1:17" x14ac:dyDescent="0.25">
      <c r="A194" s="7">
        <v>46243</v>
      </c>
      <c r="B194" s="6">
        <v>0</v>
      </c>
      <c r="C194" s="13">
        <v>0</v>
      </c>
      <c r="D194" s="18">
        <f t="shared" ref="D194:D257" si="33">+B194+C194</f>
        <v>0</v>
      </c>
      <c r="E194" s="14">
        <v>393.75</v>
      </c>
      <c r="F194" s="18">
        <f t="shared" si="26"/>
        <v>0</v>
      </c>
      <c r="G194" s="18">
        <f t="shared" si="27"/>
        <v>393.75</v>
      </c>
      <c r="H194" s="14">
        <v>42.36</v>
      </c>
      <c r="I194" s="18">
        <f t="shared" si="28"/>
        <v>0</v>
      </c>
      <c r="J194" s="18">
        <f t="shared" si="29"/>
        <v>42.36</v>
      </c>
      <c r="K194" s="14">
        <v>1.68</v>
      </c>
      <c r="L194" s="18">
        <f t="shared" si="30"/>
        <v>0</v>
      </c>
      <c r="M194" s="18">
        <f t="shared" si="31"/>
        <v>1.68</v>
      </c>
      <c r="N194" s="15">
        <f t="shared" si="32"/>
        <v>437.79</v>
      </c>
      <c r="O194" s="15">
        <f t="shared" ref="O194:O257" si="34">+N194-P194</f>
        <v>0</v>
      </c>
      <c r="P194" s="15">
        <f t="shared" ref="P194:P257" si="35">+IF(N194&gt;D194,N194-D194,0)</f>
        <v>437.79</v>
      </c>
      <c r="Q194" s="5">
        <f t="shared" ref="Q194:Q257" si="36">+IF(P194=0,P194,P194/N194)</f>
        <v>1</v>
      </c>
    </row>
    <row r="195" spans="1:17" x14ac:dyDescent="0.25">
      <c r="A195" s="7">
        <v>46243.041666666664</v>
      </c>
      <c r="B195" s="6">
        <v>0</v>
      </c>
      <c r="C195" s="13">
        <v>0</v>
      </c>
      <c r="D195" s="18">
        <f t="shared" si="33"/>
        <v>0</v>
      </c>
      <c r="E195" s="14">
        <v>166.95</v>
      </c>
      <c r="F195" s="18">
        <f t="shared" ref="F195:F258" si="37">+E195-G195</f>
        <v>0</v>
      </c>
      <c r="G195" s="18">
        <f t="shared" ref="G195:G258" si="38">+E195*Q195</f>
        <v>166.95</v>
      </c>
      <c r="H195" s="14">
        <v>41.04</v>
      </c>
      <c r="I195" s="18">
        <f t="shared" ref="I195:I258" si="39">+H195-J195</f>
        <v>0</v>
      </c>
      <c r="J195" s="18">
        <f t="shared" ref="J195:J258" si="40">+H195*Q195</f>
        <v>41.04</v>
      </c>
      <c r="K195" s="14">
        <v>1.68</v>
      </c>
      <c r="L195" s="18">
        <f t="shared" ref="L195:L258" si="41">+K195-M195</f>
        <v>0</v>
      </c>
      <c r="M195" s="18">
        <f t="shared" ref="M195:M258" si="42">+K195*Q195</f>
        <v>1.68</v>
      </c>
      <c r="N195" s="15">
        <f t="shared" ref="N195:N258" si="43">+E195+H195+K195</f>
        <v>209.67</v>
      </c>
      <c r="O195" s="15">
        <f t="shared" si="34"/>
        <v>0</v>
      </c>
      <c r="P195" s="15">
        <f t="shared" si="35"/>
        <v>209.67</v>
      </c>
      <c r="Q195" s="5">
        <f t="shared" si="36"/>
        <v>1</v>
      </c>
    </row>
    <row r="196" spans="1:17" x14ac:dyDescent="0.25">
      <c r="A196" s="7">
        <v>46243.083333333336</v>
      </c>
      <c r="B196" s="6">
        <v>0</v>
      </c>
      <c r="C196" s="13">
        <v>0</v>
      </c>
      <c r="D196" s="18">
        <f t="shared" si="33"/>
        <v>0</v>
      </c>
      <c r="E196" s="14">
        <v>362.25</v>
      </c>
      <c r="F196" s="18">
        <f t="shared" si="37"/>
        <v>0</v>
      </c>
      <c r="G196" s="18">
        <f t="shared" si="38"/>
        <v>362.25</v>
      </c>
      <c r="H196" s="14">
        <v>58.2</v>
      </c>
      <c r="I196" s="18">
        <f t="shared" si="39"/>
        <v>0</v>
      </c>
      <c r="J196" s="18">
        <f t="shared" si="40"/>
        <v>58.2</v>
      </c>
      <c r="K196" s="14">
        <v>1.8</v>
      </c>
      <c r="L196" s="18">
        <f t="shared" si="41"/>
        <v>0</v>
      </c>
      <c r="M196" s="18">
        <f t="shared" si="42"/>
        <v>1.8</v>
      </c>
      <c r="N196" s="15">
        <f t="shared" si="43"/>
        <v>422.25</v>
      </c>
      <c r="O196" s="15">
        <f t="shared" si="34"/>
        <v>0</v>
      </c>
      <c r="P196" s="15">
        <f t="shared" si="35"/>
        <v>422.25</v>
      </c>
      <c r="Q196" s="5">
        <f t="shared" si="36"/>
        <v>1</v>
      </c>
    </row>
    <row r="197" spans="1:17" x14ac:dyDescent="0.25">
      <c r="A197" s="7">
        <v>46243.125</v>
      </c>
      <c r="B197" s="6">
        <v>0</v>
      </c>
      <c r="C197" s="13">
        <v>0</v>
      </c>
      <c r="D197" s="18">
        <f t="shared" si="33"/>
        <v>0</v>
      </c>
      <c r="E197" s="14">
        <v>428.4</v>
      </c>
      <c r="F197" s="18">
        <f t="shared" si="37"/>
        <v>0</v>
      </c>
      <c r="G197" s="18">
        <f t="shared" si="38"/>
        <v>428.4</v>
      </c>
      <c r="H197" s="14">
        <v>57.72</v>
      </c>
      <c r="I197" s="18">
        <f t="shared" si="39"/>
        <v>0</v>
      </c>
      <c r="J197" s="18">
        <f t="shared" si="40"/>
        <v>57.72</v>
      </c>
      <c r="K197" s="14">
        <v>1.68</v>
      </c>
      <c r="L197" s="18">
        <f t="shared" si="41"/>
        <v>0</v>
      </c>
      <c r="M197" s="18">
        <f t="shared" si="42"/>
        <v>1.68</v>
      </c>
      <c r="N197" s="15">
        <f t="shared" si="43"/>
        <v>487.8</v>
      </c>
      <c r="O197" s="15">
        <f t="shared" si="34"/>
        <v>0</v>
      </c>
      <c r="P197" s="15">
        <f t="shared" si="35"/>
        <v>487.8</v>
      </c>
      <c r="Q197" s="5">
        <f t="shared" si="36"/>
        <v>1</v>
      </c>
    </row>
    <row r="198" spans="1:17" x14ac:dyDescent="0.25">
      <c r="A198" s="7">
        <v>46243.166666666664</v>
      </c>
      <c r="B198" s="6">
        <v>0</v>
      </c>
      <c r="C198" s="13">
        <v>0</v>
      </c>
      <c r="D198" s="18">
        <f t="shared" si="33"/>
        <v>0</v>
      </c>
      <c r="E198" s="14">
        <v>371.7</v>
      </c>
      <c r="F198" s="18">
        <f t="shared" si="37"/>
        <v>0</v>
      </c>
      <c r="G198" s="18">
        <f t="shared" si="38"/>
        <v>371.7</v>
      </c>
      <c r="H198" s="14">
        <v>43.2</v>
      </c>
      <c r="I198" s="18">
        <f t="shared" si="39"/>
        <v>0</v>
      </c>
      <c r="J198" s="18">
        <f t="shared" si="40"/>
        <v>43.2</v>
      </c>
      <c r="K198" s="14">
        <v>1.68</v>
      </c>
      <c r="L198" s="18">
        <f t="shared" si="41"/>
        <v>0</v>
      </c>
      <c r="M198" s="18">
        <f t="shared" si="42"/>
        <v>1.68</v>
      </c>
      <c r="N198" s="15">
        <f t="shared" si="43"/>
        <v>416.58</v>
      </c>
      <c r="O198" s="15">
        <f t="shared" si="34"/>
        <v>0</v>
      </c>
      <c r="P198" s="15">
        <f t="shared" si="35"/>
        <v>416.58</v>
      </c>
      <c r="Q198" s="5">
        <f t="shared" si="36"/>
        <v>1</v>
      </c>
    </row>
    <row r="199" spans="1:17" x14ac:dyDescent="0.25">
      <c r="A199" s="7">
        <v>46243.208333333336</v>
      </c>
      <c r="B199" s="6">
        <v>0</v>
      </c>
      <c r="C199" s="13">
        <v>0</v>
      </c>
      <c r="D199" s="18">
        <f t="shared" si="33"/>
        <v>0</v>
      </c>
      <c r="E199" s="14">
        <v>418.95</v>
      </c>
      <c r="F199" s="18">
        <f t="shared" si="37"/>
        <v>0</v>
      </c>
      <c r="G199" s="18">
        <f t="shared" si="38"/>
        <v>418.95</v>
      </c>
      <c r="H199" s="14">
        <v>42.12</v>
      </c>
      <c r="I199" s="18">
        <f t="shared" si="39"/>
        <v>0</v>
      </c>
      <c r="J199" s="18">
        <f t="shared" si="40"/>
        <v>42.12</v>
      </c>
      <c r="K199" s="14">
        <v>1.8</v>
      </c>
      <c r="L199" s="18">
        <f t="shared" si="41"/>
        <v>0</v>
      </c>
      <c r="M199" s="18">
        <f t="shared" si="42"/>
        <v>1.8</v>
      </c>
      <c r="N199" s="15">
        <f t="shared" si="43"/>
        <v>462.87</v>
      </c>
      <c r="O199" s="15">
        <f t="shared" si="34"/>
        <v>0</v>
      </c>
      <c r="P199" s="15">
        <f t="shared" si="35"/>
        <v>462.87</v>
      </c>
      <c r="Q199" s="5">
        <f t="shared" si="36"/>
        <v>1</v>
      </c>
    </row>
    <row r="200" spans="1:17" x14ac:dyDescent="0.25">
      <c r="A200" s="7">
        <v>46243.25</v>
      </c>
      <c r="B200" s="6">
        <v>0</v>
      </c>
      <c r="C200" s="13">
        <v>0</v>
      </c>
      <c r="D200" s="18">
        <f t="shared" si="33"/>
        <v>0</v>
      </c>
      <c r="E200" s="14">
        <v>163.80000000000001</v>
      </c>
      <c r="F200" s="18">
        <f t="shared" si="37"/>
        <v>0</v>
      </c>
      <c r="G200" s="18">
        <f t="shared" si="38"/>
        <v>163.80000000000001</v>
      </c>
      <c r="H200" s="14">
        <v>46.32</v>
      </c>
      <c r="I200" s="18">
        <f t="shared" si="39"/>
        <v>0</v>
      </c>
      <c r="J200" s="18">
        <f t="shared" si="40"/>
        <v>46.32</v>
      </c>
      <c r="K200" s="14">
        <v>4.2</v>
      </c>
      <c r="L200" s="18">
        <f t="shared" si="41"/>
        <v>0</v>
      </c>
      <c r="M200" s="18">
        <f t="shared" si="42"/>
        <v>4.2</v>
      </c>
      <c r="N200" s="15">
        <f t="shared" si="43"/>
        <v>214.32</v>
      </c>
      <c r="O200" s="15">
        <f t="shared" si="34"/>
        <v>0</v>
      </c>
      <c r="P200" s="15">
        <f t="shared" si="35"/>
        <v>214.32</v>
      </c>
      <c r="Q200" s="5">
        <f t="shared" si="36"/>
        <v>1</v>
      </c>
    </row>
    <row r="201" spans="1:17" x14ac:dyDescent="0.25">
      <c r="A201" s="7">
        <v>46243.291666666664</v>
      </c>
      <c r="B201" s="6">
        <v>229.95</v>
      </c>
      <c r="C201" s="13">
        <v>0.12</v>
      </c>
      <c r="D201" s="18">
        <f t="shared" si="33"/>
        <v>230.07</v>
      </c>
      <c r="E201" s="14">
        <v>3.15</v>
      </c>
      <c r="F201" s="18">
        <f t="shared" si="37"/>
        <v>3.15</v>
      </c>
      <c r="G201" s="18">
        <f t="shared" si="38"/>
        <v>0</v>
      </c>
      <c r="H201" s="14">
        <v>18.48</v>
      </c>
      <c r="I201" s="18">
        <f t="shared" si="39"/>
        <v>18.48</v>
      </c>
      <c r="J201" s="18">
        <f t="shared" si="40"/>
        <v>0</v>
      </c>
      <c r="K201" s="14">
        <v>2.4</v>
      </c>
      <c r="L201" s="18">
        <f t="shared" si="41"/>
        <v>2.4</v>
      </c>
      <c r="M201" s="18">
        <f t="shared" si="42"/>
        <v>0</v>
      </c>
      <c r="N201" s="15">
        <f t="shared" si="43"/>
        <v>24.029999999999998</v>
      </c>
      <c r="O201" s="15">
        <f t="shared" si="34"/>
        <v>24.029999999999998</v>
      </c>
      <c r="P201" s="15">
        <f t="shared" si="35"/>
        <v>0</v>
      </c>
      <c r="Q201" s="5">
        <f t="shared" si="36"/>
        <v>0</v>
      </c>
    </row>
    <row r="202" spans="1:17" x14ac:dyDescent="0.25">
      <c r="A202" s="7">
        <v>46243.333333333336</v>
      </c>
      <c r="B202" s="6">
        <v>359.1</v>
      </c>
      <c r="C202" s="13">
        <v>0</v>
      </c>
      <c r="D202" s="18">
        <f t="shared" si="33"/>
        <v>359.1</v>
      </c>
      <c r="E202" s="14">
        <v>0</v>
      </c>
      <c r="F202" s="18">
        <f t="shared" si="37"/>
        <v>0</v>
      </c>
      <c r="G202" s="18">
        <f t="shared" si="38"/>
        <v>0</v>
      </c>
      <c r="H202" s="14">
        <v>110.76</v>
      </c>
      <c r="I202" s="18">
        <f t="shared" si="39"/>
        <v>110.76</v>
      </c>
      <c r="J202" s="18">
        <f t="shared" si="40"/>
        <v>0</v>
      </c>
      <c r="K202" s="14">
        <v>1.32</v>
      </c>
      <c r="L202" s="18">
        <f t="shared" si="41"/>
        <v>1.32</v>
      </c>
      <c r="M202" s="18">
        <f t="shared" si="42"/>
        <v>0</v>
      </c>
      <c r="N202" s="15">
        <f t="shared" si="43"/>
        <v>112.08</v>
      </c>
      <c r="O202" s="15">
        <f t="shared" si="34"/>
        <v>112.08</v>
      </c>
      <c r="P202" s="15">
        <f t="shared" si="35"/>
        <v>0</v>
      </c>
      <c r="Q202" s="5">
        <f t="shared" si="36"/>
        <v>0</v>
      </c>
    </row>
    <row r="203" spans="1:17" x14ac:dyDescent="0.25">
      <c r="A203" s="7">
        <v>46243.375</v>
      </c>
      <c r="B203" s="6">
        <v>957.6</v>
      </c>
      <c r="C203" s="13">
        <v>0.24</v>
      </c>
      <c r="D203" s="18">
        <f t="shared" si="33"/>
        <v>957.84</v>
      </c>
      <c r="E203" s="14">
        <v>0</v>
      </c>
      <c r="F203" s="18">
        <f t="shared" si="37"/>
        <v>0</v>
      </c>
      <c r="G203" s="18">
        <f t="shared" si="38"/>
        <v>0</v>
      </c>
      <c r="H203" s="14">
        <v>75.12</v>
      </c>
      <c r="I203" s="18">
        <f t="shared" si="39"/>
        <v>75.12</v>
      </c>
      <c r="J203" s="18">
        <f t="shared" si="40"/>
        <v>0</v>
      </c>
      <c r="K203" s="14">
        <v>31.8</v>
      </c>
      <c r="L203" s="18">
        <f t="shared" si="41"/>
        <v>31.8</v>
      </c>
      <c r="M203" s="18">
        <f t="shared" si="42"/>
        <v>0</v>
      </c>
      <c r="N203" s="15">
        <f t="shared" si="43"/>
        <v>106.92</v>
      </c>
      <c r="O203" s="15">
        <f t="shared" si="34"/>
        <v>106.92</v>
      </c>
      <c r="P203" s="15">
        <f t="shared" si="35"/>
        <v>0</v>
      </c>
      <c r="Q203" s="5">
        <f t="shared" si="36"/>
        <v>0</v>
      </c>
    </row>
    <row r="204" spans="1:17" x14ac:dyDescent="0.25">
      <c r="A204" s="7">
        <v>46243.416666666664</v>
      </c>
      <c r="B204" s="6">
        <v>1600.2</v>
      </c>
      <c r="C204" s="13">
        <v>3.6</v>
      </c>
      <c r="D204" s="18">
        <f t="shared" si="33"/>
        <v>1603.8</v>
      </c>
      <c r="E204" s="14">
        <v>0</v>
      </c>
      <c r="F204" s="18">
        <f t="shared" si="37"/>
        <v>0</v>
      </c>
      <c r="G204" s="18">
        <f t="shared" si="38"/>
        <v>0</v>
      </c>
      <c r="H204" s="14">
        <v>51.72</v>
      </c>
      <c r="I204" s="18">
        <f t="shared" si="39"/>
        <v>51.72</v>
      </c>
      <c r="J204" s="18">
        <f t="shared" si="40"/>
        <v>0</v>
      </c>
      <c r="K204" s="14">
        <v>33.6</v>
      </c>
      <c r="L204" s="18">
        <f t="shared" si="41"/>
        <v>33.6</v>
      </c>
      <c r="M204" s="18">
        <f t="shared" si="42"/>
        <v>0</v>
      </c>
      <c r="N204" s="15">
        <f t="shared" si="43"/>
        <v>85.32</v>
      </c>
      <c r="O204" s="15">
        <f t="shared" si="34"/>
        <v>85.32</v>
      </c>
      <c r="P204" s="15">
        <f t="shared" si="35"/>
        <v>0</v>
      </c>
      <c r="Q204" s="5">
        <f t="shared" si="36"/>
        <v>0</v>
      </c>
    </row>
    <row r="205" spans="1:17" x14ac:dyDescent="0.25">
      <c r="A205" s="7">
        <v>46243.458333333336</v>
      </c>
      <c r="B205" s="6">
        <v>1997.1</v>
      </c>
      <c r="C205" s="13">
        <v>7.44</v>
      </c>
      <c r="D205" s="18">
        <f t="shared" si="33"/>
        <v>2004.54</v>
      </c>
      <c r="E205" s="14">
        <v>0</v>
      </c>
      <c r="F205" s="18">
        <f t="shared" si="37"/>
        <v>0</v>
      </c>
      <c r="G205" s="18">
        <f t="shared" si="38"/>
        <v>0</v>
      </c>
      <c r="H205" s="14">
        <v>21.96</v>
      </c>
      <c r="I205" s="18">
        <f t="shared" si="39"/>
        <v>21.96</v>
      </c>
      <c r="J205" s="18">
        <f t="shared" si="40"/>
        <v>0</v>
      </c>
      <c r="K205" s="14">
        <v>18.600000000000001</v>
      </c>
      <c r="L205" s="18">
        <f t="shared" si="41"/>
        <v>18.600000000000001</v>
      </c>
      <c r="M205" s="18">
        <f t="shared" si="42"/>
        <v>0</v>
      </c>
      <c r="N205" s="15">
        <f t="shared" si="43"/>
        <v>40.56</v>
      </c>
      <c r="O205" s="15">
        <f t="shared" si="34"/>
        <v>40.56</v>
      </c>
      <c r="P205" s="15">
        <f t="shared" si="35"/>
        <v>0</v>
      </c>
      <c r="Q205" s="5">
        <f t="shared" si="36"/>
        <v>0</v>
      </c>
    </row>
    <row r="206" spans="1:17" x14ac:dyDescent="0.25">
      <c r="A206" s="7">
        <v>46243.5</v>
      </c>
      <c r="B206" s="6">
        <v>1971.9</v>
      </c>
      <c r="C206" s="13">
        <v>4.2</v>
      </c>
      <c r="D206" s="18">
        <f t="shared" si="33"/>
        <v>1976.1000000000001</v>
      </c>
      <c r="E206" s="14">
        <v>0</v>
      </c>
      <c r="F206" s="18">
        <f t="shared" si="37"/>
        <v>0</v>
      </c>
      <c r="G206" s="18">
        <f t="shared" si="38"/>
        <v>0</v>
      </c>
      <c r="H206" s="14">
        <v>33.119999999999997</v>
      </c>
      <c r="I206" s="18">
        <f t="shared" si="39"/>
        <v>33.119999999999997</v>
      </c>
      <c r="J206" s="18">
        <f t="shared" si="40"/>
        <v>0</v>
      </c>
      <c r="K206" s="14">
        <v>33.72</v>
      </c>
      <c r="L206" s="18">
        <f t="shared" si="41"/>
        <v>33.72</v>
      </c>
      <c r="M206" s="18">
        <f t="shared" si="42"/>
        <v>0</v>
      </c>
      <c r="N206" s="15">
        <f t="shared" si="43"/>
        <v>66.84</v>
      </c>
      <c r="O206" s="15">
        <f t="shared" si="34"/>
        <v>66.84</v>
      </c>
      <c r="P206" s="15">
        <f t="shared" si="35"/>
        <v>0</v>
      </c>
      <c r="Q206" s="5">
        <f t="shared" si="36"/>
        <v>0</v>
      </c>
    </row>
    <row r="207" spans="1:17" x14ac:dyDescent="0.25">
      <c r="A207" s="7">
        <v>46243.541666666664</v>
      </c>
      <c r="B207" s="6">
        <v>2548.35</v>
      </c>
      <c r="C207" s="13">
        <v>17.16</v>
      </c>
      <c r="D207" s="18">
        <f t="shared" si="33"/>
        <v>2565.5099999999998</v>
      </c>
      <c r="E207" s="14">
        <v>0</v>
      </c>
      <c r="F207" s="18">
        <f t="shared" si="37"/>
        <v>0</v>
      </c>
      <c r="G207" s="18">
        <f t="shared" si="38"/>
        <v>0</v>
      </c>
      <c r="H207" s="14">
        <v>13.68</v>
      </c>
      <c r="I207" s="18">
        <f t="shared" si="39"/>
        <v>13.68</v>
      </c>
      <c r="J207" s="18">
        <f t="shared" si="40"/>
        <v>0</v>
      </c>
      <c r="K207" s="14">
        <v>17.88</v>
      </c>
      <c r="L207" s="18">
        <f t="shared" si="41"/>
        <v>17.88</v>
      </c>
      <c r="M207" s="18">
        <f t="shared" si="42"/>
        <v>0</v>
      </c>
      <c r="N207" s="15">
        <f t="shared" si="43"/>
        <v>31.56</v>
      </c>
      <c r="O207" s="15">
        <f t="shared" si="34"/>
        <v>31.56</v>
      </c>
      <c r="P207" s="15">
        <f t="shared" si="35"/>
        <v>0</v>
      </c>
      <c r="Q207" s="5">
        <f t="shared" si="36"/>
        <v>0</v>
      </c>
    </row>
    <row r="208" spans="1:17" x14ac:dyDescent="0.25">
      <c r="A208" s="7">
        <v>46243.583333333336</v>
      </c>
      <c r="B208" s="6">
        <v>1855.35</v>
      </c>
      <c r="C208" s="13">
        <v>10.199999999999999</v>
      </c>
      <c r="D208" s="18">
        <f t="shared" si="33"/>
        <v>1865.55</v>
      </c>
      <c r="E208" s="14">
        <v>0</v>
      </c>
      <c r="F208" s="18">
        <f t="shared" si="37"/>
        <v>0</v>
      </c>
      <c r="G208" s="18">
        <f t="shared" si="38"/>
        <v>0</v>
      </c>
      <c r="H208" s="14">
        <v>19.32</v>
      </c>
      <c r="I208" s="18">
        <f t="shared" si="39"/>
        <v>19.32</v>
      </c>
      <c r="J208" s="18">
        <f t="shared" si="40"/>
        <v>0</v>
      </c>
      <c r="K208" s="14">
        <v>17.04</v>
      </c>
      <c r="L208" s="18">
        <f t="shared" si="41"/>
        <v>17.04</v>
      </c>
      <c r="M208" s="18">
        <f t="shared" si="42"/>
        <v>0</v>
      </c>
      <c r="N208" s="15">
        <f t="shared" si="43"/>
        <v>36.36</v>
      </c>
      <c r="O208" s="15">
        <f t="shared" si="34"/>
        <v>36.36</v>
      </c>
      <c r="P208" s="15">
        <f t="shared" si="35"/>
        <v>0</v>
      </c>
      <c r="Q208" s="5">
        <f t="shared" si="36"/>
        <v>0</v>
      </c>
    </row>
    <row r="209" spans="1:17" x14ac:dyDescent="0.25">
      <c r="A209" s="7">
        <v>46243.625</v>
      </c>
      <c r="B209" s="6">
        <v>1379.7</v>
      </c>
      <c r="C209" s="13">
        <v>3</v>
      </c>
      <c r="D209" s="18">
        <f t="shared" si="33"/>
        <v>1382.7</v>
      </c>
      <c r="E209" s="14">
        <v>0</v>
      </c>
      <c r="F209" s="18">
        <f t="shared" si="37"/>
        <v>0</v>
      </c>
      <c r="G209" s="18">
        <f t="shared" si="38"/>
        <v>0</v>
      </c>
      <c r="H209" s="14">
        <v>27</v>
      </c>
      <c r="I209" s="18">
        <f t="shared" si="39"/>
        <v>27</v>
      </c>
      <c r="J209" s="18">
        <f t="shared" si="40"/>
        <v>0</v>
      </c>
      <c r="K209" s="14">
        <v>14.52</v>
      </c>
      <c r="L209" s="18">
        <f t="shared" si="41"/>
        <v>14.52</v>
      </c>
      <c r="M209" s="18">
        <f t="shared" si="42"/>
        <v>0</v>
      </c>
      <c r="N209" s="15">
        <f t="shared" si="43"/>
        <v>41.519999999999996</v>
      </c>
      <c r="O209" s="15">
        <f t="shared" si="34"/>
        <v>41.519999999999996</v>
      </c>
      <c r="P209" s="15">
        <f t="shared" si="35"/>
        <v>0</v>
      </c>
      <c r="Q209" s="5">
        <f t="shared" si="36"/>
        <v>0</v>
      </c>
    </row>
    <row r="210" spans="1:17" x14ac:dyDescent="0.25">
      <c r="A210" s="7">
        <v>46243.666666666664</v>
      </c>
      <c r="B210" s="6">
        <v>989.1</v>
      </c>
      <c r="C210" s="13">
        <v>0.6</v>
      </c>
      <c r="D210" s="18">
        <f t="shared" si="33"/>
        <v>989.7</v>
      </c>
      <c r="E210" s="14">
        <v>0</v>
      </c>
      <c r="F210" s="18">
        <f t="shared" si="37"/>
        <v>0</v>
      </c>
      <c r="G210" s="18">
        <f t="shared" si="38"/>
        <v>0</v>
      </c>
      <c r="H210" s="14">
        <v>56.88</v>
      </c>
      <c r="I210" s="18">
        <f t="shared" si="39"/>
        <v>56.88</v>
      </c>
      <c r="J210" s="18">
        <f t="shared" si="40"/>
        <v>0</v>
      </c>
      <c r="K210" s="14">
        <v>22.2</v>
      </c>
      <c r="L210" s="18">
        <f t="shared" si="41"/>
        <v>22.2</v>
      </c>
      <c r="M210" s="18">
        <f t="shared" si="42"/>
        <v>0</v>
      </c>
      <c r="N210" s="15">
        <f t="shared" si="43"/>
        <v>79.08</v>
      </c>
      <c r="O210" s="15">
        <f t="shared" si="34"/>
        <v>79.08</v>
      </c>
      <c r="P210" s="15">
        <f t="shared" si="35"/>
        <v>0</v>
      </c>
      <c r="Q210" s="5">
        <f t="shared" si="36"/>
        <v>0</v>
      </c>
    </row>
    <row r="211" spans="1:17" x14ac:dyDescent="0.25">
      <c r="A211" s="7">
        <v>46243.708333333336</v>
      </c>
      <c r="B211" s="6">
        <v>529.20000000000005</v>
      </c>
      <c r="C211" s="13">
        <v>0</v>
      </c>
      <c r="D211" s="18">
        <f t="shared" si="33"/>
        <v>529.20000000000005</v>
      </c>
      <c r="E211" s="14">
        <v>0</v>
      </c>
      <c r="F211" s="18">
        <f t="shared" si="37"/>
        <v>0</v>
      </c>
      <c r="G211" s="18">
        <f t="shared" si="38"/>
        <v>0</v>
      </c>
      <c r="H211" s="14">
        <v>83.28</v>
      </c>
      <c r="I211" s="18">
        <f t="shared" si="39"/>
        <v>83.28</v>
      </c>
      <c r="J211" s="18">
        <f t="shared" si="40"/>
        <v>0</v>
      </c>
      <c r="K211" s="14">
        <v>20.88</v>
      </c>
      <c r="L211" s="18">
        <f t="shared" si="41"/>
        <v>20.88</v>
      </c>
      <c r="M211" s="18">
        <f t="shared" si="42"/>
        <v>0</v>
      </c>
      <c r="N211" s="15">
        <f t="shared" si="43"/>
        <v>104.16</v>
      </c>
      <c r="O211" s="15">
        <f t="shared" si="34"/>
        <v>104.16</v>
      </c>
      <c r="P211" s="15">
        <f t="shared" si="35"/>
        <v>0</v>
      </c>
      <c r="Q211" s="5">
        <f t="shared" si="36"/>
        <v>0</v>
      </c>
    </row>
    <row r="212" spans="1:17" x14ac:dyDescent="0.25">
      <c r="A212" s="7">
        <v>46243.75</v>
      </c>
      <c r="B212" s="6">
        <v>34.65</v>
      </c>
      <c r="C212" s="13">
        <v>0</v>
      </c>
      <c r="D212" s="18">
        <f t="shared" si="33"/>
        <v>34.65</v>
      </c>
      <c r="E212" s="14">
        <v>18.899999999999999</v>
      </c>
      <c r="F212" s="18">
        <f t="shared" si="37"/>
        <v>5.4546476761619207</v>
      </c>
      <c r="G212" s="18">
        <f t="shared" si="38"/>
        <v>13.445352323838078</v>
      </c>
      <c r="H212" s="14">
        <v>45.48</v>
      </c>
      <c r="I212" s="18">
        <f t="shared" si="39"/>
        <v>13.125787106446779</v>
      </c>
      <c r="J212" s="18">
        <f t="shared" si="40"/>
        <v>32.354212893553218</v>
      </c>
      <c r="K212" s="14">
        <v>55.68</v>
      </c>
      <c r="L212" s="18">
        <f t="shared" si="41"/>
        <v>16.069565217391307</v>
      </c>
      <c r="M212" s="18">
        <f t="shared" si="42"/>
        <v>39.610434782608692</v>
      </c>
      <c r="N212" s="15">
        <f t="shared" si="43"/>
        <v>120.06</v>
      </c>
      <c r="O212" s="15">
        <f t="shared" si="34"/>
        <v>34.650000000000006</v>
      </c>
      <c r="P212" s="15">
        <f t="shared" si="35"/>
        <v>85.41</v>
      </c>
      <c r="Q212" s="5">
        <f t="shared" si="36"/>
        <v>0.71139430284857563</v>
      </c>
    </row>
    <row r="213" spans="1:17" x14ac:dyDescent="0.25">
      <c r="A213" s="7">
        <v>46243.791666666664</v>
      </c>
      <c r="B213" s="6">
        <v>0</v>
      </c>
      <c r="C213" s="13">
        <v>0</v>
      </c>
      <c r="D213" s="18">
        <f t="shared" si="33"/>
        <v>0</v>
      </c>
      <c r="E213" s="14">
        <v>103.95</v>
      </c>
      <c r="F213" s="18">
        <f t="shared" si="37"/>
        <v>0</v>
      </c>
      <c r="G213" s="18">
        <f t="shared" si="38"/>
        <v>103.95</v>
      </c>
      <c r="H213" s="14">
        <v>52.32</v>
      </c>
      <c r="I213" s="18">
        <f t="shared" si="39"/>
        <v>0</v>
      </c>
      <c r="J213" s="18">
        <f t="shared" si="40"/>
        <v>52.32</v>
      </c>
      <c r="K213" s="14">
        <v>37.32</v>
      </c>
      <c r="L213" s="18">
        <f t="shared" si="41"/>
        <v>0</v>
      </c>
      <c r="M213" s="18">
        <f t="shared" si="42"/>
        <v>37.32</v>
      </c>
      <c r="N213" s="15">
        <f t="shared" si="43"/>
        <v>193.59</v>
      </c>
      <c r="O213" s="15">
        <f t="shared" si="34"/>
        <v>0</v>
      </c>
      <c r="P213" s="15">
        <f t="shared" si="35"/>
        <v>193.59</v>
      </c>
      <c r="Q213" s="5">
        <f t="shared" si="36"/>
        <v>1</v>
      </c>
    </row>
    <row r="214" spans="1:17" x14ac:dyDescent="0.25">
      <c r="A214" s="7">
        <v>46243.833333333336</v>
      </c>
      <c r="B214" s="6">
        <v>0</v>
      </c>
      <c r="C214" s="13">
        <v>0</v>
      </c>
      <c r="D214" s="18">
        <f t="shared" si="33"/>
        <v>0</v>
      </c>
      <c r="E214" s="14">
        <v>233.1</v>
      </c>
      <c r="F214" s="18">
        <f t="shared" si="37"/>
        <v>0</v>
      </c>
      <c r="G214" s="18">
        <f t="shared" si="38"/>
        <v>233.1</v>
      </c>
      <c r="H214" s="14">
        <v>58.44</v>
      </c>
      <c r="I214" s="18">
        <f t="shared" si="39"/>
        <v>0</v>
      </c>
      <c r="J214" s="18">
        <f t="shared" si="40"/>
        <v>58.44</v>
      </c>
      <c r="K214" s="14">
        <v>1.92</v>
      </c>
      <c r="L214" s="18">
        <f t="shared" si="41"/>
        <v>0</v>
      </c>
      <c r="M214" s="18">
        <f t="shared" si="42"/>
        <v>1.92</v>
      </c>
      <c r="N214" s="15">
        <f t="shared" si="43"/>
        <v>293.45999999999998</v>
      </c>
      <c r="O214" s="15">
        <f t="shared" si="34"/>
        <v>0</v>
      </c>
      <c r="P214" s="15">
        <f t="shared" si="35"/>
        <v>293.45999999999998</v>
      </c>
      <c r="Q214" s="5">
        <f t="shared" si="36"/>
        <v>1</v>
      </c>
    </row>
    <row r="215" spans="1:17" x14ac:dyDescent="0.25">
      <c r="A215" s="7">
        <v>46243.875</v>
      </c>
      <c r="B215" s="6">
        <v>0</v>
      </c>
      <c r="C215" s="13">
        <v>0</v>
      </c>
      <c r="D215" s="18">
        <f t="shared" si="33"/>
        <v>0</v>
      </c>
      <c r="E215" s="14">
        <v>311.85000000000002</v>
      </c>
      <c r="F215" s="18">
        <f t="shared" si="37"/>
        <v>0</v>
      </c>
      <c r="G215" s="18">
        <f t="shared" si="38"/>
        <v>311.85000000000002</v>
      </c>
      <c r="H215" s="14">
        <v>50.28</v>
      </c>
      <c r="I215" s="18">
        <f t="shared" si="39"/>
        <v>0</v>
      </c>
      <c r="J215" s="18">
        <f t="shared" si="40"/>
        <v>50.28</v>
      </c>
      <c r="K215" s="14">
        <v>5.04</v>
      </c>
      <c r="L215" s="18">
        <f t="shared" si="41"/>
        <v>0</v>
      </c>
      <c r="M215" s="18">
        <f t="shared" si="42"/>
        <v>5.04</v>
      </c>
      <c r="N215" s="15">
        <f t="shared" si="43"/>
        <v>367.17</v>
      </c>
      <c r="O215" s="15">
        <f t="shared" si="34"/>
        <v>0</v>
      </c>
      <c r="P215" s="15">
        <f t="shared" si="35"/>
        <v>367.17</v>
      </c>
      <c r="Q215" s="5">
        <f t="shared" si="36"/>
        <v>1</v>
      </c>
    </row>
    <row r="216" spans="1:17" x14ac:dyDescent="0.25">
      <c r="A216" s="7">
        <v>46243.916666666664</v>
      </c>
      <c r="B216" s="6">
        <v>0</v>
      </c>
      <c r="C216" s="13">
        <v>0</v>
      </c>
      <c r="D216" s="18">
        <f t="shared" si="33"/>
        <v>0</v>
      </c>
      <c r="E216" s="14">
        <v>359.1</v>
      </c>
      <c r="F216" s="18">
        <f t="shared" si="37"/>
        <v>0</v>
      </c>
      <c r="G216" s="18">
        <f t="shared" si="38"/>
        <v>359.1</v>
      </c>
      <c r="H216" s="14">
        <v>61.2</v>
      </c>
      <c r="I216" s="18">
        <f t="shared" si="39"/>
        <v>0</v>
      </c>
      <c r="J216" s="18">
        <f t="shared" si="40"/>
        <v>61.2</v>
      </c>
      <c r="K216" s="14">
        <v>1.68</v>
      </c>
      <c r="L216" s="18">
        <f t="shared" si="41"/>
        <v>0</v>
      </c>
      <c r="M216" s="18">
        <f t="shared" si="42"/>
        <v>1.68</v>
      </c>
      <c r="N216" s="15">
        <f t="shared" si="43"/>
        <v>421.98</v>
      </c>
      <c r="O216" s="15">
        <f t="shared" si="34"/>
        <v>0</v>
      </c>
      <c r="P216" s="15">
        <f t="shared" si="35"/>
        <v>421.98</v>
      </c>
      <c r="Q216" s="5">
        <f t="shared" si="36"/>
        <v>1</v>
      </c>
    </row>
    <row r="217" spans="1:17" x14ac:dyDescent="0.25">
      <c r="A217" s="7">
        <v>46243.958333333336</v>
      </c>
      <c r="B217" s="6">
        <v>0</v>
      </c>
      <c r="C217" s="13">
        <v>0</v>
      </c>
      <c r="D217" s="18">
        <f t="shared" si="33"/>
        <v>0</v>
      </c>
      <c r="E217" s="14">
        <v>381.15</v>
      </c>
      <c r="F217" s="18">
        <f t="shared" si="37"/>
        <v>0</v>
      </c>
      <c r="G217" s="18">
        <f t="shared" si="38"/>
        <v>381.15</v>
      </c>
      <c r="H217" s="14">
        <v>58.44</v>
      </c>
      <c r="I217" s="18">
        <f t="shared" si="39"/>
        <v>0</v>
      </c>
      <c r="J217" s="18">
        <f t="shared" si="40"/>
        <v>58.44</v>
      </c>
      <c r="K217" s="14">
        <v>1.8</v>
      </c>
      <c r="L217" s="18">
        <f t="shared" si="41"/>
        <v>0</v>
      </c>
      <c r="M217" s="18">
        <f t="shared" si="42"/>
        <v>1.8</v>
      </c>
      <c r="N217" s="15">
        <f t="shared" si="43"/>
        <v>441.39</v>
      </c>
      <c r="O217" s="15">
        <f t="shared" si="34"/>
        <v>0</v>
      </c>
      <c r="P217" s="15">
        <f t="shared" si="35"/>
        <v>441.39</v>
      </c>
      <c r="Q217" s="5">
        <f t="shared" si="36"/>
        <v>1</v>
      </c>
    </row>
    <row r="218" spans="1:17" x14ac:dyDescent="0.25">
      <c r="A218" s="7">
        <v>46244</v>
      </c>
      <c r="B218" s="6">
        <v>0</v>
      </c>
      <c r="C218" s="13">
        <v>0</v>
      </c>
      <c r="D218" s="18">
        <f t="shared" si="33"/>
        <v>0</v>
      </c>
      <c r="E218" s="14">
        <v>428.4</v>
      </c>
      <c r="F218" s="18">
        <f t="shared" si="37"/>
        <v>0</v>
      </c>
      <c r="G218" s="18">
        <f t="shared" si="38"/>
        <v>428.4</v>
      </c>
      <c r="H218" s="14">
        <v>44.64</v>
      </c>
      <c r="I218" s="18">
        <f t="shared" si="39"/>
        <v>0</v>
      </c>
      <c r="J218" s="18">
        <f t="shared" si="40"/>
        <v>44.64</v>
      </c>
      <c r="K218" s="14">
        <v>1.8</v>
      </c>
      <c r="L218" s="18">
        <f t="shared" si="41"/>
        <v>0</v>
      </c>
      <c r="M218" s="18">
        <f t="shared" si="42"/>
        <v>1.8</v>
      </c>
      <c r="N218" s="15">
        <f t="shared" si="43"/>
        <v>474.84</v>
      </c>
      <c r="O218" s="15">
        <f t="shared" si="34"/>
        <v>0</v>
      </c>
      <c r="P218" s="15">
        <f t="shared" si="35"/>
        <v>474.84</v>
      </c>
      <c r="Q218" s="5">
        <f t="shared" si="36"/>
        <v>1</v>
      </c>
    </row>
    <row r="219" spans="1:17" x14ac:dyDescent="0.25">
      <c r="A219" s="7">
        <v>46244.041666666664</v>
      </c>
      <c r="B219" s="6">
        <v>0</v>
      </c>
      <c r="C219" s="13">
        <v>0</v>
      </c>
      <c r="D219" s="18">
        <f t="shared" si="33"/>
        <v>0</v>
      </c>
      <c r="E219" s="14">
        <v>157.5</v>
      </c>
      <c r="F219" s="18">
        <f t="shared" si="37"/>
        <v>0</v>
      </c>
      <c r="G219" s="18">
        <f t="shared" si="38"/>
        <v>157.5</v>
      </c>
      <c r="H219" s="14">
        <v>41.64</v>
      </c>
      <c r="I219" s="18">
        <f t="shared" si="39"/>
        <v>0</v>
      </c>
      <c r="J219" s="18">
        <f t="shared" si="40"/>
        <v>41.64</v>
      </c>
      <c r="K219" s="14">
        <v>1.8</v>
      </c>
      <c r="L219" s="18">
        <f t="shared" si="41"/>
        <v>0</v>
      </c>
      <c r="M219" s="18">
        <f t="shared" si="42"/>
        <v>1.8</v>
      </c>
      <c r="N219" s="15">
        <f t="shared" si="43"/>
        <v>200.94</v>
      </c>
      <c r="O219" s="15">
        <f t="shared" si="34"/>
        <v>0</v>
      </c>
      <c r="P219" s="15">
        <f t="shared" si="35"/>
        <v>200.94</v>
      </c>
      <c r="Q219" s="5">
        <f t="shared" si="36"/>
        <v>1</v>
      </c>
    </row>
    <row r="220" spans="1:17" x14ac:dyDescent="0.25">
      <c r="A220" s="7">
        <v>46244.083333333336</v>
      </c>
      <c r="B220" s="6">
        <v>0</v>
      </c>
      <c r="C220" s="13">
        <v>0</v>
      </c>
      <c r="D220" s="18">
        <f t="shared" si="33"/>
        <v>0</v>
      </c>
      <c r="E220" s="14">
        <v>355.95</v>
      </c>
      <c r="F220" s="18">
        <f t="shared" si="37"/>
        <v>0</v>
      </c>
      <c r="G220" s="18">
        <f t="shared" si="38"/>
        <v>355.95</v>
      </c>
      <c r="H220" s="14">
        <v>42.96</v>
      </c>
      <c r="I220" s="18">
        <f t="shared" si="39"/>
        <v>0</v>
      </c>
      <c r="J220" s="18">
        <f t="shared" si="40"/>
        <v>42.96</v>
      </c>
      <c r="K220" s="14">
        <v>1.8</v>
      </c>
      <c r="L220" s="18">
        <f t="shared" si="41"/>
        <v>0</v>
      </c>
      <c r="M220" s="18">
        <f t="shared" si="42"/>
        <v>1.8</v>
      </c>
      <c r="N220" s="15">
        <f t="shared" si="43"/>
        <v>400.71</v>
      </c>
      <c r="O220" s="15">
        <f t="shared" si="34"/>
        <v>0</v>
      </c>
      <c r="P220" s="15">
        <f t="shared" si="35"/>
        <v>400.71</v>
      </c>
      <c r="Q220" s="5">
        <f t="shared" si="36"/>
        <v>1</v>
      </c>
    </row>
    <row r="221" spans="1:17" x14ac:dyDescent="0.25">
      <c r="A221" s="7">
        <v>46244.125</v>
      </c>
      <c r="B221" s="6">
        <v>0</v>
      </c>
      <c r="C221" s="13">
        <v>0</v>
      </c>
      <c r="D221" s="18">
        <f t="shared" si="33"/>
        <v>0</v>
      </c>
      <c r="E221" s="14">
        <v>463.05</v>
      </c>
      <c r="F221" s="18">
        <f t="shared" si="37"/>
        <v>0</v>
      </c>
      <c r="G221" s="18">
        <f t="shared" si="38"/>
        <v>463.05</v>
      </c>
      <c r="H221" s="14">
        <v>43.68</v>
      </c>
      <c r="I221" s="18">
        <f t="shared" si="39"/>
        <v>0</v>
      </c>
      <c r="J221" s="18">
        <f t="shared" si="40"/>
        <v>43.68</v>
      </c>
      <c r="K221" s="14">
        <v>1.56</v>
      </c>
      <c r="L221" s="18">
        <f t="shared" si="41"/>
        <v>0</v>
      </c>
      <c r="M221" s="18">
        <f t="shared" si="42"/>
        <v>1.56</v>
      </c>
      <c r="N221" s="15">
        <f t="shared" si="43"/>
        <v>508.29</v>
      </c>
      <c r="O221" s="15">
        <f t="shared" si="34"/>
        <v>0</v>
      </c>
      <c r="P221" s="15">
        <f t="shared" si="35"/>
        <v>508.29</v>
      </c>
      <c r="Q221" s="5">
        <f t="shared" si="36"/>
        <v>1</v>
      </c>
    </row>
    <row r="222" spans="1:17" x14ac:dyDescent="0.25">
      <c r="A222" s="7">
        <v>46244.166666666664</v>
      </c>
      <c r="B222" s="6">
        <v>0</v>
      </c>
      <c r="C222" s="13">
        <v>0</v>
      </c>
      <c r="D222" s="18">
        <f t="shared" si="33"/>
        <v>0</v>
      </c>
      <c r="E222" s="14">
        <v>485.1</v>
      </c>
      <c r="F222" s="18">
        <f t="shared" si="37"/>
        <v>0</v>
      </c>
      <c r="G222" s="18">
        <f t="shared" si="38"/>
        <v>485.1</v>
      </c>
      <c r="H222" s="14">
        <v>44.28</v>
      </c>
      <c r="I222" s="18">
        <f t="shared" si="39"/>
        <v>0</v>
      </c>
      <c r="J222" s="18">
        <f t="shared" si="40"/>
        <v>44.28</v>
      </c>
      <c r="K222" s="14">
        <v>1.8</v>
      </c>
      <c r="L222" s="18">
        <f t="shared" si="41"/>
        <v>0</v>
      </c>
      <c r="M222" s="18">
        <f t="shared" si="42"/>
        <v>1.8</v>
      </c>
      <c r="N222" s="15">
        <f t="shared" si="43"/>
        <v>531.17999999999995</v>
      </c>
      <c r="O222" s="15">
        <f t="shared" si="34"/>
        <v>0</v>
      </c>
      <c r="P222" s="15">
        <f t="shared" si="35"/>
        <v>531.17999999999995</v>
      </c>
      <c r="Q222" s="5">
        <f t="shared" si="36"/>
        <v>1</v>
      </c>
    </row>
    <row r="223" spans="1:17" x14ac:dyDescent="0.25">
      <c r="A223" s="7">
        <v>46244.208333333336</v>
      </c>
      <c r="B223" s="6">
        <v>0</v>
      </c>
      <c r="C223" s="13">
        <v>0</v>
      </c>
      <c r="D223" s="18">
        <f t="shared" si="33"/>
        <v>0</v>
      </c>
      <c r="E223" s="14">
        <v>475.65</v>
      </c>
      <c r="F223" s="18">
        <f t="shared" si="37"/>
        <v>0</v>
      </c>
      <c r="G223" s="18">
        <f t="shared" si="38"/>
        <v>475.65</v>
      </c>
      <c r="H223" s="14">
        <v>43.92</v>
      </c>
      <c r="I223" s="18">
        <f t="shared" si="39"/>
        <v>0</v>
      </c>
      <c r="J223" s="18">
        <f t="shared" si="40"/>
        <v>43.92</v>
      </c>
      <c r="K223" s="14">
        <v>1.68</v>
      </c>
      <c r="L223" s="18">
        <f t="shared" si="41"/>
        <v>0</v>
      </c>
      <c r="M223" s="18">
        <f t="shared" si="42"/>
        <v>1.68</v>
      </c>
      <c r="N223" s="15">
        <f t="shared" si="43"/>
        <v>521.24999999999989</v>
      </c>
      <c r="O223" s="15">
        <f t="shared" si="34"/>
        <v>0</v>
      </c>
      <c r="P223" s="15">
        <f t="shared" si="35"/>
        <v>521.24999999999989</v>
      </c>
      <c r="Q223" s="5">
        <f t="shared" si="36"/>
        <v>1</v>
      </c>
    </row>
    <row r="224" spans="1:17" x14ac:dyDescent="0.25">
      <c r="A224" s="7">
        <v>46244.25</v>
      </c>
      <c r="B224" s="6">
        <v>0</v>
      </c>
      <c r="C224" s="13">
        <v>0</v>
      </c>
      <c r="D224" s="18">
        <f t="shared" si="33"/>
        <v>0</v>
      </c>
      <c r="E224" s="14">
        <v>229.95</v>
      </c>
      <c r="F224" s="18">
        <f t="shared" si="37"/>
        <v>0</v>
      </c>
      <c r="G224" s="18">
        <f t="shared" si="38"/>
        <v>229.95</v>
      </c>
      <c r="H224" s="14">
        <v>47.52</v>
      </c>
      <c r="I224" s="18">
        <f t="shared" si="39"/>
        <v>0</v>
      </c>
      <c r="J224" s="18">
        <f t="shared" si="40"/>
        <v>47.52</v>
      </c>
      <c r="K224" s="14">
        <v>2.4</v>
      </c>
      <c r="L224" s="18">
        <f t="shared" si="41"/>
        <v>0</v>
      </c>
      <c r="M224" s="18">
        <f t="shared" si="42"/>
        <v>2.4</v>
      </c>
      <c r="N224" s="15">
        <f t="shared" si="43"/>
        <v>279.86999999999995</v>
      </c>
      <c r="O224" s="15">
        <f t="shared" si="34"/>
        <v>0</v>
      </c>
      <c r="P224" s="15">
        <f t="shared" si="35"/>
        <v>279.86999999999995</v>
      </c>
      <c r="Q224" s="5">
        <f t="shared" si="36"/>
        <v>1</v>
      </c>
    </row>
    <row r="225" spans="1:17" x14ac:dyDescent="0.25">
      <c r="A225" s="7">
        <v>46244.291666666664</v>
      </c>
      <c r="B225" s="6">
        <v>170.1</v>
      </c>
      <c r="C225" s="13">
        <v>0</v>
      </c>
      <c r="D225" s="18">
        <f t="shared" si="33"/>
        <v>170.1</v>
      </c>
      <c r="E225" s="14">
        <v>22.05</v>
      </c>
      <c r="F225" s="18">
        <f t="shared" si="37"/>
        <v>22.05</v>
      </c>
      <c r="G225" s="18">
        <f t="shared" si="38"/>
        <v>0</v>
      </c>
      <c r="H225" s="14">
        <v>27.6</v>
      </c>
      <c r="I225" s="18">
        <f t="shared" si="39"/>
        <v>27.6</v>
      </c>
      <c r="J225" s="18">
        <f t="shared" si="40"/>
        <v>0</v>
      </c>
      <c r="K225" s="14">
        <v>2.16</v>
      </c>
      <c r="L225" s="18">
        <f t="shared" si="41"/>
        <v>2.16</v>
      </c>
      <c r="M225" s="18">
        <f t="shared" si="42"/>
        <v>0</v>
      </c>
      <c r="N225" s="15">
        <f t="shared" si="43"/>
        <v>51.81</v>
      </c>
      <c r="O225" s="15">
        <f t="shared" si="34"/>
        <v>51.81</v>
      </c>
      <c r="P225" s="15">
        <f t="shared" si="35"/>
        <v>0</v>
      </c>
      <c r="Q225" s="5">
        <f t="shared" si="36"/>
        <v>0</v>
      </c>
    </row>
    <row r="226" spans="1:17" x14ac:dyDescent="0.25">
      <c r="A226" s="7">
        <v>46244.333333333336</v>
      </c>
      <c r="B226" s="6">
        <v>403.2</v>
      </c>
      <c r="C226" s="13">
        <v>0</v>
      </c>
      <c r="D226" s="18">
        <f t="shared" si="33"/>
        <v>403.2</v>
      </c>
      <c r="E226" s="14">
        <v>0</v>
      </c>
      <c r="F226" s="18">
        <f t="shared" si="37"/>
        <v>0</v>
      </c>
      <c r="G226" s="18">
        <f t="shared" si="38"/>
        <v>0</v>
      </c>
      <c r="H226" s="14">
        <v>161.4</v>
      </c>
      <c r="I226" s="18">
        <f t="shared" si="39"/>
        <v>161.4</v>
      </c>
      <c r="J226" s="18">
        <f t="shared" si="40"/>
        <v>0</v>
      </c>
      <c r="K226" s="14">
        <v>1.56</v>
      </c>
      <c r="L226" s="18">
        <f t="shared" si="41"/>
        <v>1.56</v>
      </c>
      <c r="M226" s="18">
        <f t="shared" si="42"/>
        <v>0</v>
      </c>
      <c r="N226" s="15">
        <f t="shared" si="43"/>
        <v>162.96</v>
      </c>
      <c r="O226" s="15">
        <f t="shared" si="34"/>
        <v>162.96</v>
      </c>
      <c r="P226" s="15">
        <f t="shared" si="35"/>
        <v>0</v>
      </c>
      <c r="Q226" s="5">
        <f t="shared" si="36"/>
        <v>0</v>
      </c>
    </row>
    <row r="227" spans="1:17" x14ac:dyDescent="0.25">
      <c r="A227" s="7">
        <v>46244.375</v>
      </c>
      <c r="B227" s="6">
        <v>819</v>
      </c>
      <c r="C227" s="13">
        <v>0</v>
      </c>
      <c r="D227" s="18">
        <f t="shared" si="33"/>
        <v>819</v>
      </c>
      <c r="E227" s="14">
        <v>0</v>
      </c>
      <c r="F227" s="18">
        <f t="shared" si="37"/>
        <v>0</v>
      </c>
      <c r="G227" s="18">
        <f t="shared" si="38"/>
        <v>0</v>
      </c>
      <c r="H227" s="14">
        <v>103.44</v>
      </c>
      <c r="I227" s="18">
        <f t="shared" si="39"/>
        <v>103.44</v>
      </c>
      <c r="J227" s="18">
        <f t="shared" si="40"/>
        <v>0</v>
      </c>
      <c r="K227" s="14">
        <v>31.8</v>
      </c>
      <c r="L227" s="18">
        <f t="shared" si="41"/>
        <v>31.8</v>
      </c>
      <c r="M227" s="18">
        <f t="shared" si="42"/>
        <v>0</v>
      </c>
      <c r="N227" s="15">
        <f t="shared" si="43"/>
        <v>135.24</v>
      </c>
      <c r="O227" s="15">
        <f t="shared" si="34"/>
        <v>135.24</v>
      </c>
      <c r="P227" s="15">
        <f t="shared" si="35"/>
        <v>0</v>
      </c>
      <c r="Q227" s="5">
        <f t="shared" si="36"/>
        <v>0</v>
      </c>
    </row>
    <row r="228" spans="1:17" x14ac:dyDescent="0.25">
      <c r="A228" s="7">
        <v>46244.416666666664</v>
      </c>
      <c r="B228" s="6">
        <v>1669.5</v>
      </c>
      <c r="C228" s="13">
        <v>1.44</v>
      </c>
      <c r="D228" s="18">
        <f t="shared" si="33"/>
        <v>1670.94</v>
      </c>
      <c r="E228" s="14">
        <v>0</v>
      </c>
      <c r="F228" s="18">
        <f t="shared" si="37"/>
        <v>0</v>
      </c>
      <c r="G228" s="18">
        <f t="shared" si="38"/>
        <v>0</v>
      </c>
      <c r="H228" s="14">
        <v>73.319999999999993</v>
      </c>
      <c r="I228" s="18">
        <f t="shared" si="39"/>
        <v>73.319999999999993</v>
      </c>
      <c r="J228" s="18">
        <f t="shared" si="40"/>
        <v>0</v>
      </c>
      <c r="K228" s="14">
        <v>33</v>
      </c>
      <c r="L228" s="18">
        <f t="shared" si="41"/>
        <v>33</v>
      </c>
      <c r="M228" s="18">
        <f t="shared" si="42"/>
        <v>0</v>
      </c>
      <c r="N228" s="15">
        <f t="shared" si="43"/>
        <v>106.32</v>
      </c>
      <c r="O228" s="15">
        <f t="shared" si="34"/>
        <v>106.32</v>
      </c>
      <c r="P228" s="15">
        <f t="shared" si="35"/>
        <v>0</v>
      </c>
      <c r="Q228" s="5">
        <f t="shared" si="36"/>
        <v>0</v>
      </c>
    </row>
    <row r="229" spans="1:17" x14ac:dyDescent="0.25">
      <c r="A229" s="7">
        <v>46244.458333333336</v>
      </c>
      <c r="B229" s="6">
        <v>2406.6</v>
      </c>
      <c r="C229" s="13">
        <v>13.08</v>
      </c>
      <c r="D229" s="18">
        <f t="shared" si="33"/>
        <v>2419.6799999999998</v>
      </c>
      <c r="E229" s="14">
        <v>0</v>
      </c>
      <c r="F229" s="18">
        <f t="shared" si="37"/>
        <v>0</v>
      </c>
      <c r="G229" s="18">
        <f t="shared" si="38"/>
        <v>0</v>
      </c>
      <c r="H229" s="14">
        <v>18.96</v>
      </c>
      <c r="I229" s="18">
        <f t="shared" si="39"/>
        <v>18.96</v>
      </c>
      <c r="J229" s="18">
        <f t="shared" si="40"/>
        <v>0</v>
      </c>
      <c r="K229" s="14">
        <v>38.880000000000003</v>
      </c>
      <c r="L229" s="18">
        <f t="shared" si="41"/>
        <v>38.880000000000003</v>
      </c>
      <c r="M229" s="18">
        <f t="shared" si="42"/>
        <v>0</v>
      </c>
      <c r="N229" s="15">
        <f t="shared" si="43"/>
        <v>57.84</v>
      </c>
      <c r="O229" s="15">
        <f t="shared" si="34"/>
        <v>57.84</v>
      </c>
      <c r="P229" s="15">
        <f t="shared" si="35"/>
        <v>0</v>
      </c>
      <c r="Q229" s="5">
        <f t="shared" si="36"/>
        <v>0</v>
      </c>
    </row>
    <row r="230" spans="1:17" x14ac:dyDescent="0.25">
      <c r="A230" s="7">
        <v>46244.5</v>
      </c>
      <c r="B230" s="6">
        <v>2513.6999999999998</v>
      </c>
      <c r="C230" s="13">
        <v>11.04</v>
      </c>
      <c r="D230" s="18">
        <f t="shared" si="33"/>
        <v>2524.7399999999998</v>
      </c>
      <c r="E230" s="14">
        <v>0</v>
      </c>
      <c r="F230" s="18">
        <f t="shared" si="37"/>
        <v>0</v>
      </c>
      <c r="G230" s="18">
        <f t="shared" si="38"/>
        <v>0</v>
      </c>
      <c r="H230" s="14">
        <v>24.36</v>
      </c>
      <c r="I230" s="18">
        <f t="shared" si="39"/>
        <v>24.36</v>
      </c>
      <c r="J230" s="18">
        <f t="shared" si="40"/>
        <v>0</v>
      </c>
      <c r="K230" s="14">
        <v>35.76</v>
      </c>
      <c r="L230" s="18">
        <f t="shared" si="41"/>
        <v>35.76</v>
      </c>
      <c r="M230" s="18">
        <f t="shared" si="42"/>
        <v>0</v>
      </c>
      <c r="N230" s="15">
        <f t="shared" si="43"/>
        <v>60.12</v>
      </c>
      <c r="O230" s="15">
        <f t="shared" si="34"/>
        <v>60.12</v>
      </c>
      <c r="P230" s="15">
        <f t="shared" si="35"/>
        <v>0</v>
      </c>
      <c r="Q230" s="5">
        <f t="shared" si="36"/>
        <v>0</v>
      </c>
    </row>
    <row r="231" spans="1:17" x14ac:dyDescent="0.25">
      <c r="A231" s="7">
        <v>46244.541666666664</v>
      </c>
      <c r="B231" s="6">
        <v>2504.25</v>
      </c>
      <c r="C231" s="13">
        <v>12.48</v>
      </c>
      <c r="D231" s="18">
        <f t="shared" si="33"/>
        <v>2516.73</v>
      </c>
      <c r="E231" s="14">
        <v>0</v>
      </c>
      <c r="F231" s="18">
        <f t="shared" si="37"/>
        <v>0</v>
      </c>
      <c r="G231" s="18">
        <f t="shared" si="38"/>
        <v>0</v>
      </c>
      <c r="H231" s="14">
        <v>15.6</v>
      </c>
      <c r="I231" s="18">
        <f t="shared" si="39"/>
        <v>15.6</v>
      </c>
      <c r="J231" s="18">
        <f t="shared" si="40"/>
        <v>0</v>
      </c>
      <c r="K231" s="14">
        <v>45.36</v>
      </c>
      <c r="L231" s="18">
        <f t="shared" si="41"/>
        <v>45.36</v>
      </c>
      <c r="M231" s="18">
        <f t="shared" si="42"/>
        <v>0</v>
      </c>
      <c r="N231" s="15">
        <f t="shared" si="43"/>
        <v>60.96</v>
      </c>
      <c r="O231" s="15">
        <f t="shared" si="34"/>
        <v>60.96</v>
      </c>
      <c r="P231" s="15">
        <f t="shared" si="35"/>
        <v>0</v>
      </c>
      <c r="Q231" s="5">
        <f t="shared" si="36"/>
        <v>0</v>
      </c>
    </row>
    <row r="232" spans="1:17" x14ac:dyDescent="0.25">
      <c r="A232" s="7">
        <v>46244.583333333336</v>
      </c>
      <c r="B232" s="6">
        <v>1770.3</v>
      </c>
      <c r="C232" s="13">
        <v>0.84</v>
      </c>
      <c r="D232" s="18">
        <f t="shared" si="33"/>
        <v>1771.1399999999999</v>
      </c>
      <c r="E232" s="14">
        <v>0</v>
      </c>
      <c r="F232" s="18">
        <f t="shared" si="37"/>
        <v>0</v>
      </c>
      <c r="G232" s="18">
        <f t="shared" si="38"/>
        <v>0</v>
      </c>
      <c r="H232" s="14">
        <v>64.319999999999993</v>
      </c>
      <c r="I232" s="18">
        <f t="shared" si="39"/>
        <v>64.319999999999993</v>
      </c>
      <c r="J232" s="18">
        <f t="shared" si="40"/>
        <v>0</v>
      </c>
      <c r="K232" s="14">
        <v>27.72</v>
      </c>
      <c r="L232" s="18">
        <f t="shared" si="41"/>
        <v>27.72</v>
      </c>
      <c r="M232" s="18">
        <f t="shared" si="42"/>
        <v>0</v>
      </c>
      <c r="N232" s="15">
        <f t="shared" si="43"/>
        <v>92.039999999999992</v>
      </c>
      <c r="O232" s="15">
        <f t="shared" si="34"/>
        <v>92.039999999999992</v>
      </c>
      <c r="P232" s="15">
        <f t="shared" si="35"/>
        <v>0</v>
      </c>
      <c r="Q232" s="5">
        <f t="shared" si="36"/>
        <v>0</v>
      </c>
    </row>
    <row r="233" spans="1:17" x14ac:dyDescent="0.25">
      <c r="A233" s="7">
        <v>46244.625</v>
      </c>
      <c r="B233" s="6">
        <v>1401.75</v>
      </c>
      <c r="C233" s="13">
        <v>0.36</v>
      </c>
      <c r="D233" s="18">
        <f t="shared" si="33"/>
        <v>1402.11</v>
      </c>
      <c r="E233" s="14">
        <v>0</v>
      </c>
      <c r="F233" s="18">
        <f t="shared" si="37"/>
        <v>0</v>
      </c>
      <c r="G233" s="18">
        <f t="shared" si="38"/>
        <v>0</v>
      </c>
      <c r="H233" s="14">
        <v>59.88</v>
      </c>
      <c r="I233" s="18">
        <f t="shared" si="39"/>
        <v>59.88</v>
      </c>
      <c r="J233" s="18">
        <f t="shared" si="40"/>
        <v>0</v>
      </c>
      <c r="K233" s="14">
        <v>59.88</v>
      </c>
      <c r="L233" s="18">
        <f t="shared" si="41"/>
        <v>59.88</v>
      </c>
      <c r="M233" s="18">
        <f t="shared" si="42"/>
        <v>0</v>
      </c>
      <c r="N233" s="15">
        <f t="shared" si="43"/>
        <v>119.76</v>
      </c>
      <c r="O233" s="15">
        <f t="shared" si="34"/>
        <v>119.76</v>
      </c>
      <c r="P233" s="15">
        <f t="shared" si="35"/>
        <v>0</v>
      </c>
      <c r="Q233" s="5">
        <f t="shared" si="36"/>
        <v>0</v>
      </c>
    </row>
    <row r="234" spans="1:17" x14ac:dyDescent="0.25">
      <c r="A234" s="7">
        <v>46244.666666666664</v>
      </c>
      <c r="B234" s="6">
        <v>1304.0999999999999</v>
      </c>
      <c r="C234" s="13">
        <v>0</v>
      </c>
      <c r="D234" s="18">
        <f t="shared" si="33"/>
        <v>1304.0999999999999</v>
      </c>
      <c r="E234" s="14">
        <v>0</v>
      </c>
      <c r="F234" s="18">
        <f t="shared" si="37"/>
        <v>0</v>
      </c>
      <c r="G234" s="18">
        <f t="shared" si="38"/>
        <v>0</v>
      </c>
      <c r="H234" s="14">
        <v>98.28</v>
      </c>
      <c r="I234" s="18">
        <f t="shared" si="39"/>
        <v>98.28</v>
      </c>
      <c r="J234" s="18">
        <f t="shared" si="40"/>
        <v>0</v>
      </c>
      <c r="K234" s="14">
        <v>76.8</v>
      </c>
      <c r="L234" s="18">
        <f t="shared" si="41"/>
        <v>76.8</v>
      </c>
      <c r="M234" s="18">
        <f t="shared" si="42"/>
        <v>0</v>
      </c>
      <c r="N234" s="15">
        <f t="shared" si="43"/>
        <v>175.07999999999998</v>
      </c>
      <c r="O234" s="15">
        <f t="shared" si="34"/>
        <v>175.07999999999998</v>
      </c>
      <c r="P234" s="15">
        <f t="shared" si="35"/>
        <v>0</v>
      </c>
      <c r="Q234" s="5">
        <f t="shared" si="36"/>
        <v>0</v>
      </c>
    </row>
    <row r="235" spans="1:17" x14ac:dyDescent="0.25">
      <c r="A235" s="7">
        <v>46244.708333333336</v>
      </c>
      <c r="B235" s="6">
        <v>494.55</v>
      </c>
      <c r="C235" s="13">
        <v>0</v>
      </c>
      <c r="D235" s="18">
        <f t="shared" si="33"/>
        <v>494.55</v>
      </c>
      <c r="E235" s="14">
        <v>37.799999999999997</v>
      </c>
      <c r="F235" s="18">
        <f t="shared" si="37"/>
        <v>37.799999999999997</v>
      </c>
      <c r="G235" s="18">
        <f t="shared" si="38"/>
        <v>0</v>
      </c>
      <c r="H235" s="14">
        <v>78.48</v>
      </c>
      <c r="I235" s="18">
        <f t="shared" si="39"/>
        <v>78.48</v>
      </c>
      <c r="J235" s="18">
        <f t="shared" si="40"/>
        <v>0</v>
      </c>
      <c r="K235" s="14">
        <v>47.88</v>
      </c>
      <c r="L235" s="18">
        <f t="shared" si="41"/>
        <v>47.88</v>
      </c>
      <c r="M235" s="18">
        <f t="shared" si="42"/>
        <v>0</v>
      </c>
      <c r="N235" s="15">
        <f t="shared" si="43"/>
        <v>164.16</v>
      </c>
      <c r="O235" s="15">
        <f t="shared" si="34"/>
        <v>164.16</v>
      </c>
      <c r="P235" s="15">
        <f t="shared" si="35"/>
        <v>0</v>
      </c>
      <c r="Q235" s="5">
        <f t="shared" si="36"/>
        <v>0</v>
      </c>
    </row>
    <row r="236" spans="1:17" x14ac:dyDescent="0.25">
      <c r="A236" s="7">
        <v>46244.75</v>
      </c>
      <c r="B236" s="6">
        <v>34.65</v>
      </c>
      <c r="C236" s="13">
        <v>0</v>
      </c>
      <c r="D236" s="18">
        <f t="shared" si="33"/>
        <v>34.65</v>
      </c>
      <c r="E236" s="14">
        <v>135.44999999999999</v>
      </c>
      <c r="F236" s="18">
        <f t="shared" si="37"/>
        <v>21.293691302572483</v>
      </c>
      <c r="G236" s="18">
        <f t="shared" si="38"/>
        <v>114.15630869742751</v>
      </c>
      <c r="H236" s="14">
        <v>51.84</v>
      </c>
      <c r="I236" s="18">
        <f t="shared" si="39"/>
        <v>8.1496120865659449</v>
      </c>
      <c r="J236" s="18">
        <f t="shared" si="40"/>
        <v>43.690387913434058</v>
      </c>
      <c r="K236" s="14">
        <v>33.119999999999997</v>
      </c>
      <c r="L236" s="18">
        <f t="shared" si="41"/>
        <v>5.2066966108615773</v>
      </c>
      <c r="M236" s="18">
        <f t="shared" si="42"/>
        <v>27.91330338913842</v>
      </c>
      <c r="N236" s="15">
        <f t="shared" si="43"/>
        <v>220.41</v>
      </c>
      <c r="O236" s="15">
        <f t="shared" si="34"/>
        <v>34.650000000000006</v>
      </c>
      <c r="P236" s="15">
        <f t="shared" si="35"/>
        <v>185.76</v>
      </c>
      <c r="Q236" s="5">
        <f t="shared" si="36"/>
        <v>0.84279297672519393</v>
      </c>
    </row>
    <row r="237" spans="1:17" x14ac:dyDescent="0.25">
      <c r="A237" s="7">
        <v>46244.791666666664</v>
      </c>
      <c r="B237" s="6">
        <v>0</v>
      </c>
      <c r="C237" s="13">
        <v>0</v>
      </c>
      <c r="D237" s="18">
        <f t="shared" si="33"/>
        <v>0</v>
      </c>
      <c r="E237" s="14">
        <v>151.19999999999999</v>
      </c>
      <c r="F237" s="18">
        <f t="shared" si="37"/>
        <v>0</v>
      </c>
      <c r="G237" s="18">
        <f t="shared" si="38"/>
        <v>151.19999999999999</v>
      </c>
      <c r="H237" s="14">
        <v>64.680000000000007</v>
      </c>
      <c r="I237" s="18">
        <f t="shared" si="39"/>
        <v>0</v>
      </c>
      <c r="J237" s="18">
        <f t="shared" si="40"/>
        <v>64.680000000000007</v>
      </c>
      <c r="K237" s="14">
        <v>17.04</v>
      </c>
      <c r="L237" s="18">
        <f t="shared" si="41"/>
        <v>0</v>
      </c>
      <c r="M237" s="18">
        <f t="shared" si="42"/>
        <v>17.04</v>
      </c>
      <c r="N237" s="15">
        <f t="shared" si="43"/>
        <v>232.92</v>
      </c>
      <c r="O237" s="15">
        <f t="shared" si="34"/>
        <v>0</v>
      </c>
      <c r="P237" s="15">
        <f t="shared" si="35"/>
        <v>232.92</v>
      </c>
      <c r="Q237" s="5">
        <f t="shared" si="36"/>
        <v>1</v>
      </c>
    </row>
    <row r="238" spans="1:17" x14ac:dyDescent="0.25">
      <c r="A238" s="7">
        <v>46244.833333333336</v>
      </c>
      <c r="B238" s="6">
        <v>0</v>
      </c>
      <c r="C238" s="13">
        <v>0</v>
      </c>
      <c r="D238" s="18">
        <f t="shared" si="33"/>
        <v>0</v>
      </c>
      <c r="E238" s="14">
        <v>236.25</v>
      </c>
      <c r="F238" s="18">
        <f t="shared" si="37"/>
        <v>0</v>
      </c>
      <c r="G238" s="18">
        <f t="shared" si="38"/>
        <v>236.25</v>
      </c>
      <c r="H238" s="14">
        <v>43.32</v>
      </c>
      <c r="I238" s="18">
        <f t="shared" si="39"/>
        <v>0</v>
      </c>
      <c r="J238" s="18">
        <f t="shared" si="40"/>
        <v>43.32</v>
      </c>
      <c r="K238" s="14">
        <v>12.24</v>
      </c>
      <c r="L238" s="18">
        <f t="shared" si="41"/>
        <v>0</v>
      </c>
      <c r="M238" s="18">
        <f t="shared" si="42"/>
        <v>12.24</v>
      </c>
      <c r="N238" s="15">
        <f t="shared" si="43"/>
        <v>291.81</v>
      </c>
      <c r="O238" s="15">
        <f t="shared" si="34"/>
        <v>0</v>
      </c>
      <c r="P238" s="15">
        <f t="shared" si="35"/>
        <v>291.81</v>
      </c>
      <c r="Q238" s="5">
        <f t="shared" si="36"/>
        <v>1</v>
      </c>
    </row>
    <row r="239" spans="1:17" x14ac:dyDescent="0.25">
      <c r="A239" s="7">
        <v>46244.875</v>
      </c>
      <c r="B239" s="6">
        <v>0</v>
      </c>
      <c r="C239" s="13">
        <v>0</v>
      </c>
      <c r="D239" s="18">
        <f t="shared" si="33"/>
        <v>0</v>
      </c>
      <c r="E239" s="14">
        <v>154.35</v>
      </c>
      <c r="F239" s="18">
        <f t="shared" si="37"/>
        <v>0</v>
      </c>
      <c r="G239" s="18">
        <f t="shared" si="38"/>
        <v>154.35</v>
      </c>
      <c r="H239" s="14">
        <v>40.68</v>
      </c>
      <c r="I239" s="18">
        <f t="shared" si="39"/>
        <v>0</v>
      </c>
      <c r="J239" s="18">
        <f t="shared" si="40"/>
        <v>40.68</v>
      </c>
      <c r="K239" s="14">
        <v>1.92</v>
      </c>
      <c r="L239" s="18">
        <f t="shared" si="41"/>
        <v>0</v>
      </c>
      <c r="M239" s="18">
        <f t="shared" si="42"/>
        <v>1.92</v>
      </c>
      <c r="N239" s="15">
        <f t="shared" si="43"/>
        <v>196.95</v>
      </c>
      <c r="O239" s="15">
        <f t="shared" si="34"/>
        <v>0</v>
      </c>
      <c r="P239" s="15">
        <f t="shared" si="35"/>
        <v>196.95</v>
      </c>
      <c r="Q239" s="5">
        <f t="shared" si="36"/>
        <v>1</v>
      </c>
    </row>
    <row r="240" spans="1:17" x14ac:dyDescent="0.25">
      <c r="A240" s="7">
        <v>46244.916666666664</v>
      </c>
      <c r="B240" s="6">
        <v>0</v>
      </c>
      <c r="C240" s="13">
        <v>0</v>
      </c>
      <c r="D240" s="18">
        <f t="shared" si="33"/>
        <v>0</v>
      </c>
      <c r="E240" s="14">
        <v>321.3</v>
      </c>
      <c r="F240" s="18">
        <f t="shared" si="37"/>
        <v>0</v>
      </c>
      <c r="G240" s="18">
        <f t="shared" si="38"/>
        <v>321.3</v>
      </c>
      <c r="H240" s="14">
        <v>42</v>
      </c>
      <c r="I240" s="18">
        <f t="shared" si="39"/>
        <v>0</v>
      </c>
      <c r="J240" s="18">
        <f t="shared" si="40"/>
        <v>42</v>
      </c>
      <c r="K240" s="14">
        <v>1.8</v>
      </c>
      <c r="L240" s="18">
        <f t="shared" si="41"/>
        <v>0</v>
      </c>
      <c r="M240" s="18">
        <f t="shared" si="42"/>
        <v>1.8</v>
      </c>
      <c r="N240" s="15">
        <f t="shared" si="43"/>
        <v>365.1</v>
      </c>
      <c r="O240" s="15">
        <f t="shared" si="34"/>
        <v>0</v>
      </c>
      <c r="P240" s="15">
        <f t="shared" si="35"/>
        <v>365.1</v>
      </c>
      <c r="Q240" s="5">
        <f t="shared" si="36"/>
        <v>1</v>
      </c>
    </row>
    <row r="241" spans="1:17" x14ac:dyDescent="0.25">
      <c r="A241" s="7">
        <v>46244.958333333336</v>
      </c>
      <c r="B241" s="6">
        <v>0</v>
      </c>
      <c r="C241" s="13">
        <v>0</v>
      </c>
      <c r="D241" s="18">
        <f t="shared" si="33"/>
        <v>0</v>
      </c>
      <c r="E241" s="14">
        <v>374.85</v>
      </c>
      <c r="F241" s="18">
        <f t="shared" si="37"/>
        <v>0</v>
      </c>
      <c r="G241" s="18">
        <f t="shared" si="38"/>
        <v>374.85</v>
      </c>
      <c r="H241" s="14">
        <v>40.200000000000003</v>
      </c>
      <c r="I241" s="18">
        <f t="shared" si="39"/>
        <v>0</v>
      </c>
      <c r="J241" s="18">
        <f t="shared" si="40"/>
        <v>40.200000000000003</v>
      </c>
      <c r="K241" s="14">
        <v>2.4</v>
      </c>
      <c r="L241" s="18">
        <f t="shared" si="41"/>
        <v>0</v>
      </c>
      <c r="M241" s="18">
        <f t="shared" si="42"/>
        <v>2.4</v>
      </c>
      <c r="N241" s="15">
        <f t="shared" si="43"/>
        <v>417.45</v>
      </c>
      <c r="O241" s="15">
        <f t="shared" si="34"/>
        <v>0</v>
      </c>
      <c r="P241" s="15">
        <f t="shared" si="35"/>
        <v>417.45</v>
      </c>
      <c r="Q241" s="5">
        <f t="shared" si="36"/>
        <v>1</v>
      </c>
    </row>
    <row r="242" spans="1:17" x14ac:dyDescent="0.25">
      <c r="A242" s="7">
        <v>46245</v>
      </c>
      <c r="B242" s="6">
        <v>0</v>
      </c>
      <c r="C242" s="13">
        <v>0</v>
      </c>
      <c r="D242" s="18">
        <f t="shared" si="33"/>
        <v>0</v>
      </c>
      <c r="E242" s="14">
        <v>403.2</v>
      </c>
      <c r="F242" s="18">
        <f t="shared" si="37"/>
        <v>0</v>
      </c>
      <c r="G242" s="18">
        <f t="shared" si="38"/>
        <v>403.2</v>
      </c>
      <c r="H242" s="14">
        <v>41.4</v>
      </c>
      <c r="I242" s="18">
        <f t="shared" si="39"/>
        <v>0</v>
      </c>
      <c r="J242" s="18">
        <f t="shared" si="40"/>
        <v>41.4</v>
      </c>
      <c r="K242" s="14">
        <v>2.16</v>
      </c>
      <c r="L242" s="18">
        <f t="shared" si="41"/>
        <v>0</v>
      </c>
      <c r="M242" s="18">
        <f t="shared" si="42"/>
        <v>2.16</v>
      </c>
      <c r="N242" s="15">
        <f t="shared" si="43"/>
        <v>446.76</v>
      </c>
      <c r="O242" s="15">
        <f t="shared" si="34"/>
        <v>0</v>
      </c>
      <c r="P242" s="15">
        <f t="shared" si="35"/>
        <v>446.76</v>
      </c>
      <c r="Q242" s="5">
        <f t="shared" si="36"/>
        <v>1</v>
      </c>
    </row>
    <row r="243" spans="1:17" x14ac:dyDescent="0.25">
      <c r="A243" s="7">
        <v>46245.041666666664</v>
      </c>
      <c r="B243" s="6">
        <v>0</v>
      </c>
      <c r="C243" s="13">
        <v>0</v>
      </c>
      <c r="D243" s="18">
        <f t="shared" si="33"/>
        <v>0</v>
      </c>
      <c r="E243" s="14">
        <v>182.7</v>
      </c>
      <c r="F243" s="18">
        <f t="shared" si="37"/>
        <v>0</v>
      </c>
      <c r="G243" s="18">
        <f t="shared" si="38"/>
        <v>182.7</v>
      </c>
      <c r="H243" s="14">
        <v>36.479999999999997</v>
      </c>
      <c r="I243" s="18">
        <f t="shared" si="39"/>
        <v>0</v>
      </c>
      <c r="J243" s="18">
        <f t="shared" si="40"/>
        <v>36.479999999999997</v>
      </c>
      <c r="K243" s="14">
        <v>1.68</v>
      </c>
      <c r="L243" s="18">
        <f t="shared" si="41"/>
        <v>0</v>
      </c>
      <c r="M243" s="18">
        <f t="shared" si="42"/>
        <v>1.68</v>
      </c>
      <c r="N243" s="15">
        <f t="shared" si="43"/>
        <v>220.85999999999999</v>
      </c>
      <c r="O243" s="15">
        <f t="shared" si="34"/>
        <v>0</v>
      </c>
      <c r="P243" s="15">
        <f t="shared" si="35"/>
        <v>220.85999999999999</v>
      </c>
      <c r="Q243" s="5">
        <f t="shared" si="36"/>
        <v>1</v>
      </c>
    </row>
    <row r="244" spans="1:17" x14ac:dyDescent="0.25">
      <c r="A244" s="7">
        <v>46245.083333333336</v>
      </c>
      <c r="B244" s="6">
        <v>0</v>
      </c>
      <c r="C244" s="13">
        <v>0</v>
      </c>
      <c r="D244" s="18">
        <f t="shared" si="33"/>
        <v>0</v>
      </c>
      <c r="E244" s="14">
        <v>425.25</v>
      </c>
      <c r="F244" s="18">
        <f t="shared" si="37"/>
        <v>0</v>
      </c>
      <c r="G244" s="18">
        <f t="shared" si="38"/>
        <v>425.25</v>
      </c>
      <c r="H244" s="14">
        <v>51.96</v>
      </c>
      <c r="I244" s="18">
        <f t="shared" si="39"/>
        <v>0</v>
      </c>
      <c r="J244" s="18">
        <f t="shared" si="40"/>
        <v>51.96</v>
      </c>
      <c r="K244" s="14">
        <v>1.8</v>
      </c>
      <c r="L244" s="18">
        <f t="shared" si="41"/>
        <v>0</v>
      </c>
      <c r="M244" s="18">
        <f t="shared" si="42"/>
        <v>1.8</v>
      </c>
      <c r="N244" s="15">
        <f t="shared" si="43"/>
        <v>479.01</v>
      </c>
      <c r="O244" s="15">
        <f t="shared" si="34"/>
        <v>0</v>
      </c>
      <c r="P244" s="15">
        <f t="shared" si="35"/>
        <v>479.01</v>
      </c>
      <c r="Q244" s="5">
        <f t="shared" si="36"/>
        <v>1</v>
      </c>
    </row>
    <row r="245" spans="1:17" x14ac:dyDescent="0.25">
      <c r="A245" s="7">
        <v>46245.125</v>
      </c>
      <c r="B245" s="6">
        <v>0</v>
      </c>
      <c r="C245" s="13">
        <v>0</v>
      </c>
      <c r="D245" s="18">
        <f t="shared" si="33"/>
        <v>0</v>
      </c>
      <c r="E245" s="14">
        <v>494.55</v>
      </c>
      <c r="F245" s="18">
        <f t="shared" si="37"/>
        <v>0</v>
      </c>
      <c r="G245" s="18">
        <f t="shared" si="38"/>
        <v>494.55</v>
      </c>
      <c r="H245" s="14">
        <v>51</v>
      </c>
      <c r="I245" s="18">
        <f t="shared" si="39"/>
        <v>0</v>
      </c>
      <c r="J245" s="18">
        <f t="shared" si="40"/>
        <v>51</v>
      </c>
      <c r="K245" s="14">
        <v>1.68</v>
      </c>
      <c r="L245" s="18">
        <f t="shared" si="41"/>
        <v>0</v>
      </c>
      <c r="M245" s="18">
        <f t="shared" si="42"/>
        <v>1.68</v>
      </c>
      <c r="N245" s="15">
        <f t="shared" si="43"/>
        <v>547.2299999999999</v>
      </c>
      <c r="O245" s="15">
        <f t="shared" si="34"/>
        <v>0</v>
      </c>
      <c r="P245" s="15">
        <f t="shared" si="35"/>
        <v>547.2299999999999</v>
      </c>
      <c r="Q245" s="5">
        <f t="shared" si="36"/>
        <v>1</v>
      </c>
    </row>
    <row r="246" spans="1:17" x14ac:dyDescent="0.25">
      <c r="A246" s="7">
        <v>46245.166666666664</v>
      </c>
      <c r="B246" s="6">
        <v>0</v>
      </c>
      <c r="C246" s="13">
        <v>0</v>
      </c>
      <c r="D246" s="18">
        <f t="shared" si="33"/>
        <v>0</v>
      </c>
      <c r="E246" s="14">
        <v>481.95</v>
      </c>
      <c r="F246" s="18">
        <f t="shared" si="37"/>
        <v>0</v>
      </c>
      <c r="G246" s="18">
        <f t="shared" si="38"/>
        <v>481.95</v>
      </c>
      <c r="H246" s="14">
        <v>43.44</v>
      </c>
      <c r="I246" s="18">
        <f t="shared" si="39"/>
        <v>0</v>
      </c>
      <c r="J246" s="18">
        <f t="shared" si="40"/>
        <v>43.44</v>
      </c>
      <c r="K246" s="14">
        <v>1.56</v>
      </c>
      <c r="L246" s="18">
        <f t="shared" si="41"/>
        <v>0</v>
      </c>
      <c r="M246" s="18">
        <f t="shared" si="42"/>
        <v>1.56</v>
      </c>
      <c r="N246" s="15">
        <f t="shared" si="43"/>
        <v>526.94999999999993</v>
      </c>
      <c r="O246" s="15">
        <f t="shared" si="34"/>
        <v>0</v>
      </c>
      <c r="P246" s="15">
        <f t="shared" si="35"/>
        <v>526.94999999999993</v>
      </c>
      <c r="Q246" s="5">
        <f t="shared" si="36"/>
        <v>1</v>
      </c>
    </row>
    <row r="247" spans="1:17" x14ac:dyDescent="0.25">
      <c r="A247" s="7">
        <v>46245.208333333336</v>
      </c>
      <c r="B247" s="6">
        <v>0</v>
      </c>
      <c r="C247" s="13">
        <v>0</v>
      </c>
      <c r="D247" s="18">
        <f t="shared" si="33"/>
        <v>0</v>
      </c>
      <c r="E247" s="14">
        <v>500.85</v>
      </c>
      <c r="F247" s="18">
        <f t="shared" si="37"/>
        <v>0</v>
      </c>
      <c r="G247" s="18">
        <f t="shared" si="38"/>
        <v>500.85</v>
      </c>
      <c r="H247" s="14">
        <v>43.44</v>
      </c>
      <c r="I247" s="18">
        <f t="shared" si="39"/>
        <v>0</v>
      </c>
      <c r="J247" s="18">
        <f t="shared" si="40"/>
        <v>43.44</v>
      </c>
      <c r="K247" s="14">
        <v>1.68</v>
      </c>
      <c r="L247" s="18">
        <f t="shared" si="41"/>
        <v>0</v>
      </c>
      <c r="M247" s="18">
        <f t="shared" si="42"/>
        <v>1.68</v>
      </c>
      <c r="N247" s="15">
        <f t="shared" si="43"/>
        <v>545.96999999999991</v>
      </c>
      <c r="O247" s="15">
        <f t="shared" si="34"/>
        <v>0</v>
      </c>
      <c r="P247" s="15">
        <f t="shared" si="35"/>
        <v>545.96999999999991</v>
      </c>
      <c r="Q247" s="5">
        <f t="shared" si="36"/>
        <v>1</v>
      </c>
    </row>
    <row r="248" spans="1:17" x14ac:dyDescent="0.25">
      <c r="A248" s="7">
        <v>46245.25</v>
      </c>
      <c r="B248" s="6">
        <v>0</v>
      </c>
      <c r="C248" s="13">
        <v>0</v>
      </c>
      <c r="D248" s="18">
        <f t="shared" si="33"/>
        <v>0</v>
      </c>
      <c r="E248" s="14">
        <v>220.5</v>
      </c>
      <c r="F248" s="18">
        <f t="shared" si="37"/>
        <v>0</v>
      </c>
      <c r="G248" s="18">
        <f t="shared" si="38"/>
        <v>220.5</v>
      </c>
      <c r="H248" s="14">
        <v>45.12</v>
      </c>
      <c r="I248" s="18">
        <f t="shared" si="39"/>
        <v>0</v>
      </c>
      <c r="J248" s="18">
        <f t="shared" si="40"/>
        <v>45.12</v>
      </c>
      <c r="K248" s="14">
        <v>2.64</v>
      </c>
      <c r="L248" s="18">
        <f t="shared" si="41"/>
        <v>0</v>
      </c>
      <c r="M248" s="18">
        <f t="shared" si="42"/>
        <v>2.64</v>
      </c>
      <c r="N248" s="15">
        <f t="shared" si="43"/>
        <v>268.26</v>
      </c>
      <c r="O248" s="15">
        <f t="shared" si="34"/>
        <v>0</v>
      </c>
      <c r="P248" s="15">
        <f t="shared" si="35"/>
        <v>268.26</v>
      </c>
      <c r="Q248" s="5">
        <f t="shared" si="36"/>
        <v>1</v>
      </c>
    </row>
    <row r="249" spans="1:17" x14ac:dyDescent="0.25">
      <c r="A249" s="7">
        <v>46245.291666666664</v>
      </c>
      <c r="B249" s="6">
        <v>151.19999999999999</v>
      </c>
      <c r="C249" s="13">
        <v>0.6</v>
      </c>
      <c r="D249" s="18">
        <f t="shared" si="33"/>
        <v>151.79999999999998</v>
      </c>
      <c r="E249" s="14">
        <v>40.950000000000003</v>
      </c>
      <c r="F249" s="18">
        <f t="shared" si="37"/>
        <v>40.950000000000003</v>
      </c>
      <c r="G249" s="18">
        <f t="shared" si="38"/>
        <v>0</v>
      </c>
      <c r="H249" s="14">
        <v>17.760000000000002</v>
      </c>
      <c r="I249" s="18">
        <f t="shared" si="39"/>
        <v>17.760000000000002</v>
      </c>
      <c r="J249" s="18">
        <f t="shared" si="40"/>
        <v>0</v>
      </c>
      <c r="K249" s="14">
        <v>2.04</v>
      </c>
      <c r="L249" s="18">
        <f t="shared" si="41"/>
        <v>2.04</v>
      </c>
      <c r="M249" s="18">
        <f t="shared" si="42"/>
        <v>0</v>
      </c>
      <c r="N249" s="15">
        <f t="shared" si="43"/>
        <v>60.750000000000007</v>
      </c>
      <c r="O249" s="15">
        <f t="shared" si="34"/>
        <v>60.750000000000007</v>
      </c>
      <c r="P249" s="15">
        <f t="shared" si="35"/>
        <v>0</v>
      </c>
      <c r="Q249" s="5">
        <f t="shared" si="36"/>
        <v>0</v>
      </c>
    </row>
    <row r="250" spans="1:17" x14ac:dyDescent="0.25">
      <c r="A250" s="7">
        <v>46245.333333333336</v>
      </c>
      <c r="B250" s="6">
        <v>809.55</v>
      </c>
      <c r="C250" s="13">
        <v>0</v>
      </c>
      <c r="D250" s="18">
        <f t="shared" si="33"/>
        <v>809.55</v>
      </c>
      <c r="E250" s="14">
        <v>0</v>
      </c>
      <c r="F250" s="18">
        <f t="shared" si="37"/>
        <v>0</v>
      </c>
      <c r="G250" s="18">
        <f t="shared" si="38"/>
        <v>0</v>
      </c>
      <c r="H250" s="14">
        <v>146.63999999999999</v>
      </c>
      <c r="I250" s="18">
        <f t="shared" si="39"/>
        <v>146.63999999999999</v>
      </c>
      <c r="J250" s="18">
        <f t="shared" si="40"/>
        <v>0</v>
      </c>
      <c r="K250" s="14">
        <v>3.48</v>
      </c>
      <c r="L250" s="18">
        <f t="shared" si="41"/>
        <v>3.48</v>
      </c>
      <c r="M250" s="18">
        <f t="shared" si="42"/>
        <v>0</v>
      </c>
      <c r="N250" s="15">
        <f t="shared" si="43"/>
        <v>150.11999999999998</v>
      </c>
      <c r="O250" s="15">
        <f t="shared" si="34"/>
        <v>150.11999999999998</v>
      </c>
      <c r="P250" s="15">
        <f t="shared" si="35"/>
        <v>0</v>
      </c>
      <c r="Q250" s="5">
        <f t="shared" si="36"/>
        <v>0</v>
      </c>
    </row>
    <row r="251" spans="1:17" x14ac:dyDescent="0.25">
      <c r="A251" s="7">
        <v>46245.375</v>
      </c>
      <c r="B251" s="6">
        <v>1474.2</v>
      </c>
      <c r="C251" s="13">
        <v>0.24</v>
      </c>
      <c r="D251" s="18">
        <f t="shared" si="33"/>
        <v>1474.44</v>
      </c>
      <c r="E251" s="14">
        <v>0</v>
      </c>
      <c r="F251" s="18">
        <f t="shared" si="37"/>
        <v>0</v>
      </c>
      <c r="G251" s="18">
        <f t="shared" si="38"/>
        <v>0</v>
      </c>
      <c r="H251" s="14">
        <v>88.32</v>
      </c>
      <c r="I251" s="18">
        <f t="shared" si="39"/>
        <v>88.32</v>
      </c>
      <c r="J251" s="18">
        <f t="shared" si="40"/>
        <v>0</v>
      </c>
      <c r="K251" s="14">
        <v>41.4</v>
      </c>
      <c r="L251" s="18">
        <f t="shared" si="41"/>
        <v>41.4</v>
      </c>
      <c r="M251" s="18">
        <f t="shared" si="42"/>
        <v>0</v>
      </c>
      <c r="N251" s="15">
        <f t="shared" si="43"/>
        <v>129.72</v>
      </c>
      <c r="O251" s="15">
        <f t="shared" si="34"/>
        <v>129.72</v>
      </c>
      <c r="P251" s="15">
        <f t="shared" si="35"/>
        <v>0</v>
      </c>
      <c r="Q251" s="5">
        <f t="shared" si="36"/>
        <v>0</v>
      </c>
    </row>
    <row r="252" spans="1:17" x14ac:dyDescent="0.25">
      <c r="A252" s="7">
        <v>46245.416666666664</v>
      </c>
      <c r="B252" s="6">
        <v>2110.5</v>
      </c>
      <c r="C252" s="13">
        <v>0.36</v>
      </c>
      <c r="D252" s="18">
        <f t="shared" si="33"/>
        <v>2110.86</v>
      </c>
      <c r="E252" s="14">
        <v>0</v>
      </c>
      <c r="F252" s="18">
        <f t="shared" si="37"/>
        <v>0</v>
      </c>
      <c r="G252" s="18">
        <f t="shared" si="38"/>
        <v>0</v>
      </c>
      <c r="H252" s="14">
        <v>63</v>
      </c>
      <c r="I252" s="18">
        <f t="shared" si="39"/>
        <v>63</v>
      </c>
      <c r="J252" s="18">
        <f t="shared" si="40"/>
        <v>0</v>
      </c>
      <c r="K252" s="14">
        <v>22.08</v>
      </c>
      <c r="L252" s="18">
        <f t="shared" si="41"/>
        <v>22.08</v>
      </c>
      <c r="M252" s="18">
        <f t="shared" si="42"/>
        <v>0</v>
      </c>
      <c r="N252" s="15">
        <f t="shared" si="43"/>
        <v>85.08</v>
      </c>
      <c r="O252" s="15">
        <f t="shared" si="34"/>
        <v>85.08</v>
      </c>
      <c r="P252" s="15">
        <f t="shared" si="35"/>
        <v>0</v>
      </c>
      <c r="Q252" s="5">
        <f t="shared" si="36"/>
        <v>0</v>
      </c>
    </row>
    <row r="253" spans="1:17" x14ac:dyDescent="0.25">
      <c r="A253" s="7">
        <v>46245.458333333336</v>
      </c>
      <c r="B253" s="6">
        <v>2583</v>
      </c>
      <c r="C253" s="13">
        <v>1.2</v>
      </c>
      <c r="D253" s="18">
        <f t="shared" si="33"/>
        <v>2584.1999999999998</v>
      </c>
      <c r="E253" s="14">
        <v>0</v>
      </c>
      <c r="F253" s="18">
        <f t="shared" si="37"/>
        <v>0</v>
      </c>
      <c r="G253" s="18">
        <f t="shared" si="38"/>
        <v>0</v>
      </c>
      <c r="H253" s="14">
        <v>48.48</v>
      </c>
      <c r="I253" s="18">
        <f t="shared" si="39"/>
        <v>48.48</v>
      </c>
      <c r="J253" s="18">
        <f t="shared" si="40"/>
        <v>0</v>
      </c>
      <c r="K253" s="14">
        <v>32.28</v>
      </c>
      <c r="L253" s="18">
        <f t="shared" si="41"/>
        <v>32.28</v>
      </c>
      <c r="M253" s="18">
        <f t="shared" si="42"/>
        <v>0</v>
      </c>
      <c r="N253" s="15">
        <f t="shared" si="43"/>
        <v>80.759999999999991</v>
      </c>
      <c r="O253" s="15">
        <f t="shared" si="34"/>
        <v>80.759999999999991</v>
      </c>
      <c r="P253" s="15">
        <f t="shared" si="35"/>
        <v>0</v>
      </c>
      <c r="Q253" s="5">
        <f t="shared" si="36"/>
        <v>0</v>
      </c>
    </row>
    <row r="254" spans="1:17" x14ac:dyDescent="0.25">
      <c r="A254" s="7">
        <v>46245.5</v>
      </c>
      <c r="B254" s="6">
        <v>2516.85</v>
      </c>
      <c r="C254" s="13">
        <v>9</v>
      </c>
      <c r="D254" s="18">
        <f t="shared" si="33"/>
        <v>2525.85</v>
      </c>
      <c r="E254" s="14">
        <v>0</v>
      </c>
      <c r="F254" s="18">
        <f t="shared" si="37"/>
        <v>0</v>
      </c>
      <c r="G254" s="18">
        <f t="shared" si="38"/>
        <v>0</v>
      </c>
      <c r="H254" s="14">
        <v>27.84</v>
      </c>
      <c r="I254" s="18">
        <f t="shared" si="39"/>
        <v>27.84</v>
      </c>
      <c r="J254" s="18">
        <f t="shared" si="40"/>
        <v>0</v>
      </c>
      <c r="K254" s="14">
        <v>26.4</v>
      </c>
      <c r="L254" s="18">
        <f t="shared" si="41"/>
        <v>26.4</v>
      </c>
      <c r="M254" s="18">
        <f t="shared" si="42"/>
        <v>0</v>
      </c>
      <c r="N254" s="15">
        <f t="shared" si="43"/>
        <v>54.239999999999995</v>
      </c>
      <c r="O254" s="15">
        <f t="shared" si="34"/>
        <v>54.239999999999995</v>
      </c>
      <c r="P254" s="15">
        <f t="shared" si="35"/>
        <v>0</v>
      </c>
      <c r="Q254" s="5">
        <f t="shared" si="36"/>
        <v>0</v>
      </c>
    </row>
    <row r="255" spans="1:17" x14ac:dyDescent="0.25">
      <c r="A255" s="7">
        <v>46245.541666666664</v>
      </c>
      <c r="B255" s="6">
        <v>2652.3</v>
      </c>
      <c r="C255" s="13">
        <v>16.920000000000002</v>
      </c>
      <c r="D255" s="18">
        <f t="shared" si="33"/>
        <v>2669.2200000000003</v>
      </c>
      <c r="E255" s="14">
        <v>0</v>
      </c>
      <c r="F255" s="18">
        <f t="shared" si="37"/>
        <v>0</v>
      </c>
      <c r="G255" s="18">
        <f t="shared" si="38"/>
        <v>0</v>
      </c>
      <c r="H255" s="14">
        <v>13.68</v>
      </c>
      <c r="I255" s="18">
        <f t="shared" si="39"/>
        <v>13.68</v>
      </c>
      <c r="J255" s="18">
        <f t="shared" si="40"/>
        <v>0</v>
      </c>
      <c r="K255" s="14">
        <v>23.76</v>
      </c>
      <c r="L255" s="18">
        <f t="shared" si="41"/>
        <v>23.76</v>
      </c>
      <c r="M255" s="18">
        <f t="shared" si="42"/>
        <v>0</v>
      </c>
      <c r="N255" s="15">
        <f t="shared" si="43"/>
        <v>37.44</v>
      </c>
      <c r="O255" s="15">
        <f t="shared" si="34"/>
        <v>37.44</v>
      </c>
      <c r="P255" s="15">
        <f t="shared" si="35"/>
        <v>0</v>
      </c>
      <c r="Q255" s="5">
        <f t="shared" si="36"/>
        <v>0</v>
      </c>
    </row>
    <row r="256" spans="1:17" x14ac:dyDescent="0.25">
      <c r="A256" s="7">
        <v>46245.583333333336</v>
      </c>
      <c r="B256" s="6">
        <v>2497.9499999999998</v>
      </c>
      <c r="C256" s="13">
        <v>0.96</v>
      </c>
      <c r="D256" s="18">
        <f t="shared" si="33"/>
        <v>2498.91</v>
      </c>
      <c r="E256" s="14">
        <v>0</v>
      </c>
      <c r="F256" s="18">
        <f t="shared" si="37"/>
        <v>0</v>
      </c>
      <c r="G256" s="18">
        <f t="shared" si="38"/>
        <v>0</v>
      </c>
      <c r="H256" s="14">
        <v>70.319999999999993</v>
      </c>
      <c r="I256" s="18">
        <f t="shared" si="39"/>
        <v>70.319999999999993</v>
      </c>
      <c r="J256" s="18">
        <f t="shared" si="40"/>
        <v>0</v>
      </c>
      <c r="K256" s="14">
        <v>31.32</v>
      </c>
      <c r="L256" s="18">
        <f t="shared" si="41"/>
        <v>31.32</v>
      </c>
      <c r="M256" s="18">
        <f t="shared" si="42"/>
        <v>0</v>
      </c>
      <c r="N256" s="15">
        <f t="shared" si="43"/>
        <v>101.63999999999999</v>
      </c>
      <c r="O256" s="15">
        <f t="shared" si="34"/>
        <v>101.63999999999999</v>
      </c>
      <c r="P256" s="15">
        <f t="shared" si="35"/>
        <v>0</v>
      </c>
      <c r="Q256" s="5">
        <f t="shared" si="36"/>
        <v>0</v>
      </c>
    </row>
    <row r="257" spans="1:17" x14ac:dyDescent="0.25">
      <c r="A257" s="7">
        <v>46245.625</v>
      </c>
      <c r="B257" s="6">
        <v>2138.85</v>
      </c>
      <c r="C257" s="13">
        <v>0</v>
      </c>
      <c r="D257" s="18">
        <f t="shared" si="33"/>
        <v>2138.85</v>
      </c>
      <c r="E257" s="14">
        <v>0</v>
      </c>
      <c r="F257" s="18">
        <f t="shared" si="37"/>
        <v>0</v>
      </c>
      <c r="G257" s="18">
        <f t="shared" si="38"/>
        <v>0</v>
      </c>
      <c r="H257" s="14">
        <v>91.92</v>
      </c>
      <c r="I257" s="18">
        <f t="shared" si="39"/>
        <v>91.92</v>
      </c>
      <c r="J257" s="18">
        <f t="shared" si="40"/>
        <v>0</v>
      </c>
      <c r="K257" s="14">
        <v>27.84</v>
      </c>
      <c r="L257" s="18">
        <f t="shared" si="41"/>
        <v>27.84</v>
      </c>
      <c r="M257" s="18">
        <f t="shared" si="42"/>
        <v>0</v>
      </c>
      <c r="N257" s="15">
        <f t="shared" si="43"/>
        <v>119.76</v>
      </c>
      <c r="O257" s="15">
        <f t="shared" si="34"/>
        <v>119.76</v>
      </c>
      <c r="P257" s="15">
        <f t="shared" si="35"/>
        <v>0</v>
      </c>
      <c r="Q257" s="5">
        <f t="shared" si="36"/>
        <v>0</v>
      </c>
    </row>
    <row r="258" spans="1:17" x14ac:dyDescent="0.25">
      <c r="A258" s="7">
        <v>46245.666666666664</v>
      </c>
      <c r="B258" s="6">
        <v>1486.8</v>
      </c>
      <c r="C258" s="13">
        <v>0</v>
      </c>
      <c r="D258" s="18">
        <f t="shared" ref="D258:D321" si="44">+B258+C258</f>
        <v>1486.8</v>
      </c>
      <c r="E258" s="14">
        <v>0</v>
      </c>
      <c r="F258" s="18">
        <f t="shared" si="37"/>
        <v>0</v>
      </c>
      <c r="G258" s="18">
        <f t="shared" si="38"/>
        <v>0</v>
      </c>
      <c r="H258" s="14">
        <v>110.28</v>
      </c>
      <c r="I258" s="18">
        <f t="shared" si="39"/>
        <v>110.28</v>
      </c>
      <c r="J258" s="18">
        <f t="shared" si="40"/>
        <v>0</v>
      </c>
      <c r="K258" s="14">
        <v>25.56</v>
      </c>
      <c r="L258" s="18">
        <f t="shared" si="41"/>
        <v>25.56</v>
      </c>
      <c r="M258" s="18">
        <f t="shared" si="42"/>
        <v>0</v>
      </c>
      <c r="N258" s="15">
        <f t="shared" si="43"/>
        <v>135.84</v>
      </c>
      <c r="O258" s="15">
        <f t="shared" ref="O258:O321" si="45">+N258-P258</f>
        <v>135.84</v>
      </c>
      <c r="P258" s="15">
        <f t="shared" ref="P258:P321" si="46">+IF(N258&gt;D258,N258-D258,0)</f>
        <v>0</v>
      </c>
      <c r="Q258" s="5">
        <f t="shared" ref="Q258:Q321" si="47">+IF(P258=0,P258,P258/N258)</f>
        <v>0</v>
      </c>
    </row>
    <row r="259" spans="1:17" x14ac:dyDescent="0.25">
      <c r="A259" s="7">
        <v>46245.708333333336</v>
      </c>
      <c r="B259" s="6">
        <v>488.25</v>
      </c>
      <c r="C259" s="13">
        <v>0</v>
      </c>
      <c r="D259" s="18">
        <f t="shared" si="44"/>
        <v>488.25</v>
      </c>
      <c r="E259" s="14">
        <v>3.15</v>
      </c>
      <c r="F259" s="18">
        <f t="shared" ref="F259:F322" si="48">+E259-G259</f>
        <v>3.15</v>
      </c>
      <c r="G259" s="18">
        <f t="shared" ref="G259:G322" si="49">+E259*Q259</f>
        <v>0</v>
      </c>
      <c r="H259" s="14">
        <v>80.040000000000006</v>
      </c>
      <c r="I259" s="18">
        <f t="shared" ref="I259:I322" si="50">+H259-J259</f>
        <v>80.040000000000006</v>
      </c>
      <c r="J259" s="18">
        <f t="shared" ref="J259:J322" si="51">+H259*Q259</f>
        <v>0</v>
      </c>
      <c r="K259" s="14">
        <v>33.96</v>
      </c>
      <c r="L259" s="18">
        <f t="shared" ref="L259:L322" si="52">+K259-M259</f>
        <v>33.96</v>
      </c>
      <c r="M259" s="18">
        <f t="shared" ref="M259:M322" si="53">+K259*Q259</f>
        <v>0</v>
      </c>
      <c r="N259" s="15">
        <f t="shared" ref="N259:N322" si="54">+E259+H259+K259</f>
        <v>117.15</v>
      </c>
      <c r="O259" s="15">
        <f t="shared" si="45"/>
        <v>117.15</v>
      </c>
      <c r="P259" s="15">
        <f t="shared" si="46"/>
        <v>0</v>
      </c>
      <c r="Q259" s="5">
        <f t="shared" si="47"/>
        <v>0</v>
      </c>
    </row>
    <row r="260" spans="1:17" x14ac:dyDescent="0.25">
      <c r="A260" s="7">
        <v>46245.75</v>
      </c>
      <c r="B260" s="6">
        <v>66.150000000000006</v>
      </c>
      <c r="C260" s="13">
        <v>0</v>
      </c>
      <c r="D260" s="18">
        <f t="shared" si="44"/>
        <v>66.150000000000006</v>
      </c>
      <c r="E260" s="14">
        <v>31.5</v>
      </c>
      <c r="F260" s="18">
        <f t="shared" si="48"/>
        <v>16.883203694701024</v>
      </c>
      <c r="G260" s="18">
        <f t="shared" si="49"/>
        <v>14.616796305298976</v>
      </c>
      <c r="H260" s="14">
        <v>70.2</v>
      </c>
      <c r="I260" s="18">
        <f t="shared" si="50"/>
        <v>37.62542537676228</v>
      </c>
      <c r="J260" s="18">
        <f t="shared" si="51"/>
        <v>32.574574623237723</v>
      </c>
      <c r="K260" s="14">
        <v>21.72</v>
      </c>
      <c r="L260" s="18">
        <f t="shared" si="52"/>
        <v>11.641370928536706</v>
      </c>
      <c r="M260" s="18">
        <f t="shared" si="53"/>
        <v>10.078629071463293</v>
      </c>
      <c r="N260" s="15">
        <f t="shared" si="54"/>
        <v>123.42</v>
      </c>
      <c r="O260" s="15">
        <f t="shared" si="45"/>
        <v>66.150000000000006</v>
      </c>
      <c r="P260" s="15">
        <f t="shared" si="46"/>
        <v>57.269999999999996</v>
      </c>
      <c r="Q260" s="5">
        <f t="shared" si="47"/>
        <v>0.46402527953330086</v>
      </c>
    </row>
    <row r="261" spans="1:17" x14ac:dyDescent="0.25">
      <c r="A261" s="7">
        <v>46245.791666666664</v>
      </c>
      <c r="B261" s="6">
        <v>0</v>
      </c>
      <c r="C261" s="13">
        <v>0</v>
      </c>
      <c r="D261" s="18">
        <f t="shared" si="44"/>
        <v>0</v>
      </c>
      <c r="E261" s="14">
        <v>182.7</v>
      </c>
      <c r="F261" s="18">
        <f t="shared" si="48"/>
        <v>0</v>
      </c>
      <c r="G261" s="18">
        <f t="shared" si="49"/>
        <v>182.7</v>
      </c>
      <c r="H261" s="14">
        <v>56.04</v>
      </c>
      <c r="I261" s="18">
        <f t="shared" si="50"/>
        <v>0</v>
      </c>
      <c r="J261" s="18">
        <f t="shared" si="51"/>
        <v>56.04</v>
      </c>
      <c r="K261" s="14">
        <v>5.88</v>
      </c>
      <c r="L261" s="18">
        <f t="shared" si="52"/>
        <v>0</v>
      </c>
      <c r="M261" s="18">
        <f t="shared" si="53"/>
        <v>5.88</v>
      </c>
      <c r="N261" s="15">
        <f t="shared" si="54"/>
        <v>244.61999999999998</v>
      </c>
      <c r="O261" s="15">
        <f t="shared" si="45"/>
        <v>0</v>
      </c>
      <c r="P261" s="15">
        <f t="shared" si="46"/>
        <v>244.61999999999998</v>
      </c>
      <c r="Q261" s="5">
        <f t="shared" si="47"/>
        <v>1</v>
      </c>
    </row>
    <row r="262" spans="1:17" x14ac:dyDescent="0.25">
      <c r="A262" s="7">
        <v>46245.833333333336</v>
      </c>
      <c r="B262" s="6">
        <v>0</v>
      </c>
      <c r="C262" s="13">
        <v>0</v>
      </c>
      <c r="D262" s="18">
        <f t="shared" si="44"/>
        <v>0</v>
      </c>
      <c r="E262" s="14">
        <v>214.2</v>
      </c>
      <c r="F262" s="18">
        <f t="shared" si="48"/>
        <v>0</v>
      </c>
      <c r="G262" s="18">
        <f t="shared" si="49"/>
        <v>214.2</v>
      </c>
      <c r="H262" s="14">
        <v>40.200000000000003</v>
      </c>
      <c r="I262" s="18">
        <f t="shared" si="50"/>
        <v>0</v>
      </c>
      <c r="J262" s="18">
        <f t="shared" si="51"/>
        <v>40.200000000000003</v>
      </c>
      <c r="K262" s="14">
        <v>6.72</v>
      </c>
      <c r="L262" s="18">
        <f t="shared" si="52"/>
        <v>0</v>
      </c>
      <c r="M262" s="18">
        <f t="shared" si="53"/>
        <v>6.72</v>
      </c>
      <c r="N262" s="15">
        <f t="shared" si="54"/>
        <v>261.12</v>
      </c>
      <c r="O262" s="15">
        <f t="shared" si="45"/>
        <v>0</v>
      </c>
      <c r="P262" s="15">
        <f t="shared" si="46"/>
        <v>261.12</v>
      </c>
      <c r="Q262" s="5">
        <f t="shared" si="47"/>
        <v>1</v>
      </c>
    </row>
    <row r="263" spans="1:17" x14ac:dyDescent="0.25">
      <c r="A263" s="7">
        <v>46245.875</v>
      </c>
      <c r="B263" s="6">
        <v>0</v>
      </c>
      <c r="C263" s="13">
        <v>0</v>
      </c>
      <c r="D263" s="18">
        <f t="shared" si="44"/>
        <v>0</v>
      </c>
      <c r="E263" s="14">
        <v>437.85</v>
      </c>
      <c r="F263" s="18">
        <f t="shared" si="48"/>
        <v>0</v>
      </c>
      <c r="G263" s="18">
        <f t="shared" si="49"/>
        <v>437.85</v>
      </c>
      <c r="H263" s="14">
        <v>37.799999999999997</v>
      </c>
      <c r="I263" s="18">
        <f t="shared" si="50"/>
        <v>0</v>
      </c>
      <c r="J263" s="18">
        <f t="shared" si="51"/>
        <v>37.799999999999997</v>
      </c>
      <c r="K263" s="14">
        <v>1.8</v>
      </c>
      <c r="L263" s="18">
        <f t="shared" si="52"/>
        <v>0</v>
      </c>
      <c r="M263" s="18">
        <f t="shared" si="53"/>
        <v>1.8</v>
      </c>
      <c r="N263" s="15">
        <f t="shared" si="54"/>
        <v>477.45000000000005</v>
      </c>
      <c r="O263" s="15">
        <f t="shared" si="45"/>
        <v>0</v>
      </c>
      <c r="P263" s="15">
        <f t="shared" si="46"/>
        <v>477.45000000000005</v>
      </c>
      <c r="Q263" s="5">
        <f t="shared" si="47"/>
        <v>1</v>
      </c>
    </row>
    <row r="264" spans="1:17" x14ac:dyDescent="0.25">
      <c r="A264" s="7">
        <v>46245.916666666664</v>
      </c>
      <c r="B264" s="6">
        <v>0</v>
      </c>
      <c r="C264" s="13">
        <v>0</v>
      </c>
      <c r="D264" s="18">
        <f t="shared" si="44"/>
        <v>0</v>
      </c>
      <c r="E264" s="14">
        <v>444.15</v>
      </c>
      <c r="F264" s="18">
        <f t="shared" si="48"/>
        <v>0</v>
      </c>
      <c r="G264" s="18">
        <f t="shared" si="49"/>
        <v>444.15</v>
      </c>
      <c r="H264" s="14">
        <v>38.520000000000003</v>
      </c>
      <c r="I264" s="18">
        <f t="shared" si="50"/>
        <v>0</v>
      </c>
      <c r="J264" s="18">
        <f t="shared" si="51"/>
        <v>38.520000000000003</v>
      </c>
      <c r="K264" s="14">
        <v>1.68</v>
      </c>
      <c r="L264" s="18">
        <f t="shared" si="52"/>
        <v>0</v>
      </c>
      <c r="M264" s="18">
        <f t="shared" si="53"/>
        <v>1.68</v>
      </c>
      <c r="N264" s="15">
        <f t="shared" si="54"/>
        <v>484.34999999999997</v>
      </c>
      <c r="O264" s="15">
        <f t="shared" si="45"/>
        <v>0</v>
      </c>
      <c r="P264" s="15">
        <f t="shared" si="46"/>
        <v>484.34999999999997</v>
      </c>
      <c r="Q264" s="5">
        <f t="shared" si="47"/>
        <v>1</v>
      </c>
    </row>
    <row r="265" spans="1:17" x14ac:dyDescent="0.25">
      <c r="A265" s="7">
        <v>46245.958333333336</v>
      </c>
      <c r="B265" s="6">
        <v>0</v>
      </c>
      <c r="C265" s="13">
        <v>0</v>
      </c>
      <c r="D265" s="18">
        <f t="shared" si="44"/>
        <v>0</v>
      </c>
      <c r="E265" s="14">
        <v>469.35</v>
      </c>
      <c r="F265" s="18">
        <f t="shared" si="48"/>
        <v>0</v>
      </c>
      <c r="G265" s="18">
        <f t="shared" si="49"/>
        <v>469.35</v>
      </c>
      <c r="H265" s="14">
        <v>42.36</v>
      </c>
      <c r="I265" s="18">
        <f t="shared" si="50"/>
        <v>0</v>
      </c>
      <c r="J265" s="18">
        <f t="shared" si="51"/>
        <v>42.36</v>
      </c>
      <c r="K265" s="14">
        <v>1.68</v>
      </c>
      <c r="L265" s="18">
        <f t="shared" si="52"/>
        <v>0</v>
      </c>
      <c r="M265" s="18">
        <f t="shared" si="53"/>
        <v>1.68</v>
      </c>
      <c r="N265" s="15">
        <f t="shared" si="54"/>
        <v>513.39</v>
      </c>
      <c r="O265" s="15">
        <f t="shared" si="45"/>
        <v>0</v>
      </c>
      <c r="P265" s="15">
        <f t="shared" si="46"/>
        <v>513.39</v>
      </c>
      <c r="Q265" s="5">
        <f t="shared" si="47"/>
        <v>1</v>
      </c>
    </row>
    <row r="266" spans="1:17" x14ac:dyDescent="0.25">
      <c r="A266" s="7">
        <v>46246</v>
      </c>
      <c r="B266" s="6">
        <v>0</v>
      </c>
      <c r="C266" s="13">
        <v>0</v>
      </c>
      <c r="D266" s="18">
        <f t="shared" si="44"/>
        <v>0</v>
      </c>
      <c r="E266" s="14">
        <v>463.05</v>
      </c>
      <c r="F266" s="18">
        <f t="shared" si="48"/>
        <v>0</v>
      </c>
      <c r="G266" s="18">
        <f t="shared" si="49"/>
        <v>463.05</v>
      </c>
      <c r="H266" s="14">
        <v>40.56</v>
      </c>
      <c r="I266" s="18">
        <f t="shared" si="50"/>
        <v>0</v>
      </c>
      <c r="J266" s="18">
        <f t="shared" si="51"/>
        <v>40.56</v>
      </c>
      <c r="K266" s="14">
        <v>1.68</v>
      </c>
      <c r="L266" s="18">
        <f t="shared" si="52"/>
        <v>0</v>
      </c>
      <c r="M266" s="18">
        <f t="shared" si="53"/>
        <v>1.68</v>
      </c>
      <c r="N266" s="15">
        <f t="shared" si="54"/>
        <v>505.29</v>
      </c>
      <c r="O266" s="15">
        <f t="shared" si="45"/>
        <v>0</v>
      </c>
      <c r="P266" s="15">
        <f t="shared" si="46"/>
        <v>505.29</v>
      </c>
      <c r="Q266" s="5">
        <f t="shared" si="47"/>
        <v>1</v>
      </c>
    </row>
    <row r="267" spans="1:17" x14ac:dyDescent="0.25">
      <c r="A267" s="7">
        <v>46246.041666666664</v>
      </c>
      <c r="B267" s="6">
        <v>0</v>
      </c>
      <c r="C267" s="13">
        <v>0</v>
      </c>
      <c r="D267" s="18">
        <f t="shared" si="44"/>
        <v>0</v>
      </c>
      <c r="E267" s="14">
        <v>211.05</v>
      </c>
      <c r="F267" s="18">
        <f t="shared" si="48"/>
        <v>0</v>
      </c>
      <c r="G267" s="18">
        <f t="shared" si="49"/>
        <v>211.05</v>
      </c>
      <c r="H267" s="14">
        <v>35.28</v>
      </c>
      <c r="I267" s="18">
        <f t="shared" si="50"/>
        <v>0</v>
      </c>
      <c r="J267" s="18">
        <f t="shared" si="51"/>
        <v>35.28</v>
      </c>
      <c r="K267" s="14">
        <v>1.8</v>
      </c>
      <c r="L267" s="18">
        <f t="shared" si="52"/>
        <v>0</v>
      </c>
      <c r="M267" s="18">
        <f t="shared" si="53"/>
        <v>1.8</v>
      </c>
      <c r="N267" s="15">
        <f t="shared" si="54"/>
        <v>248.13000000000002</v>
      </c>
      <c r="O267" s="15">
        <f t="shared" si="45"/>
        <v>0</v>
      </c>
      <c r="P267" s="15">
        <f t="shared" si="46"/>
        <v>248.13000000000002</v>
      </c>
      <c r="Q267" s="5">
        <f t="shared" si="47"/>
        <v>1</v>
      </c>
    </row>
    <row r="268" spans="1:17" x14ac:dyDescent="0.25">
      <c r="A268" s="7">
        <v>46246.083333333336</v>
      </c>
      <c r="B268" s="6">
        <v>0</v>
      </c>
      <c r="C268" s="13">
        <v>0</v>
      </c>
      <c r="D268" s="18">
        <f t="shared" si="44"/>
        <v>0</v>
      </c>
      <c r="E268" s="14">
        <v>283.5</v>
      </c>
      <c r="F268" s="18">
        <f t="shared" si="48"/>
        <v>0</v>
      </c>
      <c r="G268" s="18">
        <f t="shared" si="49"/>
        <v>283.5</v>
      </c>
      <c r="H268" s="14">
        <v>37.92</v>
      </c>
      <c r="I268" s="18">
        <f t="shared" si="50"/>
        <v>0</v>
      </c>
      <c r="J268" s="18">
        <f t="shared" si="51"/>
        <v>37.92</v>
      </c>
      <c r="K268" s="14">
        <v>1.68</v>
      </c>
      <c r="L268" s="18">
        <f t="shared" si="52"/>
        <v>0</v>
      </c>
      <c r="M268" s="18">
        <f t="shared" si="53"/>
        <v>1.68</v>
      </c>
      <c r="N268" s="15">
        <f t="shared" si="54"/>
        <v>323.10000000000002</v>
      </c>
      <c r="O268" s="15">
        <f t="shared" si="45"/>
        <v>0</v>
      </c>
      <c r="P268" s="15">
        <f t="shared" si="46"/>
        <v>323.10000000000002</v>
      </c>
      <c r="Q268" s="5">
        <f t="shared" si="47"/>
        <v>1</v>
      </c>
    </row>
    <row r="269" spans="1:17" x14ac:dyDescent="0.25">
      <c r="A269" s="7">
        <v>46246.125</v>
      </c>
      <c r="B269" s="6">
        <v>0</v>
      </c>
      <c r="C269" s="13">
        <v>0</v>
      </c>
      <c r="D269" s="18">
        <f t="shared" si="44"/>
        <v>0</v>
      </c>
      <c r="E269" s="14">
        <v>469.35</v>
      </c>
      <c r="F269" s="18">
        <f t="shared" si="48"/>
        <v>0</v>
      </c>
      <c r="G269" s="18">
        <f t="shared" si="49"/>
        <v>469.35</v>
      </c>
      <c r="H269" s="14">
        <v>40.44</v>
      </c>
      <c r="I269" s="18">
        <f t="shared" si="50"/>
        <v>0</v>
      </c>
      <c r="J269" s="18">
        <f t="shared" si="51"/>
        <v>40.44</v>
      </c>
      <c r="K269" s="14">
        <v>1.68</v>
      </c>
      <c r="L269" s="18">
        <f t="shared" si="52"/>
        <v>0</v>
      </c>
      <c r="M269" s="18">
        <f t="shared" si="53"/>
        <v>1.68</v>
      </c>
      <c r="N269" s="15">
        <f t="shared" si="54"/>
        <v>511.47</v>
      </c>
      <c r="O269" s="15">
        <f t="shared" si="45"/>
        <v>0</v>
      </c>
      <c r="P269" s="15">
        <f t="shared" si="46"/>
        <v>511.47</v>
      </c>
      <c r="Q269" s="5">
        <f t="shared" si="47"/>
        <v>1</v>
      </c>
    </row>
    <row r="270" spans="1:17" x14ac:dyDescent="0.25">
      <c r="A270" s="7">
        <v>46246.166666666664</v>
      </c>
      <c r="B270" s="6">
        <v>0</v>
      </c>
      <c r="C270" s="13">
        <v>0</v>
      </c>
      <c r="D270" s="18">
        <f t="shared" si="44"/>
        <v>0</v>
      </c>
      <c r="E270" s="14">
        <v>437.85</v>
      </c>
      <c r="F270" s="18">
        <f t="shared" si="48"/>
        <v>0</v>
      </c>
      <c r="G270" s="18">
        <f t="shared" si="49"/>
        <v>437.85</v>
      </c>
      <c r="H270" s="14">
        <v>42.72</v>
      </c>
      <c r="I270" s="18">
        <f t="shared" si="50"/>
        <v>0</v>
      </c>
      <c r="J270" s="18">
        <f t="shared" si="51"/>
        <v>42.72</v>
      </c>
      <c r="K270" s="14">
        <v>1.68</v>
      </c>
      <c r="L270" s="18">
        <f t="shared" si="52"/>
        <v>0</v>
      </c>
      <c r="M270" s="18">
        <f t="shared" si="53"/>
        <v>1.68</v>
      </c>
      <c r="N270" s="15">
        <f t="shared" si="54"/>
        <v>482.25000000000006</v>
      </c>
      <c r="O270" s="15">
        <f t="shared" si="45"/>
        <v>0</v>
      </c>
      <c r="P270" s="15">
        <f t="shared" si="46"/>
        <v>482.25000000000006</v>
      </c>
      <c r="Q270" s="5">
        <f t="shared" si="47"/>
        <v>1</v>
      </c>
    </row>
    <row r="271" spans="1:17" x14ac:dyDescent="0.25">
      <c r="A271" s="7">
        <v>46246.208333333336</v>
      </c>
      <c r="B271" s="6">
        <v>0</v>
      </c>
      <c r="C271" s="13">
        <v>0</v>
      </c>
      <c r="D271" s="18">
        <f t="shared" si="44"/>
        <v>0</v>
      </c>
      <c r="E271" s="14">
        <v>422.1</v>
      </c>
      <c r="F271" s="18">
        <f t="shared" si="48"/>
        <v>0</v>
      </c>
      <c r="G271" s="18">
        <f t="shared" si="49"/>
        <v>422.1</v>
      </c>
      <c r="H271" s="14">
        <v>42.96</v>
      </c>
      <c r="I271" s="18">
        <f t="shared" si="50"/>
        <v>0</v>
      </c>
      <c r="J271" s="18">
        <f t="shared" si="51"/>
        <v>42.96</v>
      </c>
      <c r="K271" s="14">
        <v>1.68</v>
      </c>
      <c r="L271" s="18">
        <f t="shared" si="52"/>
        <v>0</v>
      </c>
      <c r="M271" s="18">
        <f t="shared" si="53"/>
        <v>1.68</v>
      </c>
      <c r="N271" s="15">
        <f t="shared" si="54"/>
        <v>466.74</v>
      </c>
      <c r="O271" s="15">
        <f t="shared" si="45"/>
        <v>0</v>
      </c>
      <c r="P271" s="15">
        <f t="shared" si="46"/>
        <v>466.74</v>
      </c>
      <c r="Q271" s="5">
        <f t="shared" si="47"/>
        <v>1</v>
      </c>
    </row>
    <row r="272" spans="1:17" x14ac:dyDescent="0.25">
      <c r="A272" s="7">
        <v>46246.25</v>
      </c>
      <c r="B272" s="6">
        <v>0</v>
      </c>
      <c r="C272" s="13">
        <v>0</v>
      </c>
      <c r="D272" s="18">
        <f t="shared" si="44"/>
        <v>0</v>
      </c>
      <c r="E272" s="14">
        <v>129.15</v>
      </c>
      <c r="F272" s="18">
        <f t="shared" si="48"/>
        <v>0</v>
      </c>
      <c r="G272" s="18">
        <f t="shared" si="49"/>
        <v>129.15</v>
      </c>
      <c r="H272" s="14">
        <v>40.92</v>
      </c>
      <c r="I272" s="18">
        <f t="shared" si="50"/>
        <v>0</v>
      </c>
      <c r="J272" s="18">
        <f t="shared" si="51"/>
        <v>40.92</v>
      </c>
      <c r="K272" s="14">
        <v>2.4</v>
      </c>
      <c r="L272" s="18">
        <f t="shared" si="52"/>
        <v>0</v>
      </c>
      <c r="M272" s="18">
        <f t="shared" si="53"/>
        <v>2.4</v>
      </c>
      <c r="N272" s="15">
        <f t="shared" si="54"/>
        <v>172.47</v>
      </c>
      <c r="O272" s="15">
        <f t="shared" si="45"/>
        <v>0</v>
      </c>
      <c r="P272" s="15">
        <f t="shared" si="46"/>
        <v>172.47</v>
      </c>
      <c r="Q272" s="5">
        <f t="shared" si="47"/>
        <v>1</v>
      </c>
    </row>
    <row r="273" spans="1:17" x14ac:dyDescent="0.25">
      <c r="A273" s="7">
        <v>46246.291666666664</v>
      </c>
      <c r="B273" s="6">
        <v>217.35</v>
      </c>
      <c r="C273" s="13">
        <v>0.84</v>
      </c>
      <c r="D273" s="18">
        <f t="shared" si="44"/>
        <v>218.19</v>
      </c>
      <c r="E273" s="14">
        <v>3.15</v>
      </c>
      <c r="F273" s="18">
        <f t="shared" si="48"/>
        <v>3.15</v>
      </c>
      <c r="G273" s="18">
        <f t="shared" si="49"/>
        <v>0</v>
      </c>
      <c r="H273" s="14">
        <v>14.4</v>
      </c>
      <c r="I273" s="18">
        <f t="shared" si="50"/>
        <v>14.4</v>
      </c>
      <c r="J273" s="18">
        <f t="shared" si="51"/>
        <v>0</v>
      </c>
      <c r="K273" s="14">
        <v>2.64</v>
      </c>
      <c r="L273" s="18">
        <f t="shared" si="52"/>
        <v>2.64</v>
      </c>
      <c r="M273" s="18">
        <f t="shared" si="53"/>
        <v>0</v>
      </c>
      <c r="N273" s="15">
        <f t="shared" si="54"/>
        <v>20.190000000000001</v>
      </c>
      <c r="O273" s="15">
        <f t="shared" si="45"/>
        <v>20.190000000000001</v>
      </c>
      <c r="P273" s="15">
        <f t="shared" si="46"/>
        <v>0</v>
      </c>
      <c r="Q273" s="5">
        <f t="shared" si="47"/>
        <v>0</v>
      </c>
    </row>
    <row r="274" spans="1:17" x14ac:dyDescent="0.25">
      <c r="A274" s="7">
        <v>46246.333333333336</v>
      </c>
      <c r="B274" s="6">
        <v>497.7</v>
      </c>
      <c r="C274" s="13">
        <v>0</v>
      </c>
      <c r="D274" s="18">
        <f t="shared" si="44"/>
        <v>497.7</v>
      </c>
      <c r="E274" s="14">
        <v>0</v>
      </c>
      <c r="F274" s="18">
        <f t="shared" si="48"/>
        <v>0</v>
      </c>
      <c r="G274" s="18">
        <f t="shared" si="49"/>
        <v>0</v>
      </c>
      <c r="H274" s="14">
        <v>122.52</v>
      </c>
      <c r="I274" s="18">
        <f t="shared" si="50"/>
        <v>122.52</v>
      </c>
      <c r="J274" s="18">
        <f t="shared" si="51"/>
        <v>0</v>
      </c>
      <c r="K274" s="14">
        <v>1.56</v>
      </c>
      <c r="L274" s="18">
        <f t="shared" si="52"/>
        <v>1.56</v>
      </c>
      <c r="M274" s="18">
        <f t="shared" si="53"/>
        <v>0</v>
      </c>
      <c r="N274" s="15">
        <f t="shared" si="54"/>
        <v>124.08</v>
      </c>
      <c r="O274" s="15">
        <f t="shared" si="45"/>
        <v>124.08</v>
      </c>
      <c r="P274" s="15">
        <f t="shared" si="46"/>
        <v>0</v>
      </c>
      <c r="Q274" s="5">
        <f t="shared" si="47"/>
        <v>0</v>
      </c>
    </row>
    <row r="275" spans="1:17" x14ac:dyDescent="0.25">
      <c r="A275" s="7">
        <v>46246.375</v>
      </c>
      <c r="B275" s="6">
        <v>982.8</v>
      </c>
      <c r="C275" s="13">
        <v>0.36</v>
      </c>
      <c r="D275" s="18">
        <f t="shared" si="44"/>
        <v>983.16</v>
      </c>
      <c r="E275" s="14">
        <v>0</v>
      </c>
      <c r="F275" s="18">
        <f t="shared" si="48"/>
        <v>0</v>
      </c>
      <c r="G275" s="18">
        <f t="shared" si="49"/>
        <v>0</v>
      </c>
      <c r="H275" s="14">
        <v>53.76</v>
      </c>
      <c r="I275" s="18">
        <f t="shared" si="50"/>
        <v>53.76</v>
      </c>
      <c r="J275" s="18">
        <f t="shared" si="51"/>
        <v>0</v>
      </c>
      <c r="K275" s="14">
        <v>23.4</v>
      </c>
      <c r="L275" s="18">
        <f t="shared" si="52"/>
        <v>23.4</v>
      </c>
      <c r="M275" s="18">
        <f t="shared" si="53"/>
        <v>0</v>
      </c>
      <c r="N275" s="15">
        <f t="shared" si="54"/>
        <v>77.16</v>
      </c>
      <c r="O275" s="15">
        <f t="shared" si="45"/>
        <v>77.16</v>
      </c>
      <c r="P275" s="15">
        <f t="shared" si="46"/>
        <v>0</v>
      </c>
      <c r="Q275" s="5">
        <f t="shared" si="47"/>
        <v>0</v>
      </c>
    </row>
    <row r="276" spans="1:17" x14ac:dyDescent="0.25">
      <c r="A276" s="7">
        <v>46246.416666666664</v>
      </c>
      <c r="B276" s="6">
        <v>1433.25</v>
      </c>
      <c r="C276" s="13">
        <v>13.08</v>
      </c>
      <c r="D276" s="18">
        <f t="shared" si="44"/>
        <v>1446.33</v>
      </c>
      <c r="E276" s="14">
        <v>0</v>
      </c>
      <c r="F276" s="18">
        <f t="shared" si="48"/>
        <v>0</v>
      </c>
      <c r="G276" s="18">
        <f t="shared" si="49"/>
        <v>0</v>
      </c>
      <c r="H276" s="14">
        <v>26.88</v>
      </c>
      <c r="I276" s="18">
        <f t="shared" si="50"/>
        <v>26.88</v>
      </c>
      <c r="J276" s="18">
        <f t="shared" si="51"/>
        <v>0</v>
      </c>
      <c r="K276" s="14">
        <v>16.920000000000002</v>
      </c>
      <c r="L276" s="18">
        <f t="shared" si="52"/>
        <v>16.920000000000002</v>
      </c>
      <c r="M276" s="18">
        <f t="shared" si="53"/>
        <v>0</v>
      </c>
      <c r="N276" s="15">
        <f t="shared" si="54"/>
        <v>43.8</v>
      </c>
      <c r="O276" s="15">
        <f t="shared" si="45"/>
        <v>43.8</v>
      </c>
      <c r="P276" s="15">
        <f t="shared" si="46"/>
        <v>0</v>
      </c>
      <c r="Q276" s="5">
        <f t="shared" si="47"/>
        <v>0</v>
      </c>
    </row>
    <row r="277" spans="1:17" x14ac:dyDescent="0.25">
      <c r="A277" s="7">
        <v>46246.458333333336</v>
      </c>
      <c r="B277" s="6">
        <v>1723.05</v>
      </c>
      <c r="C277" s="13">
        <v>18</v>
      </c>
      <c r="D277" s="18">
        <f t="shared" si="44"/>
        <v>1741.05</v>
      </c>
      <c r="E277" s="14">
        <v>0</v>
      </c>
      <c r="F277" s="18">
        <f t="shared" si="48"/>
        <v>0</v>
      </c>
      <c r="G277" s="18">
        <f t="shared" si="49"/>
        <v>0</v>
      </c>
      <c r="H277" s="14">
        <v>17.16</v>
      </c>
      <c r="I277" s="18">
        <f t="shared" si="50"/>
        <v>17.16</v>
      </c>
      <c r="J277" s="18">
        <f t="shared" si="51"/>
        <v>0</v>
      </c>
      <c r="K277" s="14">
        <v>58.2</v>
      </c>
      <c r="L277" s="18">
        <f t="shared" si="52"/>
        <v>58.2</v>
      </c>
      <c r="M277" s="18">
        <f t="shared" si="53"/>
        <v>0</v>
      </c>
      <c r="N277" s="15">
        <f t="shared" si="54"/>
        <v>75.36</v>
      </c>
      <c r="O277" s="15">
        <f t="shared" si="45"/>
        <v>75.36</v>
      </c>
      <c r="P277" s="15">
        <f t="shared" si="46"/>
        <v>0</v>
      </c>
      <c r="Q277" s="5">
        <f t="shared" si="47"/>
        <v>0</v>
      </c>
    </row>
    <row r="278" spans="1:17" x14ac:dyDescent="0.25">
      <c r="A278" s="7">
        <v>46246.5</v>
      </c>
      <c r="B278" s="6">
        <v>2079</v>
      </c>
      <c r="C278" s="13">
        <v>74.400000000000006</v>
      </c>
      <c r="D278" s="18">
        <f t="shared" si="44"/>
        <v>2153.4</v>
      </c>
      <c r="E278" s="14">
        <v>0</v>
      </c>
      <c r="F278" s="18">
        <f t="shared" si="48"/>
        <v>0</v>
      </c>
      <c r="G278" s="18">
        <f t="shared" si="49"/>
        <v>0</v>
      </c>
      <c r="H278" s="14">
        <v>1.2</v>
      </c>
      <c r="I278" s="18">
        <f t="shared" si="50"/>
        <v>1.2</v>
      </c>
      <c r="J278" s="18">
        <f t="shared" si="51"/>
        <v>0</v>
      </c>
      <c r="K278" s="14">
        <v>41.64</v>
      </c>
      <c r="L278" s="18">
        <f t="shared" si="52"/>
        <v>41.64</v>
      </c>
      <c r="M278" s="18">
        <f t="shared" si="53"/>
        <v>0</v>
      </c>
      <c r="N278" s="15">
        <f t="shared" si="54"/>
        <v>42.84</v>
      </c>
      <c r="O278" s="15">
        <f t="shared" si="45"/>
        <v>42.84</v>
      </c>
      <c r="P278" s="15">
        <f t="shared" si="46"/>
        <v>0</v>
      </c>
      <c r="Q278" s="5">
        <f t="shared" si="47"/>
        <v>0</v>
      </c>
    </row>
    <row r="279" spans="1:17" x14ac:dyDescent="0.25">
      <c r="A279" s="7">
        <v>46246.541666666664</v>
      </c>
      <c r="B279" s="6">
        <v>2469.6</v>
      </c>
      <c r="C279" s="13">
        <v>105.36</v>
      </c>
      <c r="D279" s="18">
        <f t="shared" si="44"/>
        <v>2574.96</v>
      </c>
      <c r="E279" s="14">
        <v>0</v>
      </c>
      <c r="F279" s="18">
        <f t="shared" si="48"/>
        <v>0</v>
      </c>
      <c r="G279" s="18">
        <f t="shared" si="49"/>
        <v>0</v>
      </c>
      <c r="H279" s="14">
        <v>0</v>
      </c>
      <c r="I279" s="18">
        <f t="shared" si="50"/>
        <v>0</v>
      </c>
      <c r="J279" s="18">
        <f t="shared" si="51"/>
        <v>0</v>
      </c>
      <c r="K279" s="14">
        <v>41.64</v>
      </c>
      <c r="L279" s="18">
        <f t="shared" si="52"/>
        <v>41.64</v>
      </c>
      <c r="M279" s="18">
        <f t="shared" si="53"/>
        <v>0</v>
      </c>
      <c r="N279" s="15">
        <f t="shared" si="54"/>
        <v>41.64</v>
      </c>
      <c r="O279" s="15">
        <f t="shared" si="45"/>
        <v>41.64</v>
      </c>
      <c r="P279" s="15">
        <f t="shared" si="46"/>
        <v>0</v>
      </c>
      <c r="Q279" s="5">
        <f t="shared" si="47"/>
        <v>0</v>
      </c>
    </row>
    <row r="280" spans="1:17" x14ac:dyDescent="0.25">
      <c r="A280" s="7">
        <v>46246.583333333336</v>
      </c>
      <c r="B280" s="6">
        <v>1842.75</v>
      </c>
      <c r="C280" s="13">
        <v>54.72</v>
      </c>
      <c r="D280" s="18">
        <f t="shared" si="44"/>
        <v>1897.47</v>
      </c>
      <c r="E280" s="14">
        <v>0</v>
      </c>
      <c r="F280" s="18">
        <f t="shared" si="48"/>
        <v>0</v>
      </c>
      <c r="G280" s="18">
        <f t="shared" si="49"/>
        <v>0</v>
      </c>
      <c r="H280" s="14">
        <v>0</v>
      </c>
      <c r="I280" s="18">
        <f t="shared" si="50"/>
        <v>0</v>
      </c>
      <c r="J280" s="18">
        <f t="shared" si="51"/>
        <v>0</v>
      </c>
      <c r="K280" s="14">
        <v>35.76</v>
      </c>
      <c r="L280" s="18">
        <f t="shared" si="52"/>
        <v>35.76</v>
      </c>
      <c r="M280" s="18">
        <f t="shared" si="53"/>
        <v>0</v>
      </c>
      <c r="N280" s="15">
        <f t="shared" si="54"/>
        <v>35.76</v>
      </c>
      <c r="O280" s="15">
        <f t="shared" si="45"/>
        <v>35.76</v>
      </c>
      <c r="P280" s="15">
        <f t="shared" si="46"/>
        <v>0</v>
      </c>
      <c r="Q280" s="5">
        <f t="shared" si="47"/>
        <v>0</v>
      </c>
    </row>
    <row r="281" spans="1:17" x14ac:dyDescent="0.25">
      <c r="A281" s="7">
        <v>46246.625</v>
      </c>
      <c r="B281" s="6">
        <v>1836.45</v>
      </c>
      <c r="C281" s="13">
        <v>19.2</v>
      </c>
      <c r="D281" s="18">
        <f t="shared" si="44"/>
        <v>1855.65</v>
      </c>
      <c r="E281" s="14">
        <v>0</v>
      </c>
      <c r="F281" s="18">
        <f t="shared" si="48"/>
        <v>0</v>
      </c>
      <c r="G281" s="18">
        <f t="shared" si="49"/>
        <v>0</v>
      </c>
      <c r="H281" s="14">
        <v>17.16</v>
      </c>
      <c r="I281" s="18">
        <f t="shared" si="50"/>
        <v>17.16</v>
      </c>
      <c r="J281" s="18">
        <f t="shared" si="51"/>
        <v>0</v>
      </c>
      <c r="K281" s="14">
        <v>58.68</v>
      </c>
      <c r="L281" s="18">
        <f t="shared" si="52"/>
        <v>58.68</v>
      </c>
      <c r="M281" s="18">
        <f t="shared" si="53"/>
        <v>0</v>
      </c>
      <c r="N281" s="15">
        <f t="shared" si="54"/>
        <v>75.84</v>
      </c>
      <c r="O281" s="15">
        <f t="shared" si="45"/>
        <v>75.84</v>
      </c>
      <c r="P281" s="15">
        <f t="shared" si="46"/>
        <v>0</v>
      </c>
      <c r="Q281" s="5">
        <f t="shared" si="47"/>
        <v>0</v>
      </c>
    </row>
    <row r="282" spans="1:17" x14ac:dyDescent="0.25">
      <c r="A282" s="7">
        <v>46246.666666666664</v>
      </c>
      <c r="B282" s="6">
        <v>711.9</v>
      </c>
      <c r="C282" s="13">
        <v>0.84</v>
      </c>
      <c r="D282" s="18">
        <f t="shared" si="44"/>
        <v>712.74</v>
      </c>
      <c r="E282" s="14">
        <v>0</v>
      </c>
      <c r="F282" s="18">
        <f t="shared" si="48"/>
        <v>0</v>
      </c>
      <c r="G282" s="18">
        <f t="shared" si="49"/>
        <v>0</v>
      </c>
      <c r="H282" s="14">
        <v>39.96</v>
      </c>
      <c r="I282" s="18">
        <f t="shared" si="50"/>
        <v>39.96</v>
      </c>
      <c r="J282" s="18">
        <f t="shared" si="51"/>
        <v>0</v>
      </c>
      <c r="K282" s="14">
        <v>30.96</v>
      </c>
      <c r="L282" s="18">
        <f t="shared" si="52"/>
        <v>30.96</v>
      </c>
      <c r="M282" s="18">
        <f t="shared" si="53"/>
        <v>0</v>
      </c>
      <c r="N282" s="15">
        <f t="shared" si="54"/>
        <v>70.92</v>
      </c>
      <c r="O282" s="15">
        <f t="shared" si="45"/>
        <v>70.92</v>
      </c>
      <c r="P282" s="15">
        <f t="shared" si="46"/>
        <v>0</v>
      </c>
      <c r="Q282" s="5">
        <f t="shared" si="47"/>
        <v>0</v>
      </c>
    </row>
    <row r="283" spans="1:17" x14ac:dyDescent="0.25">
      <c r="A283" s="7">
        <v>46246.708333333336</v>
      </c>
      <c r="B283" s="6">
        <v>59.85</v>
      </c>
      <c r="C283" s="13">
        <v>0</v>
      </c>
      <c r="D283" s="18">
        <f t="shared" si="44"/>
        <v>59.85</v>
      </c>
      <c r="E283" s="14">
        <v>255.15</v>
      </c>
      <c r="F283" s="18">
        <f t="shared" si="48"/>
        <v>39.225109809663252</v>
      </c>
      <c r="G283" s="18">
        <f t="shared" si="49"/>
        <v>215.92489019033675</v>
      </c>
      <c r="H283" s="14">
        <v>94.92</v>
      </c>
      <c r="I283" s="18">
        <f t="shared" si="50"/>
        <v>14.59238653001465</v>
      </c>
      <c r="J283" s="18">
        <f t="shared" si="51"/>
        <v>80.327613469985351</v>
      </c>
      <c r="K283" s="14">
        <v>39.24</v>
      </c>
      <c r="L283" s="18">
        <f t="shared" si="52"/>
        <v>6.0325036603221065</v>
      </c>
      <c r="M283" s="18">
        <f t="shared" si="53"/>
        <v>33.207496339677895</v>
      </c>
      <c r="N283" s="15">
        <f t="shared" si="54"/>
        <v>389.31</v>
      </c>
      <c r="O283" s="15">
        <f t="shared" si="45"/>
        <v>59.850000000000023</v>
      </c>
      <c r="P283" s="15">
        <f t="shared" si="46"/>
        <v>329.46</v>
      </c>
      <c r="Q283" s="5">
        <f t="shared" si="47"/>
        <v>0.84626647144948752</v>
      </c>
    </row>
    <row r="284" spans="1:17" x14ac:dyDescent="0.25">
      <c r="A284" s="7">
        <v>46246.75</v>
      </c>
      <c r="B284" s="6">
        <v>53.55</v>
      </c>
      <c r="C284" s="13">
        <v>0</v>
      </c>
      <c r="D284" s="18">
        <f t="shared" si="44"/>
        <v>53.55</v>
      </c>
      <c r="E284" s="14">
        <v>135.44999999999999</v>
      </c>
      <c r="F284" s="18">
        <f t="shared" si="48"/>
        <v>31.75026263952725</v>
      </c>
      <c r="G284" s="18">
        <f t="shared" si="49"/>
        <v>103.69973736047274</v>
      </c>
      <c r="H284" s="14">
        <v>61.08</v>
      </c>
      <c r="I284" s="18">
        <f t="shared" si="50"/>
        <v>14.317504924491139</v>
      </c>
      <c r="J284" s="18">
        <f t="shared" si="51"/>
        <v>46.762495075508859</v>
      </c>
      <c r="K284" s="14">
        <v>31.92</v>
      </c>
      <c r="L284" s="18">
        <f t="shared" si="52"/>
        <v>7.482232435981615</v>
      </c>
      <c r="M284" s="18">
        <f t="shared" si="53"/>
        <v>24.437767564018387</v>
      </c>
      <c r="N284" s="15">
        <f t="shared" si="54"/>
        <v>228.45</v>
      </c>
      <c r="O284" s="15">
        <f t="shared" si="45"/>
        <v>53.550000000000011</v>
      </c>
      <c r="P284" s="15">
        <f t="shared" si="46"/>
        <v>174.89999999999998</v>
      </c>
      <c r="Q284" s="5">
        <f t="shared" si="47"/>
        <v>0.7655942219304005</v>
      </c>
    </row>
    <row r="285" spans="1:17" x14ac:dyDescent="0.25">
      <c r="A285" s="7">
        <v>46246.791666666664</v>
      </c>
      <c r="B285" s="6">
        <v>0</v>
      </c>
      <c r="C285" s="13">
        <v>0</v>
      </c>
      <c r="D285" s="18">
        <f t="shared" si="44"/>
        <v>0</v>
      </c>
      <c r="E285" s="14">
        <v>72.45</v>
      </c>
      <c r="F285" s="18">
        <f t="shared" si="48"/>
        <v>0</v>
      </c>
      <c r="G285" s="18">
        <f t="shared" si="49"/>
        <v>72.45</v>
      </c>
      <c r="H285" s="14">
        <v>63.48</v>
      </c>
      <c r="I285" s="18">
        <f t="shared" si="50"/>
        <v>0</v>
      </c>
      <c r="J285" s="18">
        <f t="shared" si="51"/>
        <v>63.48</v>
      </c>
      <c r="K285" s="14">
        <v>17.52</v>
      </c>
      <c r="L285" s="18">
        <f t="shared" si="52"/>
        <v>0</v>
      </c>
      <c r="M285" s="18">
        <f t="shared" si="53"/>
        <v>17.52</v>
      </c>
      <c r="N285" s="15">
        <f t="shared" si="54"/>
        <v>153.45000000000002</v>
      </c>
      <c r="O285" s="15">
        <f t="shared" si="45"/>
        <v>0</v>
      </c>
      <c r="P285" s="15">
        <f t="shared" si="46"/>
        <v>153.45000000000002</v>
      </c>
      <c r="Q285" s="5">
        <f t="shared" si="47"/>
        <v>1</v>
      </c>
    </row>
    <row r="286" spans="1:17" x14ac:dyDescent="0.25">
      <c r="A286" s="7">
        <v>46246.833333333336</v>
      </c>
      <c r="B286" s="6">
        <v>0</v>
      </c>
      <c r="C286" s="13">
        <v>0</v>
      </c>
      <c r="D286" s="18">
        <f t="shared" si="44"/>
        <v>0</v>
      </c>
      <c r="E286" s="14">
        <v>166.95</v>
      </c>
      <c r="F286" s="18">
        <f t="shared" si="48"/>
        <v>0</v>
      </c>
      <c r="G286" s="18">
        <f t="shared" si="49"/>
        <v>166.95</v>
      </c>
      <c r="H286" s="14">
        <v>53.04</v>
      </c>
      <c r="I286" s="18">
        <f t="shared" si="50"/>
        <v>0</v>
      </c>
      <c r="J286" s="18">
        <f t="shared" si="51"/>
        <v>53.04</v>
      </c>
      <c r="K286" s="14">
        <v>12.6</v>
      </c>
      <c r="L286" s="18">
        <f t="shared" si="52"/>
        <v>0</v>
      </c>
      <c r="M286" s="18">
        <f t="shared" si="53"/>
        <v>12.6</v>
      </c>
      <c r="N286" s="15">
        <f t="shared" si="54"/>
        <v>232.58999999999997</v>
      </c>
      <c r="O286" s="15">
        <f t="shared" si="45"/>
        <v>0</v>
      </c>
      <c r="P286" s="15">
        <f t="shared" si="46"/>
        <v>232.58999999999997</v>
      </c>
      <c r="Q286" s="5">
        <f t="shared" si="47"/>
        <v>1</v>
      </c>
    </row>
    <row r="287" spans="1:17" x14ac:dyDescent="0.25">
      <c r="A287" s="7">
        <v>46246.875</v>
      </c>
      <c r="B287" s="6">
        <v>0</v>
      </c>
      <c r="C287" s="13">
        <v>0</v>
      </c>
      <c r="D287" s="18">
        <f t="shared" si="44"/>
        <v>0</v>
      </c>
      <c r="E287" s="14">
        <v>406.35</v>
      </c>
      <c r="F287" s="18">
        <f t="shared" si="48"/>
        <v>0</v>
      </c>
      <c r="G287" s="18">
        <f t="shared" si="49"/>
        <v>406.35</v>
      </c>
      <c r="H287" s="14">
        <v>56.28</v>
      </c>
      <c r="I287" s="18">
        <f t="shared" si="50"/>
        <v>0</v>
      </c>
      <c r="J287" s="18">
        <f t="shared" si="51"/>
        <v>56.28</v>
      </c>
      <c r="K287" s="14">
        <v>1.8</v>
      </c>
      <c r="L287" s="18">
        <f t="shared" si="52"/>
        <v>0</v>
      </c>
      <c r="M287" s="18">
        <f t="shared" si="53"/>
        <v>1.8</v>
      </c>
      <c r="N287" s="15">
        <f t="shared" si="54"/>
        <v>464.43</v>
      </c>
      <c r="O287" s="15">
        <f t="shared" si="45"/>
        <v>0</v>
      </c>
      <c r="P287" s="15">
        <f t="shared" si="46"/>
        <v>464.43</v>
      </c>
      <c r="Q287" s="5">
        <f t="shared" si="47"/>
        <v>1</v>
      </c>
    </row>
    <row r="288" spans="1:17" x14ac:dyDescent="0.25">
      <c r="A288" s="7">
        <v>46246.916666666664</v>
      </c>
      <c r="B288" s="6">
        <v>0</v>
      </c>
      <c r="C288" s="13">
        <v>0</v>
      </c>
      <c r="D288" s="18">
        <f t="shared" si="44"/>
        <v>0</v>
      </c>
      <c r="E288" s="14">
        <v>393.75</v>
      </c>
      <c r="F288" s="18">
        <f t="shared" si="48"/>
        <v>0</v>
      </c>
      <c r="G288" s="18">
        <f t="shared" si="49"/>
        <v>393.75</v>
      </c>
      <c r="H288" s="14">
        <v>50.76</v>
      </c>
      <c r="I288" s="18">
        <f t="shared" si="50"/>
        <v>0</v>
      </c>
      <c r="J288" s="18">
        <f t="shared" si="51"/>
        <v>50.76</v>
      </c>
      <c r="K288" s="14">
        <v>1.8</v>
      </c>
      <c r="L288" s="18">
        <f t="shared" si="52"/>
        <v>0</v>
      </c>
      <c r="M288" s="18">
        <f t="shared" si="53"/>
        <v>1.8</v>
      </c>
      <c r="N288" s="15">
        <f t="shared" si="54"/>
        <v>446.31</v>
      </c>
      <c r="O288" s="15">
        <f t="shared" si="45"/>
        <v>0</v>
      </c>
      <c r="P288" s="15">
        <f t="shared" si="46"/>
        <v>446.31</v>
      </c>
      <c r="Q288" s="5">
        <f t="shared" si="47"/>
        <v>1</v>
      </c>
    </row>
    <row r="289" spans="1:17" x14ac:dyDescent="0.25">
      <c r="A289" s="7">
        <v>46246.958333333336</v>
      </c>
      <c r="B289" s="6">
        <v>0</v>
      </c>
      <c r="C289" s="13">
        <v>0</v>
      </c>
      <c r="D289" s="18">
        <f t="shared" si="44"/>
        <v>0</v>
      </c>
      <c r="E289" s="14">
        <v>343.35</v>
      </c>
      <c r="F289" s="18">
        <f t="shared" si="48"/>
        <v>0</v>
      </c>
      <c r="G289" s="18">
        <f t="shared" si="49"/>
        <v>343.35</v>
      </c>
      <c r="H289" s="14">
        <v>54.84</v>
      </c>
      <c r="I289" s="18">
        <f t="shared" si="50"/>
        <v>0</v>
      </c>
      <c r="J289" s="18">
        <f t="shared" si="51"/>
        <v>54.84</v>
      </c>
      <c r="K289" s="14">
        <v>1.68</v>
      </c>
      <c r="L289" s="18">
        <f t="shared" si="52"/>
        <v>0</v>
      </c>
      <c r="M289" s="18">
        <f t="shared" si="53"/>
        <v>1.68</v>
      </c>
      <c r="N289" s="15">
        <f t="shared" si="54"/>
        <v>399.87000000000006</v>
      </c>
      <c r="O289" s="15">
        <f t="shared" si="45"/>
        <v>0</v>
      </c>
      <c r="P289" s="15">
        <f t="shared" si="46"/>
        <v>399.87000000000006</v>
      </c>
      <c r="Q289" s="5">
        <f t="shared" si="47"/>
        <v>1</v>
      </c>
    </row>
    <row r="290" spans="1:17" x14ac:dyDescent="0.25">
      <c r="A290" s="7">
        <v>46247</v>
      </c>
      <c r="B290" s="6">
        <v>0</v>
      </c>
      <c r="C290" s="13">
        <v>0</v>
      </c>
      <c r="D290" s="18">
        <f t="shared" si="44"/>
        <v>0</v>
      </c>
      <c r="E290" s="14">
        <v>418.95</v>
      </c>
      <c r="F290" s="18">
        <f t="shared" si="48"/>
        <v>0</v>
      </c>
      <c r="G290" s="18">
        <f t="shared" si="49"/>
        <v>418.95</v>
      </c>
      <c r="H290" s="14">
        <v>54.72</v>
      </c>
      <c r="I290" s="18">
        <f t="shared" si="50"/>
        <v>0</v>
      </c>
      <c r="J290" s="18">
        <f t="shared" si="51"/>
        <v>54.72</v>
      </c>
      <c r="K290" s="14">
        <v>2.4</v>
      </c>
      <c r="L290" s="18">
        <f t="shared" si="52"/>
        <v>0</v>
      </c>
      <c r="M290" s="18">
        <f t="shared" si="53"/>
        <v>2.4</v>
      </c>
      <c r="N290" s="15">
        <f t="shared" si="54"/>
        <v>476.06999999999994</v>
      </c>
      <c r="O290" s="15">
        <f t="shared" si="45"/>
        <v>0</v>
      </c>
      <c r="P290" s="15">
        <f t="shared" si="46"/>
        <v>476.06999999999994</v>
      </c>
      <c r="Q290" s="5">
        <f t="shared" si="47"/>
        <v>1</v>
      </c>
    </row>
    <row r="291" spans="1:17" x14ac:dyDescent="0.25">
      <c r="A291" s="7">
        <v>46247.041666666664</v>
      </c>
      <c r="B291" s="6">
        <v>0</v>
      </c>
      <c r="C291" s="13">
        <v>0</v>
      </c>
      <c r="D291" s="18">
        <f t="shared" si="44"/>
        <v>0</v>
      </c>
      <c r="E291" s="14">
        <v>170.1</v>
      </c>
      <c r="F291" s="18">
        <f t="shared" si="48"/>
        <v>0</v>
      </c>
      <c r="G291" s="18">
        <f t="shared" si="49"/>
        <v>170.1</v>
      </c>
      <c r="H291" s="14">
        <v>47.88</v>
      </c>
      <c r="I291" s="18">
        <f t="shared" si="50"/>
        <v>0</v>
      </c>
      <c r="J291" s="18">
        <f t="shared" si="51"/>
        <v>47.88</v>
      </c>
      <c r="K291" s="14">
        <v>1.92</v>
      </c>
      <c r="L291" s="18">
        <f t="shared" si="52"/>
        <v>0</v>
      </c>
      <c r="M291" s="18">
        <f t="shared" si="53"/>
        <v>1.92</v>
      </c>
      <c r="N291" s="15">
        <f t="shared" si="54"/>
        <v>219.89999999999998</v>
      </c>
      <c r="O291" s="15">
        <f t="shared" si="45"/>
        <v>0</v>
      </c>
      <c r="P291" s="15">
        <f t="shared" si="46"/>
        <v>219.89999999999998</v>
      </c>
      <c r="Q291" s="5">
        <f t="shared" si="47"/>
        <v>1</v>
      </c>
    </row>
    <row r="292" spans="1:17" x14ac:dyDescent="0.25">
      <c r="A292" s="7">
        <v>46247.083333333336</v>
      </c>
      <c r="B292" s="6">
        <v>0</v>
      </c>
      <c r="C292" s="13">
        <v>0</v>
      </c>
      <c r="D292" s="18">
        <f t="shared" si="44"/>
        <v>0</v>
      </c>
      <c r="E292" s="14">
        <v>299.25</v>
      </c>
      <c r="F292" s="18">
        <f t="shared" si="48"/>
        <v>0</v>
      </c>
      <c r="G292" s="18">
        <f t="shared" si="49"/>
        <v>299.25</v>
      </c>
      <c r="H292" s="14">
        <v>51.24</v>
      </c>
      <c r="I292" s="18">
        <f t="shared" si="50"/>
        <v>0</v>
      </c>
      <c r="J292" s="18">
        <f t="shared" si="51"/>
        <v>51.24</v>
      </c>
      <c r="K292" s="14">
        <v>1.92</v>
      </c>
      <c r="L292" s="18">
        <f t="shared" si="52"/>
        <v>0</v>
      </c>
      <c r="M292" s="18">
        <f t="shared" si="53"/>
        <v>1.92</v>
      </c>
      <c r="N292" s="15">
        <f t="shared" si="54"/>
        <v>352.41</v>
      </c>
      <c r="O292" s="15">
        <f t="shared" si="45"/>
        <v>0</v>
      </c>
      <c r="P292" s="15">
        <f t="shared" si="46"/>
        <v>352.41</v>
      </c>
      <c r="Q292" s="5">
        <f t="shared" si="47"/>
        <v>1</v>
      </c>
    </row>
    <row r="293" spans="1:17" x14ac:dyDescent="0.25">
      <c r="A293" s="7">
        <v>46247.125</v>
      </c>
      <c r="B293" s="6">
        <v>0</v>
      </c>
      <c r="C293" s="13">
        <v>0</v>
      </c>
      <c r="D293" s="18">
        <f t="shared" si="44"/>
        <v>0</v>
      </c>
      <c r="E293" s="14">
        <v>359.1</v>
      </c>
      <c r="F293" s="18">
        <f t="shared" si="48"/>
        <v>0</v>
      </c>
      <c r="G293" s="18">
        <f t="shared" si="49"/>
        <v>359.1</v>
      </c>
      <c r="H293" s="14">
        <v>52.68</v>
      </c>
      <c r="I293" s="18">
        <f t="shared" si="50"/>
        <v>0</v>
      </c>
      <c r="J293" s="18">
        <f t="shared" si="51"/>
        <v>52.68</v>
      </c>
      <c r="K293" s="14">
        <v>2.04</v>
      </c>
      <c r="L293" s="18">
        <f t="shared" si="52"/>
        <v>0</v>
      </c>
      <c r="M293" s="18">
        <f t="shared" si="53"/>
        <v>2.04</v>
      </c>
      <c r="N293" s="15">
        <f t="shared" si="54"/>
        <v>413.82000000000005</v>
      </c>
      <c r="O293" s="15">
        <f t="shared" si="45"/>
        <v>0</v>
      </c>
      <c r="P293" s="15">
        <f t="shared" si="46"/>
        <v>413.82000000000005</v>
      </c>
      <c r="Q293" s="5">
        <f t="shared" si="47"/>
        <v>1</v>
      </c>
    </row>
    <row r="294" spans="1:17" x14ac:dyDescent="0.25">
      <c r="A294" s="7">
        <v>46247.166666666664</v>
      </c>
      <c r="B294" s="6">
        <v>0</v>
      </c>
      <c r="C294" s="13">
        <v>0</v>
      </c>
      <c r="D294" s="18">
        <f t="shared" si="44"/>
        <v>0</v>
      </c>
      <c r="E294" s="14">
        <v>406.35</v>
      </c>
      <c r="F294" s="18">
        <f t="shared" si="48"/>
        <v>0</v>
      </c>
      <c r="G294" s="18">
        <f t="shared" si="49"/>
        <v>406.35</v>
      </c>
      <c r="H294" s="14">
        <v>55.08</v>
      </c>
      <c r="I294" s="18">
        <f t="shared" si="50"/>
        <v>0</v>
      </c>
      <c r="J294" s="18">
        <f t="shared" si="51"/>
        <v>55.08</v>
      </c>
      <c r="K294" s="14">
        <v>1.68</v>
      </c>
      <c r="L294" s="18">
        <f t="shared" si="52"/>
        <v>0</v>
      </c>
      <c r="M294" s="18">
        <f t="shared" si="53"/>
        <v>1.68</v>
      </c>
      <c r="N294" s="15">
        <f t="shared" si="54"/>
        <v>463.11</v>
      </c>
      <c r="O294" s="15">
        <f t="shared" si="45"/>
        <v>0</v>
      </c>
      <c r="P294" s="15">
        <f t="shared" si="46"/>
        <v>463.11</v>
      </c>
      <c r="Q294" s="5">
        <f t="shared" si="47"/>
        <v>1</v>
      </c>
    </row>
    <row r="295" spans="1:17" x14ac:dyDescent="0.25">
      <c r="A295" s="7">
        <v>46247.208333333336</v>
      </c>
      <c r="B295" s="6">
        <v>0</v>
      </c>
      <c r="C295" s="13">
        <v>0</v>
      </c>
      <c r="D295" s="18">
        <f t="shared" si="44"/>
        <v>0</v>
      </c>
      <c r="E295" s="14">
        <v>403.2</v>
      </c>
      <c r="F295" s="18">
        <f t="shared" si="48"/>
        <v>0</v>
      </c>
      <c r="G295" s="18">
        <f t="shared" si="49"/>
        <v>403.2</v>
      </c>
      <c r="H295" s="14">
        <v>59.04</v>
      </c>
      <c r="I295" s="18">
        <f t="shared" si="50"/>
        <v>0</v>
      </c>
      <c r="J295" s="18">
        <f t="shared" si="51"/>
        <v>59.04</v>
      </c>
      <c r="K295" s="14">
        <v>2.16</v>
      </c>
      <c r="L295" s="18">
        <f t="shared" si="52"/>
        <v>0</v>
      </c>
      <c r="M295" s="18">
        <f t="shared" si="53"/>
        <v>2.16</v>
      </c>
      <c r="N295" s="15">
        <f t="shared" si="54"/>
        <v>464.40000000000003</v>
      </c>
      <c r="O295" s="15">
        <f t="shared" si="45"/>
        <v>0</v>
      </c>
      <c r="P295" s="15">
        <f t="shared" si="46"/>
        <v>464.40000000000003</v>
      </c>
      <c r="Q295" s="5">
        <f t="shared" si="47"/>
        <v>1</v>
      </c>
    </row>
    <row r="296" spans="1:17" x14ac:dyDescent="0.25">
      <c r="A296" s="7">
        <v>46247.25</v>
      </c>
      <c r="B296" s="6">
        <v>0</v>
      </c>
      <c r="C296" s="13">
        <v>0</v>
      </c>
      <c r="D296" s="18">
        <f t="shared" si="44"/>
        <v>0</v>
      </c>
      <c r="E296" s="14">
        <v>103.95</v>
      </c>
      <c r="F296" s="18">
        <f t="shared" si="48"/>
        <v>0</v>
      </c>
      <c r="G296" s="18">
        <f t="shared" si="49"/>
        <v>103.95</v>
      </c>
      <c r="H296" s="14">
        <v>54.12</v>
      </c>
      <c r="I296" s="18">
        <f t="shared" si="50"/>
        <v>0</v>
      </c>
      <c r="J296" s="18">
        <f t="shared" si="51"/>
        <v>54.12</v>
      </c>
      <c r="K296" s="14">
        <v>1.8</v>
      </c>
      <c r="L296" s="18">
        <f t="shared" si="52"/>
        <v>0</v>
      </c>
      <c r="M296" s="18">
        <f t="shared" si="53"/>
        <v>1.8</v>
      </c>
      <c r="N296" s="15">
        <f t="shared" si="54"/>
        <v>159.87</v>
      </c>
      <c r="O296" s="15">
        <f t="shared" si="45"/>
        <v>0</v>
      </c>
      <c r="P296" s="15">
        <f t="shared" si="46"/>
        <v>159.87</v>
      </c>
      <c r="Q296" s="5">
        <f t="shared" si="47"/>
        <v>1</v>
      </c>
    </row>
    <row r="297" spans="1:17" x14ac:dyDescent="0.25">
      <c r="A297" s="7">
        <v>46247.291666666664</v>
      </c>
      <c r="B297" s="6">
        <v>217.35</v>
      </c>
      <c r="C297" s="13">
        <v>0.12</v>
      </c>
      <c r="D297" s="18">
        <f t="shared" si="44"/>
        <v>217.47</v>
      </c>
      <c r="E297" s="14">
        <v>3.15</v>
      </c>
      <c r="F297" s="18">
        <f t="shared" si="48"/>
        <v>3.15</v>
      </c>
      <c r="G297" s="18">
        <f t="shared" si="49"/>
        <v>0</v>
      </c>
      <c r="H297" s="14">
        <v>23.88</v>
      </c>
      <c r="I297" s="18">
        <f t="shared" si="50"/>
        <v>23.88</v>
      </c>
      <c r="J297" s="18">
        <f t="shared" si="51"/>
        <v>0</v>
      </c>
      <c r="K297" s="14">
        <v>2.64</v>
      </c>
      <c r="L297" s="18">
        <f t="shared" si="52"/>
        <v>2.64</v>
      </c>
      <c r="M297" s="18">
        <f t="shared" si="53"/>
        <v>0</v>
      </c>
      <c r="N297" s="15">
        <f t="shared" si="54"/>
        <v>29.669999999999998</v>
      </c>
      <c r="O297" s="15">
        <f t="shared" si="45"/>
        <v>29.669999999999998</v>
      </c>
      <c r="P297" s="15">
        <f t="shared" si="46"/>
        <v>0</v>
      </c>
      <c r="Q297" s="5">
        <f t="shared" si="47"/>
        <v>0</v>
      </c>
    </row>
    <row r="298" spans="1:17" x14ac:dyDescent="0.25">
      <c r="A298" s="7">
        <v>46247.333333333336</v>
      </c>
      <c r="B298" s="6">
        <v>976.5</v>
      </c>
      <c r="C298" s="13">
        <v>1.2</v>
      </c>
      <c r="D298" s="18">
        <f t="shared" si="44"/>
        <v>977.7</v>
      </c>
      <c r="E298" s="14">
        <v>0</v>
      </c>
      <c r="F298" s="18">
        <f t="shared" si="48"/>
        <v>0</v>
      </c>
      <c r="G298" s="18">
        <f t="shared" si="49"/>
        <v>0</v>
      </c>
      <c r="H298" s="14">
        <v>40.44</v>
      </c>
      <c r="I298" s="18">
        <f t="shared" si="50"/>
        <v>40.44</v>
      </c>
      <c r="J298" s="18">
        <f t="shared" si="51"/>
        <v>0</v>
      </c>
      <c r="K298" s="14">
        <v>4.08</v>
      </c>
      <c r="L298" s="18">
        <f t="shared" si="52"/>
        <v>4.08</v>
      </c>
      <c r="M298" s="18">
        <f t="shared" si="53"/>
        <v>0</v>
      </c>
      <c r="N298" s="15">
        <f t="shared" si="54"/>
        <v>44.519999999999996</v>
      </c>
      <c r="O298" s="15">
        <f t="shared" si="45"/>
        <v>44.519999999999996</v>
      </c>
      <c r="P298" s="15">
        <f t="shared" si="46"/>
        <v>0</v>
      </c>
      <c r="Q298" s="5">
        <f t="shared" si="47"/>
        <v>0</v>
      </c>
    </row>
    <row r="299" spans="1:17" x14ac:dyDescent="0.25">
      <c r="A299" s="7">
        <v>46247.375</v>
      </c>
      <c r="B299" s="6">
        <v>1694.7</v>
      </c>
      <c r="C299" s="13">
        <v>36.6</v>
      </c>
      <c r="D299" s="18">
        <f t="shared" si="44"/>
        <v>1731.3</v>
      </c>
      <c r="E299" s="14">
        <v>0</v>
      </c>
      <c r="F299" s="18">
        <f t="shared" si="48"/>
        <v>0</v>
      </c>
      <c r="G299" s="18">
        <f t="shared" si="49"/>
        <v>0</v>
      </c>
      <c r="H299" s="14">
        <v>6.96</v>
      </c>
      <c r="I299" s="18">
        <f t="shared" si="50"/>
        <v>6.96</v>
      </c>
      <c r="J299" s="18">
        <f t="shared" si="51"/>
        <v>0</v>
      </c>
      <c r="K299" s="14">
        <v>22.68</v>
      </c>
      <c r="L299" s="18">
        <f t="shared" si="52"/>
        <v>22.68</v>
      </c>
      <c r="M299" s="18">
        <f t="shared" si="53"/>
        <v>0</v>
      </c>
      <c r="N299" s="15">
        <f t="shared" si="54"/>
        <v>29.64</v>
      </c>
      <c r="O299" s="15">
        <f t="shared" si="45"/>
        <v>29.64</v>
      </c>
      <c r="P299" s="15">
        <f t="shared" si="46"/>
        <v>0</v>
      </c>
      <c r="Q299" s="5">
        <f t="shared" si="47"/>
        <v>0</v>
      </c>
    </row>
    <row r="300" spans="1:17" x14ac:dyDescent="0.25">
      <c r="A300" s="7">
        <v>46247.416666666664</v>
      </c>
      <c r="B300" s="6">
        <v>2236.5</v>
      </c>
      <c r="C300" s="13">
        <v>68.16</v>
      </c>
      <c r="D300" s="18">
        <f t="shared" si="44"/>
        <v>2304.66</v>
      </c>
      <c r="E300" s="14">
        <v>0</v>
      </c>
      <c r="F300" s="18">
        <f t="shared" si="48"/>
        <v>0</v>
      </c>
      <c r="G300" s="18">
        <f t="shared" si="49"/>
        <v>0</v>
      </c>
      <c r="H300" s="14">
        <v>0.96</v>
      </c>
      <c r="I300" s="18">
        <f t="shared" si="50"/>
        <v>0.96</v>
      </c>
      <c r="J300" s="18">
        <f t="shared" si="51"/>
        <v>0</v>
      </c>
      <c r="K300" s="14">
        <v>16.68</v>
      </c>
      <c r="L300" s="18">
        <f t="shared" si="52"/>
        <v>16.68</v>
      </c>
      <c r="M300" s="18">
        <f t="shared" si="53"/>
        <v>0</v>
      </c>
      <c r="N300" s="15">
        <f t="shared" si="54"/>
        <v>17.64</v>
      </c>
      <c r="O300" s="15">
        <f t="shared" si="45"/>
        <v>17.64</v>
      </c>
      <c r="P300" s="15">
        <f t="shared" si="46"/>
        <v>0</v>
      </c>
      <c r="Q300" s="5">
        <f t="shared" si="47"/>
        <v>0</v>
      </c>
    </row>
    <row r="301" spans="1:17" x14ac:dyDescent="0.25">
      <c r="A301" s="7">
        <v>46247.458333333336</v>
      </c>
      <c r="B301" s="6">
        <v>2570.4</v>
      </c>
      <c r="C301" s="13">
        <v>84.24</v>
      </c>
      <c r="D301" s="18">
        <f t="shared" si="44"/>
        <v>2654.64</v>
      </c>
      <c r="E301" s="14">
        <v>0</v>
      </c>
      <c r="F301" s="18">
        <f t="shared" si="48"/>
        <v>0</v>
      </c>
      <c r="G301" s="18">
        <f t="shared" si="49"/>
        <v>0</v>
      </c>
      <c r="H301" s="14">
        <v>0.12</v>
      </c>
      <c r="I301" s="18">
        <f t="shared" si="50"/>
        <v>0.12</v>
      </c>
      <c r="J301" s="18">
        <f t="shared" si="51"/>
        <v>0</v>
      </c>
      <c r="K301" s="14">
        <v>16.2</v>
      </c>
      <c r="L301" s="18">
        <f t="shared" si="52"/>
        <v>16.2</v>
      </c>
      <c r="M301" s="18">
        <f t="shared" si="53"/>
        <v>0</v>
      </c>
      <c r="N301" s="15">
        <f t="shared" si="54"/>
        <v>16.32</v>
      </c>
      <c r="O301" s="15">
        <f t="shared" si="45"/>
        <v>16.32</v>
      </c>
      <c r="P301" s="15">
        <f t="shared" si="46"/>
        <v>0</v>
      </c>
      <c r="Q301" s="5">
        <f t="shared" si="47"/>
        <v>0</v>
      </c>
    </row>
    <row r="302" spans="1:17" x14ac:dyDescent="0.25">
      <c r="A302" s="7">
        <v>46247.5</v>
      </c>
      <c r="B302" s="6">
        <v>2617.65</v>
      </c>
      <c r="C302" s="13">
        <v>103.08</v>
      </c>
      <c r="D302" s="18">
        <f t="shared" si="44"/>
        <v>2720.73</v>
      </c>
      <c r="E302" s="14">
        <v>0</v>
      </c>
      <c r="F302" s="18">
        <f t="shared" si="48"/>
        <v>0</v>
      </c>
      <c r="G302" s="18">
        <f t="shared" si="49"/>
        <v>0</v>
      </c>
      <c r="H302" s="14">
        <v>0</v>
      </c>
      <c r="I302" s="18">
        <f t="shared" si="50"/>
        <v>0</v>
      </c>
      <c r="J302" s="18">
        <f t="shared" si="51"/>
        <v>0</v>
      </c>
      <c r="K302" s="14">
        <v>35.04</v>
      </c>
      <c r="L302" s="18">
        <f t="shared" si="52"/>
        <v>35.04</v>
      </c>
      <c r="M302" s="18">
        <f t="shared" si="53"/>
        <v>0</v>
      </c>
      <c r="N302" s="15">
        <f t="shared" si="54"/>
        <v>35.04</v>
      </c>
      <c r="O302" s="15">
        <f t="shared" si="45"/>
        <v>35.04</v>
      </c>
      <c r="P302" s="15">
        <f t="shared" si="46"/>
        <v>0</v>
      </c>
      <c r="Q302" s="5">
        <f t="shared" si="47"/>
        <v>0</v>
      </c>
    </row>
    <row r="303" spans="1:17" x14ac:dyDescent="0.25">
      <c r="A303" s="7">
        <v>46247.541666666664</v>
      </c>
      <c r="B303" s="6">
        <v>2548.35</v>
      </c>
      <c r="C303" s="13">
        <v>91.92</v>
      </c>
      <c r="D303" s="18">
        <f t="shared" si="44"/>
        <v>2640.27</v>
      </c>
      <c r="E303" s="14">
        <v>0</v>
      </c>
      <c r="F303" s="18">
        <f t="shared" si="48"/>
        <v>0</v>
      </c>
      <c r="G303" s="18">
        <f t="shared" si="49"/>
        <v>0</v>
      </c>
      <c r="H303" s="14">
        <v>0.12</v>
      </c>
      <c r="I303" s="18">
        <f t="shared" si="50"/>
        <v>0.12</v>
      </c>
      <c r="J303" s="18">
        <f t="shared" si="51"/>
        <v>0</v>
      </c>
      <c r="K303" s="14">
        <v>44.04</v>
      </c>
      <c r="L303" s="18">
        <f t="shared" si="52"/>
        <v>44.04</v>
      </c>
      <c r="M303" s="18">
        <f t="shared" si="53"/>
        <v>0</v>
      </c>
      <c r="N303" s="15">
        <f t="shared" si="54"/>
        <v>44.16</v>
      </c>
      <c r="O303" s="15">
        <f t="shared" si="45"/>
        <v>44.16</v>
      </c>
      <c r="P303" s="15">
        <f t="shared" si="46"/>
        <v>0</v>
      </c>
      <c r="Q303" s="5">
        <f t="shared" si="47"/>
        <v>0</v>
      </c>
    </row>
    <row r="304" spans="1:17" x14ac:dyDescent="0.25">
      <c r="A304" s="7">
        <v>46247.583333333336</v>
      </c>
      <c r="B304" s="6">
        <v>2504.25</v>
      </c>
      <c r="C304" s="13">
        <v>80.28</v>
      </c>
      <c r="D304" s="18">
        <f t="shared" si="44"/>
        <v>2584.5300000000002</v>
      </c>
      <c r="E304" s="14">
        <v>0</v>
      </c>
      <c r="F304" s="18">
        <f t="shared" si="48"/>
        <v>0</v>
      </c>
      <c r="G304" s="18">
        <f t="shared" si="49"/>
        <v>0</v>
      </c>
      <c r="H304" s="14">
        <v>0.48</v>
      </c>
      <c r="I304" s="18">
        <f t="shared" si="50"/>
        <v>0.48</v>
      </c>
      <c r="J304" s="18">
        <f t="shared" si="51"/>
        <v>0</v>
      </c>
      <c r="K304" s="14">
        <v>36.119999999999997</v>
      </c>
      <c r="L304" s="18">
        <f t="shared" si="52"/>
        <v>36.119999999999997</v>
      </c>
      <c r="M304" s="18">
        <f t="shared" si="53"/>
        <v>0</v>
      </c>
      <c r="N304" s="15">
        <f t="shared" si="54"/>
        <v>36.599999999999994</v>
      </c>
      <c r="O304" s="15">
        <f t="shared" si="45"/>
        <v>36.599999999999994</v>
      </c>
      <c r="P304" s="15">
        <f t="shared" si="46"/>
        <v>0</v>
      </c>
      <c r="Q304" s="5">
        <f t="shared" si="47"/>
        <v>0</v>
      </c>
    </row>
    <row r="305" spans="1:17" x14ac:dyDescent="0.25">
      <c r="A305" s="7">
        <v>46247.625</v>
      </c>
      <c r="B305" s="6">
        <v>2148.3000000000002</v>
      </c>
      <c r="C305" s="13">
        <v>42.24</v>
      </c>
      <c r="D305" s="18">
        <f t="shared" si="44"/>
        <v>2190.54</v>
      </c>
      <c r="E305" s="14">
        <v>0</v>
      </c>
      <c r="F305" s="18">
        <f t="shared" si="48"/>
        <v>0</v>
      </c>
      <c r="G305" s="18">
        <f t="shared" si="49"/>
        <v>0</v>
      </c>
      <c r="H305" s="14">
        <v>4.2</v>
      </c>
      <c r="I305" s="18">
        <f t="shared" si="50"/>
        <v>4.2</v>
      </c>
      <c r="J305" s="18">
        <f t="shared" si="51"/>
        <v>0</v>
      </c>
      <c r="K305" s="14">
        <v>27.24</v>
      </c>
      <c r="L305" s="18">
        <f t="shared" si="52"/>
        <v>27.24</v>
      </c>
      <c r="M305" s="18">
        <f t="shared" si="53"/>
        <v>0</v>
      </c>
      <c r="N305" s="15">
        <f t="shared" si="54"/>
        <v>31.439999999999998</v>
      </c>
      <c r="O305" s="15">
        <f t="shared" si="45"/>
        <v>31.439999999999998</v>
      </c>
      <c r="P305" s="15">
        <f t="shared" si="46"/>
        <v>0</v>
      </c>
      <c r="Q305" s="5">
        <f t="shared" si="47"/>
        <v>0</v>
      </c>
    </row>
    <row r="306" spans="1:17" x14ac:dyDescent="0.25">
      <c r="A306" s="7">
        <v>46247.666666666664</v>
      </c>
      <c r="B306" s="6">
        <v>1521.45</v>
      </c>
      <c r="C306" s="13">
        <v>17.88</v>
      </c>
      <c r="D306" s="18">
        <f t="shared" si="44"/>
        <v>1539.3300000000002</v>
      </c>
      <c r="E306" s="14">
        <v>0</v>
      </c>
      <c r="F306" s="18">
        <f t="shared" si="48"/>
        <v>0</v>
      </c>
      <c r="G306" s="18">
        <f t="shared" si="49"/>
        <v>0</v>
      </c>
      <c r="H306" s="14">
        <v>6.12</v>
      </c>
      <c r="I306" s="18">
        <f t="shared" si="50"/>
        <v>6.12</v>
      </c>
      <c r="J306" s="18">
        <f t="shared" si="51"/>
        <v>0</v>
      </c>
      <c r="K306" s="14">
        <v>36</v>
      </c>
      <c r="L306" s="18">
        <f t="shared" si="52"/>
        <v>36</v>
      </c>
      <c r="M306" s="18">
        <f t="shared" si="53"/>
        <v>0</v>
      </c>
      <c r="N306" s="15">
        <f t="shared" si="54"/>
        <v>42.12</v>
      </c>
      <c r="O306" s="15">
        <f t="shared" si="45"/>
        <v>42.12</v>
      </c>
      <c r="P306" s="15">
        <f t="shared" si="46"/>
        <v>0</v>
      </c>
      <c r="Q306" s="5">
        <f t="shared" si="47"/>
        <v>0</v>
      </c>
    </row>
    <row r="307" spans="1:17" x14ac:dyDescent="0.25">
      <c r="A307" s="7">
        <v>46247.708333333336</v>
      </c>
      <c r="B307" s="6">
        <v>765.45</v>
      </c>
      <c r="C307" s="13">
        <v>1.08</v>
      </c>
      <c r="D307" s="18">
        <f t="shared" si="44"/>
        <v>766.53000000000009</v>
      </c>
      <c r="E307" s="14">
        <v>0</v>
      </c>
      <c r="F307" s="18">
        <f t="shared" si="48"/>
        <v>0</v>
      </c>
      <c r="G307" s="18">
        <f t="shared" si="49"/>
        <v>0</v>
      </c>
      <c r="H307" s="14">
        <v>39.24</v>
      </c>
      <c r="I307" s="18">
        <f t="shared" si="50"/>
        <v>39.24</v>
      </c>
      <c r="J307" s="18">
        <f t="shared" si="51"/>
        <v>0</v>
      </c>
      <c r="K307" s="14">
        <v>34.44</v>
      </c>
      <c r="L307" s="18">
        <f t="shared" si="52"/>
        <v>34.44</v>
      </c>
      <c r="M307" s="18">
        <f t="shared" si="53"/>
        <v>0</v>
      </c>
      <c r="N307" s="15">
        <f t="shared" si="54"/>
        <v>73.680000000000007</v>
      </c>
      <c r="O307" s="15">
        <f t="shared" si="45"/>
        <v>73.680000000000007</v>
      </c>
      <c r="P307" s="15">
        <f t="shared" si="46"/>
        <v>0</v>
      </c>
      <c r="Q307" s="5">
        <f t="shared" si="47"/>
        <v>0</v>
      </c>
    </row>
    <row r="308" spans="1:17" x14ac:dyDescent="0.25">
      <c r="A308" s="7">
        <v>46247.75</v>
      </c>
      <c r="B308" s="6">
        <v>119.7</v>
      </c>
      <c r="C308" s="13">
        <v>0</v>
      </c>
      <c r="D308" s="18">
        <f t="shared" si="44"/>
        <v>119.7</v>
      </c>
      <c r="E308" s="14">
        <v>9.4499999999999993</v>
      </c>
      <c r="F308" s="18">
        <f t="shared" si="48"/>
        <v>9.4499999999999993</v>
      </c>
      <c r="G308" s="18">
        <f t="shared" si="49"/>
        <v>0</v>
      </c>
      <c r="H308" s="14">
        <v>42</v>
      </c>
      <c r="I308" s="18">
        <f t="shared" si="50"/>
        <v>42</v>
      </c>
      <c r="J308" s="18">
        <f t="shared" si="51"/>
        <v>0</v>
      </c>
      <c r="K308" s="14">
        <v>26.76</v>
      </c>
      <c r="L308" s="18">
        <f t="shared" si="52"/>
        <v>26.76</v>
      </c>
      <c r="M308" s="18">
        <f t="shared" si="53"/>
        <v>0</v>
      </c>
      <c r="N308" s="15">
        <f t="shared" si="54"/>
        <v>78.210000000000008</v>
      </c>
      <c r="O308" s="15">
        <f t="shared" si="45"/>
        <v>78.210000000000008</v>
      </c>
      <c r="P308" s="15">
        <f t="shared" si="46"/>
        <v>0</v>
      </c>
      <c r="Q308" s="5">
        <f t="shared" si="47"/>
        <v>0</v>
      </c>
    </row>
    <row r="309" spans="1:17" x14ac:dyDescent="0.25">
      <c r="A309" s="7">
        <v>46247.791666666664</v>
      </c>
      <c r="B309" s="6">
        <v>0</v>
      </c>
      <c r="C309" s="13">
        <v>0</v>
      </c>
      <c r="D309" s="18">
        <f t="shared" si="44"/>
        <v>0</v>
      </c>
      <c r="E309" s="14">
        <v>94.5</v>
      </c>
      <c r="F309" s="18">
        <f t="shared" si="48"/>
        <v>0</v>
      </c>
      <c r="G309" s="18">
        <f t="shared" si="49"/>
        <v>94.5</v>
      </c>
      <c r="H309" s="14">
        <v>54.48</v>
      </c>
      <c r="I309" s="18">
        <f t="shared" si="50"/>
        <v>0</v>
      </c>
      <c r="J309" s="18">
        <f t="shared" si="51"/>
        <v>54.48</v>
      </c>
      <c r="K309" s="14">
        <v>22.56</v>
      </c>
      <c r="L309" s="18">
        <f t="shared" si="52"/>
        <v>0</v>
      </c>
      <c r="M309" s="18">
        <f t="shared" si="53"/>
        <v>22.56</v>
      </c>
      <c r="N309" s="15">
        <f t="shared" si="54"/>
        <v>171.54</v>
      </c>
      <c r="O309" s="15">
        <f t="shared" si="45"/>
        <v>0</v>
      </c>
      <c r="P309" s="15">
        <f t="shared" si="46"/>
        <v>171.54</v>
      </c>
      <c r="Q309" s="5">
        <f t="shared" si="47"/>
        <v>1</v>
      </c>
    </row>
    <row r="310" spans="1:17" x14ac:dyDescent="0.25">
      <c r="A310" s="7">
        <v>46247.833333333336</v>
      </c>
      <c r="B310" s="6">
        <v>0</v>
      </c>
      <c r="C310" s="13">
        <v>0</v>
      </c>
      <c r="D310" s="18">
        <f t="shared" si="44"/>
        <v>0</v>
      </c>
      <c r="E310" s="14">
        <v>107.1</v>
      </c>
      <c r="F310" s="18">
        <f t="shared" si="48"/>
        <v>0</v>
      </c>
      <c r="G310" s="18">
        <f t="shared" si="49"/>
        <v>107.1</v>
      </c>
      <c r="H310" s="14">
        <v>49.32</v>
      </c>
      <c r="I310" s="18">
        <f t="shared" si="50"/>
        <v>0</v>
      </c>
      <c r="J310" s="18">
        <f t="shared" si="51"/>
        <v>49.32</v>
      </c>
      <c r="K310" s="14">
        <v>2.2799999999999998</v>
      </c>
      <c r="L310" s="18">
        <f t="shared" si="52"/>
        <v>0</v>
      </c>
      <c r="M310" s="18">
        <f t="shared" si="53"/>
        <v>2.2799999999999998</v>
      </c>
      <c r="N310" s="15">
        <f t="shared" si="54"/>
        <v>158.69999999999999</v>
      </c>
      <c r="O310" s="15">
        <f t="shared" si="45"/>
        <v>0</v>
      </c>
      <c r="P310" s="15">
        <f t="shared" si="46"/>
        <v>158.69999999999999</v>
      </c>
      <c r="Q310" s="5">
        <f t="shared" si="47"/>
        <v>1</v>
      </c>
    </row>
    <row r="311" spans="1:17" x14ac:dyDescent="0.25">
      <c r="A311" s="7">
        <v>46247.875</v>
      </c>
      <c r="B311" s="6">
        <v>0</v>
      </c>
      <c r="C311" s="13">
        <v>0</v>
      </c>
      <c r="D311" s="18">
        <f t="shared" si="44"/>
        <v>0</v>
      </c>
      <c r="E311" s="14">
        <v>107.1</v>
      </c>
      <c r="F311" s="18">
        <f t="shared" si="48"/>
        <v>0</v>
      </c>
      <c r="G311" s="18">
        <f t="shared" si="49"/>
        <v>107.1</v>
      </c>
      <c r="H311" s="14">
        <v>46.56</v>
      </c>
      <c r="I311" s="18">
        <f t="shared" si="50"/>
        <v>0</v>
      </c>
      <c r="J311" s="18">
        <f t="shared" si="51"/>
        <v>46.56</v>
      </c>
      <c r="K311" s="14">
        <v>1.92</v>
      </c>
      <c r="L311" s="18">
        <f t="shared" si="52"/>
        <v>0</v>
      </c>
      <c r="M311" s="18">
        <f t="shared" si="53"/>
        <v>1.92</v>
      </c>
      <c r="N311" s="15">
        <f t="shared" si="54"/>
        <v>155.57999999999998</v>
      </c>
      <c r="O311" s="15">
        <f t="shared" si="45"/>
        <v>0</v>
      </c>
      <c r="P311" s="15">
        <f t="shared" si="46"/>
        <v>155.57999999999998</v>
      </c>
      <c r="Q311" s="5">
        <f t="shared" si="47"/>
        <v>1</v>
      </c>
    </row>
    <row r="312" spans="1:17" x14ac:dyDescent="0.25">
      <c r="A312" s="7">
        <v>46247.916666666664</v>
      </c>
      <c r="B312" s="6">
        <v>0</v>
      </c>
      <c r="C312" s="13">
        <v>0</v>
      </c>
      <c r="D312" s="18">
        <f t="shared" si="44"/>
        <v>0</v>
      </c>
      <c r="E312" s="14">
        <v>78.75</v>
      </c>
      <c r="F312" s="18">
        <f t="shared" si="48"/>
        <v>0</v>
      </c>
      <c r="G312" s="18">
        <f t="shared" si="49"/>
        <v>78.75</v>
      </c>
      <c r="H312" s="14">
        <v>49.2</v>
      </c>
      <c r="I312" s="18">
        <f t="shared" si="50"/>
        <v>0</v>
      </c>
      <c r="J312" s="18">
        <f t="shared" si="51"/>
        <v>49.2</v>
      </c>
      <c r="K312" s="14">
        <v>15.12</v>
      </c>
      <c r="L312" s="18">
        <f t="shared" si="52"/>
        <v>0</v>
      </c>
      <c r="M312" s="18">
        <f t="shared" si="53"/>
        <v>15.12</v>
      </c>
      <c r="N312" s="15">
        <f t="shared" si="54"/>
        <v>143.07</v>
      </c>
      <c r="O312" s="15">
        <f t="shared" si="45"/>
        <v>0</v>
      </c>
      <c r="P312" s="15">
        <f t="shared" si="46"/>
        <v>143.07</v>
      </c>
      <c r="Q312" s="5">
        <f t="shared" si="47"/>
        <v>1</v>
      </c>
    </row>
    <row r="313" spans="1:17" x14ac:dyDescent="0.25">
      <c r="A313" s="7">
        <v>46247.958333333336</v>
      </c>
      <c r="B313" s="6">
        <v>0</v>
      </c>
      <c r="C313" s="13">
        <v>0</v>
      </c>
      <c r="D313" s="18">
        <f t="shared" si="44"/>
        <v>0</v>
      </c>
      <c r="E313" s="14">
        <v>78.75</v>
      </c>
      <c r="F313" s="18">
        <f t="shared" si="48"/>
        <v>0</v>
      </c>
      <c r="G313" s="18">
        <f t="shared" si="49"/>
        <v>78.75</v>
      </c>
      <c r="H313" s="14">
        <v>46.92</v>
      </c>
      <c r="I313" s="18">
        <f t="shared" si="50"/>
        <v>0</v>
      </c>
      <c r="J313" s="18">
        <f t="shared" si="51"/>
        <v>46.92</v>
      </c>
      <c r="K313" s="14">
        <v>11.16</v>
      </c>
      <c r="L313" s="18">
        <f t="shared" si="52"/>
        <v>0</v>
      </c>
      <c r="M313" s="18">
        <f t="shared" si="53"/>
        <v>11.16</v>
      </c>
      <c r="N313" s="15">
        <f t="shared" si="54"/>
        <v>136.83000000000001</v>
      </c>
      <c r="O313" s="15">
        <f t="shared" si="45"/>
        <v>0</v>
      </c>
      <c r="P313" s="15">
        <f t="shared" si="46"/>
        <v>136.83000000000001</v>
      </c>
      <c r="Q313" s="5">
        <f t="shared" si="47"/>
        <v>1</v>
      </c>
    </row>
    <row r="314" spans="1:17" x14ac:dyDescent="0.25">
      <c r="A314" s="7">
        <v>46248</v>
      </c>
      <c r="B314" s="6">
        <v>0</v>
      </c>
      <c r="C314" s="13">
        <v>0</v>
      </c>
      <c r="D314" s="18">
        <f t="shared" si="44"/>
        <v>0</v>
      </c>
      <c r="E314" s="14">
        <v>78.75</v>
      </c>
      <c r="F314" s="18">
        <f t="shared" si="48"/>
        <v>0</v>
      </c>
      <c r="G314" s="18">
        <f t="shared" si="49"/>
        <v>78.75</v>
      </c>
      <c r="H314" s="14">
        <v>48.84</v>
      </c>
      <c r="I314" s="18">
        <f t="shared" si="50"/>
        <v>0</v>
      </c>
      <c r="J314" s="18">
        <f t="shared" si="51"/>
        <v>48.84</v>
      </c>
      <c r="K314" s="14">
        <v>1.8</v>
      </c>
      <c r="L314" s="18">
        <f t="shared" si="52"/>
        <v>0</v>
      </c>
      <c r="M314" s="18">
        <f t="shared" si="53"/>
        <v>1.8</v>
      </c>
      <c r="N314" s="15">
        <f t="shared" si="54"/>
        <v>129.39000000000001</v>
      </c>
      <c r="O314" s="15">
        <f t="shared" si="45"/>
        <v>0</v>
      </c>
      <c r="P314" s="15">
        <f t="shared" si="46"/>
        <v>129.39000000000001</v>
      </c>
      <c r="Q314" s="5">
        <f t="shared" si="47"/>
        <v>1</v>
      </c>
    </row>
    <row r="315" spans="1:17" x14ac:dyDescent="0.25">
      <c r="A315" s="7">
        <v>46248.041666666664</v>
      </c>
      <c r="B315" s="6">
        <v>0</v>
      </c>
      <c r="C315" s="13">
        <v>0</v>
      </c>
      <c r="D315" s="18">
        <f t="shared" si="44"/>
        <v>0</v>
      </c>
      <c r="E315" s="14">
        <v>78.75</v>
      </c>
      <c r="F315" s="18">
        <f t="shared" si="48"/>
        <v>0</v>
      </c>
      <c r="G315" s="18">
        <f t="shared" si="49"/>
        <v>78.75</v>
      </c>
      <c r="H315" s="14">
        <v>48.6</v>
      </c>
      <c r="I315" s="18">
        <f t="shared" si="50"/>
        <v>0</v>
      </c>
      <c r="J315" s="18">
        <f t="shared" si="51"/>
        <v>48.6</v>
      </c>
      <c r="K315" s="14">
        <v>1.8</v>
      </c>
      <c r="L315" s="18">
        <f t="shared" si="52"/>
        <v>0</v>
      </c>
      <c r="M315" s="18">
        <f t="shared" si="53"/>
        <v>1.8</v>
      </c>
      <c r="N315" s="15">
        <f t="shared" si="54"/>
        <v>129.15</v>
      </c>
      <c r="O315" s="15">
        <f t="shared" si="45"/>
        <v>0</v>
      </c>
      <c r="P315" s="15">
        <f t="shared" si="46"/>
        <v>129.15</v>
      </c>
      <c r="Q315" s="5">
        <f t="shared" si="47"/>
        <v>1</v>
      </c>
    </row>
    <row r="316" spans="1:17" x14ac:dyDescent="0.25">
      <c r="A316" s="7">
        <v>46248.083333333336</v>
      </c>
      <c r="B316" s="6">
        <v>0</v>
      </c>
      <c r="C316" s="13">
        <v>0</v>
      </c>
      <c r="D316" s="18">
        <f t="shared" si="44"/>
        <v>0</v>
      </c>
      <c r="E316" s="14">
        <v>78.75</v>
      </c>
      <c r="F316" s="18">
        <f t="shared" si="48"/>
        <v>0</v>
      </c>
      <c r="G316" s="18">
        <f t="shared" si="49"/>
        <v>78.75</v>
      </c>
      <c r="H316" s="14">
        <v>47.64</v>
      </c>
      <c r="I316" s="18">
        <f t="shared" si="50"/>
        <v>0</v>
      </c>
      <c r="J316" s="18">
        <f t="shared" si="51"/>
        <v>47.64</v>
      </c>
      <c r="K316" s="14">
        <v>1.92</v>
      </c>
      <c r="L316" s="18">
        <f t="shared" si="52"/>
        <v>0</v>
      </c>
      <c r="M316" s="18">
        <f t="shared" si="53"/>
        <v>1.92</v>
      </c>
      <c r="N316" s="15">
        <f t="shared" si="54"/>
        <v>128.31</v>
      </c>
      <c r="O316" s="15">
        <f t="shared" si="45"/>
        <v>0</v>
      </c>
      <c r="P316" s="15">
        <f t="shared" si="46"/>
        <v>128.31</v>
      </c>
      <c r="Q316" s="5">
        <f t="shared" si="47"/>
        <v>1</v>
      </c>
    </row>
    <row r="317" spans="1:17" x14ac:dyDescent="0.25">
      <c r="A317" s="7">
        <v>46248.125</v>
      </c>
      <c r="B317" s="6">
        <v>0</v>
      </c>
      <c r="C317" s="13">
        <v>0</v>
      </c>
      <c r="D317" s="18">
        <f t="shared" si="44"/>
        <v>0</v>
      </c>
      <c r="E317" s="14">
        <v>97.65</v>
      </c>
      <c r="F317" s="18">
        <f t="shared" si="48"/>
        <v>0</v>
      </c>
      <c r="G317" s="18">
        <f t="shared" si="49"/>
        <v>97.65</v>
      </c>
      <c r="H317" s="14">
        <v>45.24</v>
      </c>
      <c r="I317" s="18">
        <f t="shared" si="50"/>
        <v>0</v>
      </c>
      <c r="J317" s="18">
        <f t="shared" si="51"/>
        <v>45.24</v>
      </c>
      <c r="K317" s="14">
        <v>1.68</v>
      </c>
      <c r="L317" s="18">
        <f t="shared" si="52"/>
        <v>0</v>
      </c>
      <c r="M317" s="18">
        <f t="shared" si="53"/>
        <v>1.68</v>
      </c>
      <c r="N317" s="15">
        <f t="shared" si="54"/>
        <v>144.57000000000002</v>
      </c>
      <c r="O317" s="15">
        <f t="shared" si="45"/>
        <v>0</v>
      </c>
      <c r="P317" s="15">
        <f t="shared" si="46"/>
        <v>144.57000000000002</v>
      </c>
      <c r="Q317" s="5">
        <f t="shared" si="47"/>
        <v>1</v>
      </c>
    </row>
    <row r="318" spans="1:17" x14ac:dyDescent="0.25">
      <c r="A318" s="7">
        <v>46248.166666666664</v>
      </c>
      <c r="B318" s="6">
        <v>0</v>
      </c>
      <c r="C318" s="13">
        <v>0</v>
      </c>
      <c r="D318" s="18">
        <f t="shared" si="44"/>
        <v>0</v>
      </c>
      <c r="E318" s="14">
        <v>129.15</v>
      </c>
      <c r="F318" s="18">
        <f t="shared" si="48"/>
        <v>0</v>
      </c>
      <c r="G318" s="18">
        <f t="shared" si="49"/>
        <v>129.15</v>
      </c>
      <c r="H318" s="14">
        <v>47.52</v>
      </c>
      <c r="I318" s="18">
        <f t="shared" si="50"/>
        <v>0</v>
      </c>
      <c r="J318" s="18">
        <f t="shared" si="51"/>
        <v>47.52</v>
      </c>
      <c r="K318" s="14">
        <v>1.8</v>
      </c>
      <c r="L318" s="18">
        <f t="shared" si="52"/>
        <v>0</v>
      </c>
      <c r="M318" s="18">
        <f t="shared" si="53"/>
        <v>1.8</v>
      </c>
      <c r="N318" s="15">
        <f t="shared" si="54"/>
        <v>178.47000000000003</v>
      </c>
      <c r="O318" s="15">
        <f t="shared" si="45"/>
        <v>0</v>
      </c>
      <c r="P318" s="15">
        <f t="shared" si="46"/>
        <v>178.47000000000003</v>
      </c>
      <c r="Q318" s="5">
        <f t="shared" si="47"/>
        <v>1</v>
      </c>
    </row>
    <row r="319" spans="1:17" x14ac:dyDescent="0.25">
      <c r="A319" s="7">
        <v>46248.208333333336</v>
      </c>
      <c r="B319" s="6">
        <v>0</v>
      </c>
      <c r="C319" s="13">
        <v>0</v>
      </c>
      <c r="D319" s="18">
        <f t="shared" si="44"/>
        <v>0</v>
      </c>
      <c r="E319" s="14">
        <v>144.9</v>
      </c>
      <c r="F319" s="18">
        <f t="shared" si="48"/>
        <v>0</v>
      </c>
      <c r="G319" s="18">
        <f t="shared" si="49"/>
        <v>144.9</v>
      </c>
      <c r="H319" s="14">
        <v>48.36</v>
      </c>
      <c r="I319" s="18">
        <f t="shared" si="50"/>
        <v>0</v>
      </c>
      <c r="J319" s="18">
        <f t="shared" si="51"/>
        <v>48.36</v>
      </c>
      <c r="K319" s="14">
        <v>1.68</v>
      </c>
      <c r="L319" s="18">
        <f t="shared" si="52"/>
        <v>0</v>
      </c>
      <c r="M319" s="18">
        <f t="shared" si="53"/>
        <v>1.68</v>
      </c>
      <c r="N319" s="15">
        <f t="shared" si="54"/>
        <v>194.94</v>
      </c>
      <c r="O319" s="15">
        <f t="shared" si="45"/>
        <v>0</v>
      </c>
      <c r="P319" s="15">
        <f t="shared" si="46"/>
        <v>194.94</v>
      </c>
      <c r="Q319" s="5">
        <f t="shared" si="47"/>
        <v>1</v>
      </c>
    </row>
    <row r="320" spans="1:17" x14ac:dyDescent="0.25">
      <c r="A320" s="7">
        <v>46248.25</v>
      </c>
      <c r="B320" s="6">
        <v>0</v>
      </c>
      <c r="C320" s="13">
        <v>0</v>
      </c>
      <c r="D320" s="18">
        <f t="shared" si="44"/>
        <v>0</v>
      </c>
      <c r="E320" s="14">
        <v>141.75</v>
      </c>
      <c r="F320" s="18">
        <f t="shared" si="48"/>
        <v>0</v>
      </c>
      <c r="G320" s="18">
        <f t="shared" si="49"/>
        <v>141.75</v>
      </c>
      <c r="H320" s="14">
        <v>54.36</v>
      </c>
      <c r="I320" s="18">
        <f t="shared" si="50"/>
        <v>0</v>
      </c>
      <c r="J320" s="18">
        <f t="shared" si="51"/>
        <v>54.36</v>
      </c>
      <c r="K320" s="14">
        <v>1.8</v>
      </c>
      <c r="L320" s="18">
        <f t="shared" si="52"/>
        <v>0</v>
      </c>
      <c r="M320" s="18">
        <f t="shared" si="53"/>
        <v>1.8</v>
      </c>
      <c r="N320" s="15">
        <f t="shared" si="54"/>
        <v>197.91000000000003</v>
      </c>
      <c r="O320" s="15">
        <f t="shared" si="45"/>
        <v>0</v>
      </c>
      <c r="P320" s="15">
        <f t="shared" si="46"/>
        <v>197.91000000000003</v>
      </c>
      <c r="Q320" s="5">
        <f t="shared" si="47"/>
        <v>1</v>
      </c>
    </row>
    <row r="321" spans="1:17" x14ac:dyDescent="0.25">
      <c r="A321" s="7">
        <v>46248.291666666664</v>
      </c>
      <c r="B321" s="6">
        <v>135.44999999999999</v>
      </c>
      <c r="C321" s="13">
        <v>0</v>
      </c>
      <c r="D321" s="18">
        <f t="shared" si="44"/>
        <v>135.44999999999999</v>
      </c>
      <c r="E321" s="14">
        <v>25.2</v>
      </c>
      <c r="F321" s="18">
        <f t="shared" si="48"/>
        <v>25.2</v>
      </c>
      <c r="G321" s="18">
        <f t="shared" si="49"/>
        <v>0</v>
      </c>
      <c r="H321" s="14">
        <v>27.84</v>
      </c>
      <c r="I321" s="18">
        <f t="shared" si="50"/>
        <v>27.84</v>
      </c>
      <c r="J321" s="18">
        <f t="shared" si="51"/>
        <v>0</v>
      </c>
      <c r="K321" s="14">
        <v>2.64</v>
      </c>
      <c r="L321" s="18">
        <f t="shared" si="52"/>
        <v>2.64</v>
      </c>
      <c r="M321" s="18">
        <f t="shared" si="53"/>
        <v>0</v>
      </c>
      <c r="N321" s="15">
        <f t="shared" si="54"/>
        <v>55.68</v>
      </c>
      <c r="O321" s="15">
        <f t="shared" si="45"/>
        <v>55.68</v>
      </c>
      <c r="P321" s="15">
        <f t="shared" si="46"/>
        <v>0</v>
      </c>
      <c r="Q321" s="5">
        <f t="shared" si="47"/>
        <v>0</v>
      </c>
    </row>
    <row r="322" spans="1:17" x14ac:dyDescent="0.25">
      <c r="A322" s="7">
        <v>46248.333333333336</v>
      </c>
      <c r="B322" s="6">
        <v>337.05</v>
      </c>
      <c r="C322" s="13">
        <v>0</v>
      </c>
      <c r="D322" s="18">
        <f t="shared" ref="D322:D385" si="55">+B322+C322</f>
        <v>337.05</v>
      </c>
      <c r="E322" s="14">
        <v>3.15</v>
      </c>
      <c r="F322" s="18">
        <f t="shared" si="48"/>
        <v>3.15</v>
      </c>
      <c r="G322" s="18">
        <f t="shared" si="49"/>
        <v>0</v>
      </c>
      <c r="H322" s="14">
        <v>108</v>
      </c>
      <c r="I322" s="18">
        <f t="shared" si="50"/>
        <v>108</v>
      </c>
      <c r="J322" s="18">
        <f t="shared" si="51"/>
        <v>0</v>
      </c>
      <c r="K322" s="14">
        <v>7.56</v>
      </c>
      <c r="L322" s="18">
        <f t="shared" si="52"/>
        <v>7.56</v>
      </c>
      <c r="M322" s="18">
        <f t="shared" si="53"/>
        <v>0</v>
      </c>
      <c r="N322" s="15">
        <f t="shared" si="54"/>
        <v>118.71000000000001</v>
      </c>
      <c r="O322" s="15">
        <f t="shared" ref="O322:O385" si="56">+N322-P322</f>
        <v>118.71000000000001</v>
      </c>
      <c r="P322" s="15">
        <f t="shared" ref="P322:P385" si="57">+IF(N322&gt;D322,N322-D322,0)</f>
        <v>0</v>
      </c>
      <c r="Q322" s="5">
        <f t="shared" ref="Q322:Q385" si="58">+IF(P322=0,P322,P322/N322)</f>
        <v>0</v>
      </c>
    </row>
    <row r="323" spans="1:17" x14ac:dyDescent="0.25">
      <c r="A323" s="7">
        <v>46248.375</v>
      </c>
      <c r="B323" s="6">
        <v>648.9</v>
      </c>
      <c r="C323" s="13">
        <v>0</v>
      </c>
      <c r="D323" s="18">
        <f t="shared" si="55"/>
        <v>648.9</v>
      </c>
      <c r="E323" s="14">
        <v>0</v>
      </c>
      <c r="F323" s="18">
        <f t="shared" ref="F323:F386" si="59">+E323-G323</f>
        <v>0</v>
      </c>
      <c r="G323" s="18">
        <f t="shared" ref="G323:G386" si="60">+E323*Q323</f>
        <v>0</v>
      </c>
      <c r="H323" s="14">
        <v>98.28</v>
      </c>
      <c r="I323" s="18">
        <f t="shared" ref="I323:I386" si="61">+H323-J323</f>
        <v>98.28</v>
      </c>
      <c r="J323" s="18">
        <f t="shared" ref="J323:J386" si="62">+H323*Q323</f>
        <v>0</v>
      </c>
      <c r="K323" s="14">
        <v>10.08</v>
      </c>
      <c r="L323" s="18">
        <f t="shared" ref="L323:L386" si="63">+K323-M323</f>
        <v>10.08</v>
      </c>
      <c r="M323" s="18">
        <f t="shared" ref="M323:M386" si="64">+K323*Q323</f>
        <v>0</v>
      </c>
      <c r="N323" s="15">
        <f t="shared" ref="N323:N386" si="65">+E323+H323+K323</f>
        <v>108.36</v>
      </c>
      <c r="O323" s="15">
        <f t="shared" si="56"/>
        <v>108.36</v>
      </c>
      <c r="P323" s="15">
        <f t="shared" si="57"/>
        <v>0</v>
      </c>
      <c r="Q323" s="5">
        <f t="shared" si="58"/>
        <v>0</v>
      </c>
    </row>
    <row r="324" spans="1:17" x14ac:dyDescent="0.25">
      <c r="A324" s="7">
        <v>46248.416666666664</v>
      </c>
      <c r="B324" s="6">
        <v>1234.8</v>
      </c>
      <c r="C324" s="13">
        <v>0.36</v>
      </c>
      <c r="D324" s="18">
        <f t="shared" si="55"/>
        <v>1235.1599999999999</v>
      </c>
      <c r="E324" s="14">
        <v>0</v>
      </c>
      <c r="F324" s="18">
        <f t="shared" si="59"/>
        <v>0</v>
      </c>
      <c r="G324" s="18">
        <f t="shared" si="60"/>
        <v>0</v>
      </c>
      <c r="H324" s="14">
        <v>55.8</v>
      </c>
      <c r="I324" s="18">
        <f t="shared" si="61"/>
        <v>55.8</v>
      </c>
      <c r="J324" s="18">
        <f t="shared" si="62"/>
        <v>0</v>
      </c>
      <c r="K324" s="14">
        <v>2.76</v>
      </c>
      <c r="L324" s="18">
        <f t="shared" si="63"/>
        <v>2.76</v>
      </c>
      <c r="M324" s="18">
        <f t="shared" si="64"/>
        <v>0</v>
      </c>
      <c r="N324" s="15">
        <f t="shared" si="65"/>
        <v>58.559999999999995</v>
      </c>
      <c r="O324" s="15">
        <f t="shared" si="56"/>
        <v>58.559999999999995</v>
      </c>
      <c r="P324" s="15">
        <f t="shared" si="57"/>
        <v>0</v>
      </c>
      <c r="Q324" s="5">
        <f t="shared" si="58"/>
        <v>0</v>
      </c>
    </row>
    <row r="325" spans="1:17" x14ac:dyDescent="0.25">
      <c r="A325" s="7">
        <v>46248.458333333336</v>
      </c>
      <c r="B325" s="6">
        <v>1631.7</v>
      </c>
      <c r="C325" s="13">
        <v>1.8</v>
      </c>
      <c r="D325" s="18">
        <f t="shared" si="55"/>
        <v>1633.5</v>
      </c>
      <c r="E325" s="14">
        <v>0</v>
      </c>
      <c r="F325" s="18">
        <f t="shared" si="59"/>
        <v>0</v>
      </c>
      <c r="G325" s="18">
        <f t="shared" si="60"/>
        <v>0</v>
      </c>
      <c r="H325" s="14">
        <v>57.12</v>
      </c>
      <c r="I325" s="18">
        <f t="shared" si="61"/>
        <v>57.12</v>
      </c>
      <c r="J325" s="18">
        <f t="shared" si="62"/>
        <v>0</v>
      </c>
      <c r="K325" s="14">
        <v>0.84</v>
      </c>
      <c r="L325" s="18">
        <f t="shared" si="63"/>
        <v>0.84</v>
      </c>
      <c r="M325" s="18">
        <f t="shared" si="64"/>
        <v>0</v>
      </c>
      <c r="N325" s="15">
        <f t="shared" si="65"/>
        <v>57.96</v>
      </c>
      <c r="O325" s="15">
        <f t="shared" si="56"/>
        <v>57.96</v>
      </c>
      <c r="P325" s="15">
        <f t="shared" si="57"/>
        <v>0</v>
      </c>
      <c r="Q325" s="5">
        <f t="shared" si="58"/>
        <v>0</v>
      </c>
    </row>
    <row r="326" spans="1:17" x14ac:dyDescent="0.25">
      <c r="A326" s="7">
        <v>46248.5</v>
      </c>
      <c r="B326" s="6">
        <v>2170.35</v>
      </c>
      <c r="C326" s="13">
        <v>38.04</v>
      </c>
      <c r="D326" s="18">
        <f t="shared" si="55"/>
        <v>2208.39</v>
      </c>
      <c r="E326" s="14">
        <v>0</v>
      </c>
      <c r="F326" s="18">
        <f t="shared" si="59"/>
        <v>0</v>
      </c>
      <c r="G326" s="18">
        <f t="shared" si="60"/>
        <v>0</v>
      </c>
      <c r="H326" s="14">
        <v>8.8800000000000008</v>
      </c>
      <c r="I326" s="18">
        <f t="shared" si="61"/>
        <v>8.8800000000000008</v>
      </c>
      <c r="J326" s="18">
        <f t="shared" si="62"/>
        <v>0</v>
      </c>
      <c r="K326" s="14">
        <v>16.8</v>
      </c>
      <c r="L326" s="18">
        <f t="shared" si="63"/>
        <v>16.8</v>
      </c>
      <c r="M326" s="18">
        <f t="shared" si="64"/>
        <v>0</v>
      </c>
      <c r="N326" s="15">
        <f t="shared" si="65"/>
        <v>25.68</v>
      </c>
      <c r="O326" s="15">
        <f t="shared" si="56"/>
        <v>25.68</v>
      </c>
      <c r="P326" s="15">
        <f t="shared" si="57"/>
        <v>0</v>
      </c>
      <c r="Q326" s="5">
        <f t="shared" si="58"/>
        <v>0</v>
      </c>
    </row>
    <row r="327" spans="1:17" x14ac:dyDescent="0.25">
      <c r="A327" s="7">
        <v>46248.541666666664</v>
      </c>
      <c r="B327" s="6">
        <v>2390.85</v>
      </c>
      <c r="C327" s="13">
        <v>15.72</v>
      </c>
      <c r="D327" s="18">
        <f t="shared" si="55"/>
        <v>2406.5699999999997</v>
      </c>
      <c r="E327" s="14">
        <v>0</v>
      </c>
      <c r="F327" s="18">
        <f t="shared" si="59"/>
        <v>0</v>
      </c>
      <c r="G327" s="18">
        <f t="shared" si="60"/>
        <v>0</v>
      </c>
      <c r="H327" s="14">
        <v>30.12</v>
      </c>
      <c r="I327" s="18">
        <f t="shared" si="61"/>
        <v>30.12</v>
      </c>
      <c r="J327" s="18">
        <f t="shared" si="62"/>
        <v>0</v>
      </c>
      <c r="K327" s="14">
        <v>13.68</v>
      </c>
      <c r="L327" s="18">
        <f t="shared" si="63"/>
        <v>13.68</v>
      </c>
      <c r="M327" s="18">
        <f t="shared" si="64"/>
        <v>0</v>
      </c>
      <c r="N327" s="15">
        <f t="shared" si="65"/>
        <v>43.8</v>
      </c>
      <c r="O327" s="15">
        <f t="shared" si="56"/>
        <v>43.8</v>
      </c>
      <c r="P327" s="15">
        <f t="shared" si="57"/>
        <v>0</v>
      </c>
      <c r="Q327" s="5">
        <f t="shared" si="58"/>
        <v>0</v>
      </c>
    </row>
    <row r="328" spans="1:17" x14ac:dyDescent="0.25">
      <c r="A328" s="7">
        <v>46248.583333333336</v>
      </c>
      <c r="B328" s="6">
        <v>1726.2</v>
      </c>
      <c r="C328" s="13">
        <v>18.600000000000001</v>
      </c>
      <c r="D328" s="18">
        <f t="shared" si="55"/>
        <v>1744.8</v>
      </c>
      <c r="E328" s="14">
        <v>0</v>
      </c>
      <c r="F328" s="18">
        <f t="shared" si="59"/>
        <v>0</v>
      </c>
      <c r="G328" s="18">
        <f t="shared" si="60"/>
        <v>0</v>
      </c>
      <c r="H328" s="14">
        <v>13.08</v>
      </c>
      <c r="I328" s="18">
        <f t="shared" si="61"/>
        <v>13.08</v>
      </c>
      <c r="J328" s="18">
        <f t="shared" si="62"/>
        <v>0</v>
      </c>
      <c r="K328" s="14">
        <v>0.96</v>
      </c>
      <c r="L328" s="18">
        <f t="shared" si="63"/>
        <v>0.96</v>
      </c>
      <c r="M328" s="18">
        <f t="shared" si="64"/>
        <v>0</v>
      </c>
      <c r="N328" s="15">
        <f t="shared" si="65"/>
        <v>14.04</v>
      </c>
      <c r="O328" s="15">
        <f t="shared" si="56"/>
        <v>14.04</v>
      </c>
      <c r="P328" s="15">
        <f t="shared" si="57"/>
        <v>0</v>
      </c>
      <c r="Q328" s="5">
        <f t="shared" si="58"/>
        <v>0</v>
      </c>
    </row>
    <row r="329" spans="1:17" x14ac:dyDescent="0.25">
      <c r="A329" s="7">
        <v>46248.625</v>
      </c>
      <c r="B329" s="6">
        <v>1363.95</v>
      </c>
      <c r="C329" s="13">
        <v>2.16</v>
      </c>
      <c r="D329" s="18">
        <f t="shared" si="55"/>
        <v>1366.1100000000001</v>
      </c>
      <c r="E329" s="14">
        <v>0</v>
      </c>
      <c r="F329" s="18">
        <f t="shared" si="59"/>
        <v>0</v>
      </c>
      <c r="G329" s="18">
        <f t="shared" si="60"/>
        <v>0</v>
      </c>
      <c r="H329" s="14">
        <v>48.72</v>
      </c>
      <c r="I329" s="18">
        <f t="shared" si="61"/>
        <v>48.72</v>
      </c>
      <c r="J329" s="18">
        <f t="shared" si="62"/>
        <v>0</v>
      </c>
      <c r="K329" s="14">
        <v>0.84</v>
      </c>
      <c r="L329" s="18">
        <f t="shared" si="63"/>
        <v>0.84</v>
      </c>
      <c r="M329" s="18">
        <f t="shared" si="64"/>
        <v>0</v>
      </c>
      <c r="N329" s="15">
        <f t="shared" si="65"/>
        <v>49.56</v>
      </c>
      <c r="O329" s="15">
        <f t="shared" si="56"/>
        <v>49.56</v>
      </c>
      <c r="P329" s="15">
        <f t="shared" si="57"/>
        <v>0</v>
      </c>
      <c r="Q329" s="5">
        <f t="shared" si="58"/>
        <v>0</v>
      </c>
    </row>
    <row r="330" spans="1:17" x14ac:dyDescent="0.25">
      <c r="A330" s="7">
        <v>46248.666666666664</v>
      </c>
      <c r="B330" s="6">
        <v>611.1</v>
      </c>
      <c r="C330" s="13">
        <v>0</v>
      </c>
      <c r="D330" s="18">
        <f t="shared" si="55"/>
        <v>611.1</v>
      </c>
      <c r="E330" s="14">
        <v>0</v>
      </c>
      <c r="F330" s="18">
        <f t="shared" si="59"/>
        <v>0</v>
      </c>
      <c r="G330" s="18">
        <f t="shared" si="60"/>
        <v>0</v>
      </c>
      <c r="H330" s="14">
        <v>73.08</v>
      </c>
      <c r="I330" s="18">
        <f t="shared" si="61"/>
        <v>73.08</v>
      </c>
      <c r="J330" s="18">
        <f t="shared" si="62"/>
        <v>0</v>
      </c>
      <c r="K330" s="14">
        <v>0.96</v>
      </c>
      <c r="L330" s="18">
        <f t="shared" si="63"/>
        <v>0.96</v>
      </c>
      <c r="M330" s="18">
        <f t="shared" si="64"/>
        <v>0</v>
      </c>
      <c r="N330" s="15">
        <f t="shared" si="65"/>
        <v>74.039999999999992</v>
      </c>
      <c r="O330" s="15">
        <f t="shared" si="56"/>
        <v>74.039999999999992</v>
      </c>
      <c r="P330" s="15">
        <f t="shared" si="57"/>
        <v>0</v>
      </c>
      <c r="Q330" s="5">
        <f t="shared" si="58"/>
        <v>0</v>
      </c>
    </row>
    <row r="331" spans="1:17" x14ac:dyDescent="0.25">
      <c r="A331" s="7">
        <v>46248.708333333336</v>
      </c>
      <c r="B331" s="6">
        <v>18.899999999999999</v>
      </c>
      <c r="C331" s="13">
        <v>0</v>
      </c>
      <c r="D331" s="18">
        <f t="shared" si="55"/>
        <v>18.899999999999999</v>
      </c>
      <c r="E331" s="14">
        <v>220.5</v>
      </c>
      <c r="F331" s="18">
        <f t="shared" si="59"/>
        <v>13.515761821365999</v>
      </c>
      <c r="G331" s="18">
        <f t="shared" si="60"/>
        <v>206.984238178634</v>
      </c>
      <c r="H331" s="14">
        <v>85.92</v>
      </c>
      <c r="I331" s="18">
        <f t="shared" si="61"/>
        <v>5.2665499124343143</v>
      </c>
      <c r="J331" s="18">
        <f t="shared" si="62"/>
        <v>80.653450087565687</v>
      </c>
      <c r="K331" s="14">
        <v>1.92</v>
      </c>
      <c r="L331" s="18">
        <f t="shared" si="63"/>
        <v>0.11768826619964967</v>
      </c>
      <c r="M331" s="18">
        <f t="shared" si="64"/>
        <v>1.8023117338003503</v>
      </c>
      <c r="N331" s="15">
        <f t="shared" si="65"/>
        <v>308.34000000000003</v>
      </c>
      <c r="O331" s="15">
        <f t="shared" si="56"/>
        <v>18.899999999999977</v>
      </c>
      <c r="P331" s="15">
        <f t="shared" si="57"/>
        <v>289.44000000000005</v>
      </c>
      <c r="Q331" s="5">
        <f t="shared" si="58"/>
        <v>0.93870402802101582</v>
      </c>
    </row>
    <row r="332" spans="1:17" x14ac:dyDescent="0.25">
      <c r="A332" s="7">
        <v>46248.75</v>
      </c>
      <c r="B332" s="6">
        <v>0</v>
      </c>
      <c r="C332" s="13">
        <v>0</v>
      </c>
      <c r="D332" s="18">
        <f t="shared" si="55"/>
        <v>0</v>
      </c>
      <c r="E332" s="14">
        <v>248.85</v>
      </c>
      <c r="F332" s="18">
        <f t="shared" si="59"/>
        <v>0</v>
      </c>
      <c r="G332" s="18">
        <f t="shared" si="60"/>
        <v>248.85</v>
      </c>
      <c r="H332" s="14">
        <v>67.8</v>
      </c>
      <c r="I332" s="18">
        <f t="shared" si="61"/>
        <v>0</v>
      </c>
      <c r="J332" s="18">
        <f t="shared" si="62"/>
        <v>67.8</v>
      </c>
      <c r="K332" s="14">
        <v>6.12</v>
      </c>
      <c r="L332" s="18">
        <f t="shared" si="63"/>
        <v>0</v>
      </c>
      <c r="M332" s="18">
        <f t="shared" si="64"/>
        <v>6.12</v>
      </c>
      <c r="N332" s="15">
        <f t="shared" si="65"/>
        <v>322.77</v>
      </c>
      <c r="O332" s="15">
        <f t="shared" si="56"/>
        <v>0</v>
      </c>
      <c r="P332" s="15">
        <f t="shared" si="57"/>
        <v>322.77</v>
      </c>
      <c r="Q332" s="5">
        <f t="shared" si="58"/>
        <v>1</v>
      </c>
    </row>
    <row r="333" spans="1:17" x14ac:dyDescent="0.25">
      <c r="A333" s="7">
        <v>46248.791666666664</v>
      </c>
      <c r="B333" s="6">
        <v>0</v>
      </c>
      <c r="C333" s="13">
        <v>0</v>
      </c>
      <c r="D333" s="18">
        <f t="shared" si="55"/>
        <v>0</v>
      </c>
      <c r="E333" s="14">
        <v>220.5</v>
      </c>
      <c r="F333" s="18">
        <f t="shared" si="59"/>
        <v>0</v>
      </c>
      <c r="G333" s="18">
        <f t="shared" si="60"/>
        <v>220.5</v>
      </c>
      <c r="H333" s="14">
        <v>47.88</v>
      </c>
      <c r="I333" s="18">
        <f t="shared" si="61"/>
        <v>0</v>
      </c>
      <c r="J333" s="18">
        <f t="shared" si="62"/>
        <v>47.88</v>
      </c>
      <c r="K333" s="14">
        <v>2.76</v>
      </c>
      <c r="L333" s="18">
        <f t="shared" si="63"/>
        <v>0</v>
      </c>
      <c r="M333" s="18">
        <f t="shared" si="64"/>
        <v>2.76</v>
      </c>
      <c r="N333" s="15">
        <f t="shared" si="65"/>
        <v>271.14</v>
      </c>
      <c r="O333" s="15">
        <f t="shared" si="56"/>
        <v>0</v>
      </c>
      <c r="P333" s="15">
        <f t="shared" si="57"/>
        <v>271.14</v>
      </c>
      <c r="Q333" s="5">
        <f t="shared" si="58"/>
        <v>1</v>
      </c>
    </row>
    <row r="334" spans="1:17" x14ac:dyDescent="0.25">
      <c r="A334" s="7">
        <v>46248.833333333336</v>
      </c>
      <c r="B334" s="6">
        <v>0</v>
      </c>
      <c r="C334" s="13">
        <v>0</v>
      </c>
      <c r="D334" s="18">
        <f t="shared" si="55"/>
        <v>0</v>
      </c>
      <c r="E334" s="14">
        <v>340.2</v>
      </c>
      <c r="F334" s="18">
        <f t="shared" si="59"/>
        <v>0</v>
      </c>
      <c r="G334" s="18">
        <f t="shared" si="60"/>
        <v>340.2</v>
      </c>
      <c r="H334" s="14">
        <v>44.4</v>
      </c>
      <c r="I334" s="18">
        <f t="shared" si="61"/>
        <v>0</v>
      </c>
      <c r="J334" s="18">
        <f t="shared" si="62"/>
        <v>44.4</v>
      </c>
      <c r="K334" s="14">
        <v>5.52</v>
      </c>
      <c r="L334" s="18">
        <f t="shared" si="63"/>
        <v>0</v>
      </c>
      <c r="M334" s="18">
        <f t="shared" si="64"/>
        <v>5.52</v>
      </c>
      <c r="N334" s="15">
        <f t="shared" si="65"/>
        <v>390.11999999999995</v>
      </c>
      <c r="O334" s="15">
        <f t="shared" si="56"/>
        <v>0</v>
      </c>
      <c r="P334" s="15">
        <f t="shared" si="57"/>
        <v>390.11999999999995</v>
      </c>
      <c r="Q334" s="5">
        <f t="shared" si="58"/>
        <v>1</v>
      </c>
    </row>
    <row r="335" spans="1:17" x14ac:dyDescent="0.25">
      <c r="A335" s="7">
        <v>46248.875</v>
      </c>
      <c r="B335" s="6">
        <v>0</v>
      </c>
      <c r="C335" s="13">
        <v>0</v>
      </c>
      <c r="D335" s="18">
        <f t="shared" si="55"/>
        <v>0</v>
      </c>
      <c r="E335" s="14">
        <v>447.3</v>
      </c>
      <c r="F335" s="18">
        <f t="shared" si="59"/>
        <v>0</v>
      </c>
      <c r="G335" s="18">
        <f t="shared" si="60"/>
        <v>447.3</v>
      </c>
      <c r="H335" s="14">
        <v>45.96</v>
      </c>
      <c r="I335" s="18">
        <f t="shared" si="61"/>
        <v>0</v>
      </c>
      <c r="J335" s="18">
        <f t="shared" si="62"/>
        <v>45.96</v>
      </c>
      <c r="K335" s="14">
        <v>1.32</v>
      </c>
      <c r="L335" s="18">
        <f t="shared" si="63"/>
        <v>0</v>
      </c>
      <c r="M335" s="18">
        <f t="shared" si="64"/>
        <v>1.32</v>
      </c>
      <c r="N335" s="15">
        <f t="shared" si="65"/>
        <v>494.58</v>
      </c>
      <c r="O335" s="15">
        <f t="shared" si="56"/>
        <v>0</v>
      </c>
      <c r="P335" s="15">
        <f t="shared" si="57"/>
        <v>494.58</v>
      </c>
      <c r="Q335" s="5">
        <f t="shared" si="58"/>
        <v>1</v>
      </c>
    </row>
    <row r="336" spans="1:17" x14ac:dyDescent="0.25">
      <c r="A336" s="7">
        <v>46248.916666666664</v>
      </c>
      <c r="B336" s="6">
        <v>0</v>
      </c>
      <c r="C336" s="13">
        <v>0</v>
      </c>
      <c r="D336" s="18">
        <f t="shared" si="55"/>
        <v>0</v>
      </c>
      <c r="E336" s="14">
        <v>343.35</v>
      </c>
      <c r="F336" s="18">
        <f t="shared" si="59"/>
        <v>0</v>
      </c>
      <c r="G336" s="18">
        <f t="shared" si="60"/>
        <v>343.35</v>
      </c>
      <c r="H336" s="14">
        <v>40.56</v>
      </c>
      <c r="I336" s="18">
        <f t="shared" si="61"/>
        <v>0</v>
      </c>
      <c r="J336" s="18">
        <f t="shared" si="62"/>
        <v>40.56</v>
      </c>
      <c r="K336" s="14">
        <v>1.56</v>
      </c>
      <c r="L336" s="18">
        <f t="shared" si="63"/>
        <v>0</v>
      </c>
      <c r="M336" s="18">
        <f t="shared" si="64"/>
        <v>1.56</v>
      </c>
      <c r="N336" s="15">
        <f t="shared" si="65"/>
        <v>385.47</v>
      </c>
      <c r="O336" s="15">
        <f t="shared" si="56"/>
        <v>0</v>
      </c>
      <c r="P336" s="15">
        <f t="shared" si="57"/>
        <v>385.47</v>
      </c>
      <c r="Q336" s="5">
        <f t="shared" si="58"/>
        <v>1</v>
      </c>
    </row>
    <row r="337" spans="1:17" x14ac:dyDescent="0.25">
      <c r="A337" s="7">
        <v>46248.958333333336</v>
      </c>
      <c r="B337" s="6">
        <v>0</v>
      </c>
      <c r="C337" s="13">
        <v>0</v>
      </c>
      <c r="D337" s="18">
        <f t="shared" si="55"/>
        <v>0</v>
      </c>
      <c r="E337" s="14">
        <v>406.35</v>
      </c>
      <c r="F337" s="18">
        <f t="shared" si="59"/>
        <v>0</v>
      </c>
      <c r="G337" s="18">
        <f t="shared" si="60"/>
        <v>406.35</v>
      </c>
      <c r="H337" s="14">
        <v>45</v>
      </c>
      <c r="I337" s="18">
        <f t="shared" si="61"/>
        <v>0</v>
      </c>
      <c r="J337" s="18">
        <f t="shared" si="62"/>
        <v>45</v>
      </c>
      <c r="K337" s="14">
        <v>1.44</v>
      </c>
      <c r="L337" s="18">
        <f t="shared" si="63"/>
        <v>0</v>
      </c>
      <c r="M337" s="18">
        <f t="shared" si="64"/>
        <v>1.44</v>
      </c>
      <c r="N337" s="15">
        <f t="shared" si="65"/>
        <v>452.79</v>
      </c>
      <c r="O337" s="15">
        <f t="shared" si="56"/>
        <v>0</v>
      </c>
      <c r="P337" s="15">
        <f t="shared" si="57"/>
        <v>452.79</v>
      </c>
      <c r="Q337" s="5">
        <f t="shared" si="58"/>
        <v>1</v>
      </c>
    </row>
    <row r="338" spans="1:17" x14ac:dyDescent="0.25">
      <c r="A338" s="7">
        <v>46249</v>
      </c>
      <c r="B338" s="6">
        <v>0</v>
      </c>
      <c r="C338" s="13">
        <v>0</v>
      </c>
      <c r="D338" s="18">
        <f t="shared" si="55"/>
        <v>0</v>
      </c>
      <c r="E338" s="14">
        <v>415.8</v>
      </c>
      <c r="F338" s="18">
        <f t="shared" si="59"/>
        <v>0</v>
      </c>
      <c r="G338" s="18">
        <f t="shared" si="60"/>
        <v>415.8</v>
      </c>
      <c r="H338" s="14">
        <v>43.44</v>
      </c>
      <c r="I338" s="18">
        <f t="shared" si="61"/>
        <v>0</v>
      </c>
      <c r="J338" s="18">
        <f t="shared" si="62"/>
        <v>43.44</v>
      </c>
      <c r="K338" s="14">
        <v>1.44</v>
      </c>
      <c r="L338" s="18">
        <f t="shared" si="63"/>
        <v>0</v>
      </c>
      <c r="M338" s="18">
        <f t="shared" si="64"/>
        <v>1.44</v>
      </c>
      <c r="N338" s="15">
        <f t="shared" si="65"/>
        <v>460.68</v>
      </c>
      <c r="O338" s="15">
        <f t="shared" si="56"/>
        <v>0</v>
      </c>
      <c r="P338" s="15">
        <f t="shared" si="57"/>
        <v>460.68</v>
      </c>
      <c r="Q338" s="5">
        <f t="shared" si="58"/>
        <v>1</v>
      </c>
    </row>
    <row r="339" spans="1:17" x14ac:dyDescent="0.25">
      <c r="A339" s="7">
        <v>46249.041666666664</v>
      </c>
      <c r="B339" s="6">
        <v>0</v>
      </c>
      <c r="C339" s="13">
        <v>0</v>
      </c>
      <c r="D339" s="18">
        <f t="shared" si="55"/>
        <v>0</v>
      </c>
      <c r="E339" s="14">
        <v>406.35</v>
      </c>
      <c r="F339" s="18">
        <f t="shared" si="59"/>
        <v>0</v>
      </c>
      <c r="G339" s="18">
        <f t="shared" si="60"/>
        <v>406.35</v>
      </c>
      <c r="H339" s="14">
        <v>52.68</v>
      </c>
      <c r="I339" s="18">
        <f t="shared" si="61"/>
        <v>0</v>
      </c>
      <c r="J339" s="18">
        <f t="shared" si="62"/>
        <v>52.68</v>
      </c>
      <c r="K339" s="14">
        <v>1.44</v>
      </c>
      <c r="L339" s="18">
        <f t="shared" si="63"/>
        <v>0</v>
      </c>
      <c r="M339" s="18">
        <f t="shared" si="64"/>
        <v>1.44</v>
      </c>
      <c r="N339" s="15">
        <f t="shared" si="65"/>
        <v>460.47</v>
      </c>
      <c r="O339" s="15">
        <f t="shared" si="56"/>
        <v>0</v>
      </c>
      <c r="P339" s="15">
        <f t="shared" si="57"/>
        <v>460.47</v>
      </c>
      <c r="Q339" s="5">
        <f t="shared" si="58"/>
        <v>1</v>
      </c>
    </row>
    <row r="340" spans="1:17" x14ac:dyDescent="0.25">
      <c r="A340" s="7">
        <v>46249.083333333336</v>
      </c>
      <c r="B340" s="6">
        <v>0</v>
      </c>
      <c r="C340" s="13">
        <v>0</v>
      </c>
      <c r="D340" s="18">
        <f t="shared" si="55"/>
        <v>0</v>
      </c>
      <c r="E340" s="14">
        <v>412.65</v>
      </c>
      <c r="F340" s="18">
        <f t="shared" si="59"/>
        <v>0</v>
      </c>
      <c r="G340" s="18">
        <f t="shared" si="60"/>
        <v>412.65</v>
      </c>
      <c r="H340" s="14">
        <v>40.200000000000003</v>
      </c>
      <c r="I340" s="18">
        <f t="shared" si="61"/>
        <v>0</v>
      </c>
      <c r="J340" s="18">
        <f t="shared" si="62"/>
        <v>40.200000000000003</v>
      </c>
      <c r="K340" s="14">
        <v>1.44</v>
      </c>
      <c r="L340" s="18">
        <f t="shared" si="63"/>
        <v>0</v>
      </c>
      <c r="M340" s="18">
        <f t="shared" si="64"/>
        <v>1.44</v>
      </c>
      <c r="N340" s="15">
        <f t="shared" si="65"/>
        <v>454.28999999999996</v>
      </c>
      <c r="O340" s="15">
        <f t="shared" si="56"/>
        <v>0</v>
      </c>
      <c r="P340" s="15">
        <f t="shared" si="57"/>
        <v>454.28999999999996</v>
      </c>
      <c r="Q340" s="5">
        <f t="shared" si="58"/>
        <v>1</v>
      </c>
    </row>
    <row r="341" spans="1:17" x14ac:dyDescent="0.25">
      <c r="A341" s="7">
        <v>46249.125</v>
      </c>
      <c r="B341" s="6">
        <v>0</v>
      </c>
      <c r="C341" s="13">
        <v>0</v>
      </c>
      <c r="D341" s="18">
        <f t="shared" si="55"/>
        <v>0</v>
      </c>
      <c r="E341" s="14">
        <v>494.55</v>
      </c>
      <c r="F341" s="18">
        <f t="shared" si="59"/>
        <v>0</v>
      </c>
      <c r="G341" s="18">
        <f t="shared" si="60"/>
        <v>494.55</v>
      </c>
      <c r="H341" s="14">
        <v>42.36</v>
      </c>
      <c r="I341" s="18">
        <f t="shared" si="61"/>
        <v>0</v>
      </c>
      <c r="J341" s="18">
        <f t="shared" si="62"/>
        <v>42.36</v>
      </c>
      <c r="K341" s="14">
        <v>1.44</v>
      </c>
      <c r="L341" s="18">
        <f t="shared" si="63"/>
        <v>0</v>
      </c>
      <c r="M341" s="18">
        <f t="shared" si="64"/>
        <v>1.44</v>
      </c>
      <c r="N341" s="15">
        <f t="shared" si="65"/>
        <v>538.35</v>
      </c>
      <c r="O341" s="15">
        <f t="shared" si="56"/>
        <v>0</v>
      </c>
      <c r="P341" s="15">
        <f t="shared" si="57"/>
        <v>538.35</v>
      </c>
      <c r="Q341" s="5">
        <f t="shared" si="58"/>
        <v>1</v>
      </c>
    </row>
    <row r="342" spans="1:17" x14ac:dyDescent="0.25">
      <c r="A342" s="7">
        <v>46249.166666666664</v>
      </c>
      <c r="B342" s="6">
        <v>0</v>
      </c>
      <c r="C342" s="13">
        <v>0</v>
      </c>
      <c r="D342" s="18">
        <f t="shared" si="55"/>
        <v>0</v>
      </c>
      <c r="E342" s="14">
        <v>532.35</v>
      </c>
      <c r="F342" s="18">
        <f t="shared" si="59"/>
        <v>0</v>
      </c>
      <c r="G342" s="18">
        <f t="shared" si="60"/>
        <v>532.35</v>
      </c>
      <c r="H342" s="14">
        <v>45.72</v>
      </c>
      <c r="I342" s="18">
        <f t="shared" si="61"/>
        <v>0</v>
      </c>
      <c r="J342" s="18">
        <f t="shared" si="62"/>
        <v>45.72</v>
      </c>
      <c r="K342" s="14">
        <v>1.32</v>
      </c>
      <c r="L342" s="18">
        <f t="shared" si="63"/>
        <v>0</v>
      </c>
      <c r="M342" s="18">
        <f t="shared" si="64"/>
        <v>1.32</v>
      </c>
      <c r="N342" s="15">
        <f t="shared" si="65"/>
        <v>579.3900000000001</v>
      </c>
      <c r="O342" s="15">
        <f t="shared" si="56"/>
        <v>0</v>
      </c>
      <c r="P342" s="15">
        <f t="shared" si="57"/>
        <v>579.3900000000001</v>
      </c>
      <c r="Q342" s="5">
        <f t="shared" si="58"/>
        <v>1</v>
      </c>
    </row>
    <row r="343" spans="1:17" x14ac:dyDescent="0.25">
      <c r="A343" s="7">
        <v>46249.208333333336</v>
      </c>
      <c r="B343" s="6">
        <v>0</v>
      </c>
      <c r="C343" s="13">
        <v>0</v>
      </c>
      <c r="D343" s="18">
        <f t="shared" si="55"/>
        <v>0</v>
      </c>
      <c r="E343" s="14">
        <v>459.9</v>
      </c>
      <c r="F343" s="18">
        <f t="shared" si="59"/>
        <v>0</v>
      </c>
      <c r="G343" s="18">
        <f t="shared" si="60"/>
        <v>459.9</v>
      </c>
      <c r="H343" s="14">
        <v>41.88</v>
      </c>
      <c r="I343" s="18">
        <f t="shared" si="61"/>
        <v>0</v>
      </c>
      <c r="J343" s="18">
        <f t="shared" si="62"/>
        <v>41.88</v>
      </c>
      <c r="K343" s="14">
        <v>1.32</v>
      </c>
      <c r="L343" s="18">
        <f t="shared" si="63"/>
        <v>0</v>
      </c>
      <c r="M343" s="18">
        <f t="shared" si="64"/>
        <v>1.32</v>
      </c>
      <c r="N343" s="15">
        <f t="shared" si="65"/>
        <v>503.09999999999997</v>
      </c>
      <c r="O343" s="15">
        <f t="shared" si="56"/>
        <v>0</v>
      </c>
      <c r="P343" s="15">
        <f t="shared" si="57"/>
        <v>503.09999999999997</v>
      </c>
      <c r="Q343" s="5">
        <f t="shared" si="58"/>
        <v>1</v>
      </c>
    </row>
    <row r="344" spans="1:17" x14ac:dyDescent="0.25">
      <c r="A344" s="7">
        <v>46249.25</v>
      </c>
      <c r="B344" s="6">
        <v>0</v>
      </c>
      <c r="C344" s="13">
        <v>0</v>
      </c>
      <c r="D344" s="18">
        <f t="shared" si="55"/>
        <v>0</v>
      </c>
      <c r="E344" s="14">
        <v>409.5</v>
      </c>
      <c r="F344" s="18">
        <f t="shared" si="59"/>
        <v>0</v>
      </c>
      <c r="G344" s="18">
        <f t="shared" si="60"/>
        <v>409.5</v>
      </c>
      <c r="H344" s="14">
        <v>41.64</v>
      </c>
      <c r="I344" s="18">
        <f t="shared" si="61"/>
        <v>0</v>
      </c>
      <c r="J344" s="18">
        <f t="shared" si="62"/>
        <v>41.64</v>
      </c>
      <c r="K344" s="14">
        <v>2.16</v>
      </c>
      <c r="L344" s="18">
        <f t="shared" si="63"/>
        <v>0</v>
      </c>
      <c r="M344" s="18">
        <f t="shared" si="64"/>
        <v>2.16</v>
      </c>
      <c r="N344" s="15">
        <f t="shared" si="65"/>
        <v>453.3</v>
      </c>
      <c r="O344" s="15">
        <f t="shared" si="56"/>
        <v>0</v>
      </c>
      <c r="P344" s="15">
        <f t="shared" si="57"/>
        <v>453.3</v>
      </c>
      <c r="Q344" s="5">
        <f t="shared" si="58"/>
        <v>1</v>
      </c>
    </row>
    <row r="345" spans="1:17" x14ac:dyDescent="0.25">
      <c r="A345" s="7">
        <v>46249.291666666664</v>
      </c>
      <c r="B345" s="6">
        <v>132.30000000000001</v>
      </c>
      <c r="C345" s="13">
        <v>0.36</v>
      </c>
      <c r="D345" s="18">
        <f t="shared" si="55"/>
        <v>132.66000000000003</v>
      </c>
      <c r="E345" s="14">
        <v>25.2</v>
      </c>
      <c r="F345" s="18">
        <f t="shared" si="59"/>
        <v>25.2</v>
      </c>
      <c r="G345" s="18">
        <f t="shared" si="60"/>
        <v>0</v>
      </c>
      <c r="H345" s="14">
        <v>21.36</v>
      </c>
      <c r="I345" s="18">
        <f t="shared" si="61"/>
        <v>21.36</v>
      </c>
      <c r="J345" s="18">
        <f t="shared" si="62"/>
        <v>0</v>
      </c>
      <c r="K345" s="14">
        <v>2.16</v>
      </c>
      <c r="L345" s="18">
        <f t="shared" si="63"/>
        <v>2.16</v>
      </c>
      <c r="M345" s="18">
        <f t="shared" si="64"/>
        <v>0</v>
      </c>
      <c r="N345" s="15">
        <f t="shared" si="65"/>
        <v>48.72</v>
      </c>
      <c r="O345" s="15">
        <f t="shared" si="56"/>
        <v>48.72</v>
      </c>
      <c r="P345" s="15">
        <f t="shared" si="57"/>
        <v>0</v>
      </c>
      <c r="Q345" s="5">
        <f t="shared" si="58"/>
        <v>0</v>
      </c>
    </row>
    <row r="346" spans="1:17" x14ac:dyDescent="0.25">
      <c r="A346" s="7">
        <v>46249.333333333336</v>
      </c>
      <c r="B346" s="6">
        <v>412.65</v>
      </c>
      <c r="C346" s="13">
        <v>0</v>
      </c>
      <c r="D346" s="18">
        <f t="shared" si="55"/>
        <v>412.65</v>
      </c>
      <c r="E346" s="14">
        <v>0</v>
      </c>
      <c r="F346" s="18">
        <f t="shared" si="59"/>
        <v>0</v>
      </c>
      <c r="G346" s="18">
        <f t="shared" si="60"/>
        <v>0</v>
      </c>
      <c r="H346" s="14">
        <v>171.36</v>
      </c>
      <c r="I346" s="18">
        <f t="shared" si="61"/>
        <v>171.36</v>
      </c>
      <c r="J346" s="18">
        <f t="shared" si="62"/>
        <v>0</v>
      </c>
      <c r="K346" s="14">
        <v>5.04</v>
      </c>
      <c r="L346" s="18">
        <f t="shared" si="63"/>
        <v>5.04</v>
      </c>
      <c r="M346" s="18">
        <f t="shared" si="64"/>
        <v>0</v>
      </c>
      <c r="N346" s="15">
        <f t="shared" si="65"/>
        <v>176.4</v>
      </c>
      <c r="O346" s="15">
        <f t="shared" si="56"/>
        <v>176.4</v>
      </c>
      <c r="P346" s="15">
        <f t="shared" si="57"/>
        <v>0</v>
      </c>
      <c r="Q346" s="5">
        <f t="shared" si="58"/>
        <v>0</v>
      </c>
    </row>
    <row r="347" spans="1:17" x14ac:dyDescent="0.25">
      <c r="A347" s="7">
        <v>46249.375</v>
      </c>
      <c r="B347" s="6">
        <v>875.7</v>
      </c>
      <c r="C347" s="13">
        <v>0</v>
      </c>
      <c r="D347" s="18">
        <f t="shared" si="55"/>
        <v>875.7</v>
      </c>
      <c r="E347" s="14">
        <v>0</v>
      </c>
      <c r="F347" s="18">
        <f t="shared" si="59"/>
        <v>0</v>
      </c>
      <c r="G347" s="18">
        <f t="shared" si="60"/>
        <v>0</v>
      </c>
      <c r="H347" s="14">
        <v>148.91999999999999</v>
      </c>
      <c r="I347" s="18">
        <f t="shared" si="61"/>
        <v>148.91999999999999</v>
      </c>
      <c r="J347" s="18">
        <f t="shared" si="62"/>
        <v>0</v>
      </c>
      <c r="K347" s="14">
        <v>20.52</v>
      </c>
      <c r="L347" s="18">
        <f t="shared" si="63"/>
        <v>20.52</v>
      </c>
      <c r="M347" s="18">
        <f t="shared" si="64"/>
        <v>0</v>
      </c>
      <c r="N347" s="15">
        <f t="shared" si="65"/>
        <v>169.44</v>
      </c>
      <c r="O347" s="15">
        <f t="shared" si="56"/>
        <v>169.44</v>
      </c>
      <c r="P347" s="15">
        <f t="shared" si="57"/>
        <v>0</v>
      </c>
      <c r="Q347" s="5">
        <f t="shared" si="58"/>
        <v>0</v>
      </c>
    </row>
    <row r="348" spans="1:17" x14ac:dyDescent="0.25">
      <c r="A348" s="7">
        <v>46249.416666666664</v>
      </c>
      <c r="B348" s="6">
        <v>1433.25</v>
      </c>
      <c r="C348" s="13">
        <v>2.76</v>
      </c>
      <c r="D348" s="18">
        <f t="shared" si="55"/>
        <v>1436.01</v>
      </c>
      <c r="E348" s="14">
        <v>0</v>
      </c>
      <c r="F348" s="18">
        <f t="shared" si="59"/>
        <v>0</v>
      </c>
      <c r="G348" s="18">
        <f t="shared" si="60"/>
        <v>0</v>
      </c>
      <c r="H348" s="14">
        <v>64.319999999999993</v>
      </c>
      <c r="I348" s="18">
        <f t="shared" si="61"/>
        <v>64.319999999999993</v>
      </c>
      <c r="J348" s="18">
        <f t="shared" si="62"/>
        <v>0</v>
      </c>
      <c r="K348" s="14">
        <v>17.399999999999999</v>
      </c>
      <c r="L348" s="18">
        <f t="shared" si="63"/>
        <v>17.399999999999999</v>
      </c>
      <c r="M348" s="18">
        <f t="shared" si="64"/>
        <v>0</v>
      </c>
      <c r="N348" s="15">
        <f t="shared" si="65"/>
        <v>81.72</v>
      </c>
      <c r="O348" s="15">
        <f t="shared" si="56"/>
        <v>81.72</v>
      </c>
      <c r="P348" s="15">
        <f t="shared" si="57"/>
        <v>0</v>
      </c>
      <c r="Q348" s="5">
        <f t="shared" si="58"/>
        <v>0</v>
      </c>
    </row>
    <row r="349" spans="1:17" x14ac:dyDescent="0.25">
      <c r="A349" s="7">
        <v>46249.458333333336</v>
      </c>
      <c r="B349" s="6">
        <v>1814.4</v>
      </c>
      <c r="C349" s="13">
        <v>4.5599999999999996</v>
      </c>
      <c r="D349" s="18">
        <f t="shared" si="55"/>
        <v>1818.96</v>
      </c>
      <c r="E349" s="14">
        <v>0</v>
      </c>
      <c r="F349" s="18">
        <f t="shared" si="59"/>
        <v>0</v>
      </c>
      <c r="G349" s="18">
        <f t="shared" si="60"/>
        <v>0</v>
      </c>
      <c r="H349" s="14">
        <v>51.6</v>
      </c>
      <c r="I349" s="18">
        <f t="shared" si="61"/>
        <v>51.6</v>
      </c>
      <c r="J349" s="18">
        <f t="shared" si="62"/>
        <v>0</v>
      </c>
      <c r="K349" s="14">
        <v>22.8</v>
      </c>
      <c r="L349" s="18">
        <f t="shared" si="63"/>
        <v>22.8</v>
      </c>
      <c r="M349" s="18">
        <f t="shared" si="64"/>
        <v>0</v>
      </c>
      <c r="N349" s="15">
        <f t="shared" si="65"/>
        <v>74.400000000000006</v>
      </c>
      <c r="O349" s="15">
        <f t="shared" si="56"/>
        <v>74.400000000000006</v>
      </c>
      <c r="P349" s="15">
        <f t="shared" si="57"/>
        <v>0</v>
      </c>
      <c r="Q349" s="5">
        <f t="shared" si="58"/>
        <v>0</v>
      </c>
    </row>
    <row r="350" spans="1:17" x14ac:dyDescent="0.25">
      <c r="A350" s="7">
        <v>46249.5</v>
      </c>
      <c r="B350" s="6">
        <v>2186.1</v>
      </c>
      <c r="C350" s="13">
        <v>25.08</v>
      </c>
      <c r="D350" s="18">
        <f t="shared" si="55"/>
        <v>2211.1799999999998</v>
      </c>
      <c r="E350" s="14">
        <v>0</v>
      </c>
      <c r="F350" s="18">
        <f t="shared" si="59"/>
        <v>0</v>
      </c>
      <c r="G350" s="18">
        <f t="shared" si="60"/>
        <v>0</v>
      </c>
      <c r="H350" s="14">
        <v>11.88</v>
      </c>
      <c r="I350" s="18">
        <f t="shared" si="61"/>
        <v>11.88</v>
      </c>
      <c r="J350" s="18">
        <f t="shared" si="62"/>
        <v>0</v>
      </c>
      <c r="K350" s="14">
        <v>18.96</v>
      </c>
      <c r="L350" s="18">
        <f t="shared" si="63"/>
        <v>18.96</v>
      </c>
      <c r="M350" s="18">
        <f t="shared" si="64"/>
        <v>0</v>
      </c>
      <c r="N350" s="15">
        <f t="shared" si="65"/>
        <v>30.840000000000003</v>
      </c>
      <c r="O350" s="15">
        <f t="shared" si="56"/>
        <v>30.840000000000003</v>
      </c>
      <c r="P350" s="15">
        <f t="shared" si="57"/>
        <v>0</v>
      </c>
      <c r="Q350" s="5">
        <f t="shared" si="58"/>
        <v>0</v>
      </c>
    </row>
    <row r="351" spans="1:17" x14ac:dyDescent="0.25">
      <c r="A351" s="7">
        <v>46249.541666666664</v>
      </c>
      <c r="B351" s="6">
        <v>2419.1999999999998</v>
      </c>
      <c r="C351" s="13">
        <v>20.16</v>
      </c>
      <c r="D351" s="18">
        <f t="shared" si="55"/>
        <v>2439.3599999999997</v>
      </c>
      <c r="E351" s="14">
        <v>0</v>
      </c>
      <c r="F351" s="18">
        <f t="shared" si="59"/>
        <v>0</v>
      </c>
      <c r="G351" s="18">
        <f t="shared" si="60"/>
        <v>0</v>
      </c>
      <c r="H351" s="14">
        <v>11.52</v>
      </c>
      <c r="I351" s="18">
        <f t="shared" si="61"/>
        <v>11.52</v>
      </c>
      <c r="J351" s="18">
        <f t="shared" si="62"/>
        <v>0</v>
      </c>
      <c r="K351" s="14">
        <v>25.68</v>
      </c>
      <c r="L351" s="18">
        <f t="shared" si="63"/>
        <v>25.68</v>
      </c>
      <c r="M351" s="18">
        <f t="shared" si="64"/>
        <v>0</v>
      </c>
      <c r="N351" s="15">
        <f t="shared" si="65"/>
        <v>37.200000000000003</v>
      </c>
      <c r="O351" s="15">
        <f t="shared" si="56"/>
        <v>37.200000000000003</v>
      </c>
      <c r="P351" s="15">
        <f t="shared" si="57"/>
        <v>0</v>
      </c>
      <c r="Q351" s="5">
        <f t="shared" si="58"/>
        <v>0</v>
      </c>
    </row>
    <row r="352" spans="1:17" x14ac:dyDescent="0.25">
      <c r="A352" s="7">
        <v>46249.583333333336</v>
      </c>
      <c r="B352" s="6">
        <v>1688.4</v>
      </c>
      <c r="C352" s="13">
        <v>2.2799999999999998</v>
      </c>
      <c r="D352" s="18">
        <f t="shared" si="55"/>
        <v>1690.68</v>
      </c>
      <c r="E352" s="14">
        <v>0</v>
      </c>
      <c r="F352" s="18">
        <f t="shared" si="59"/>
        <v>0</v>
      </c>
      <c r="G352" s="18">
        <f t="shared" si="60"/>
        <v>0</v>
      </c>
      <c r="H352" s="14">
        <v>58.08</v>
      </c>
      <c r="I352" s="18">
        <f t="shared" si="61"/>
        <v>58.08</v>
      </c>
      <c r="J352" s="18">
        <f t="shared" si="62"/>
        <v>0</v>
      </c>
      <c r="K352" s="14">
        <v>32.520000000000003</v>
      </c>
      <c r="L352" s="18">
        <f t="shared" si="63"/>
        <v>32.520000000000003</v>
      </c>
      <c r="M352" s="18">
        <f t="shared" si="64"/>
        <v>0</v>
      </c>
      <c r="N352" s="15">
        <f t="shared" si="65"/>
        <v>90.6</v>
      </c>
      <c r="O352" s="15">
        <f t="shared" si="56"/>
        <v>90.6</v>
      </c>
      <c r="P352" s="15">
        <f t="shared" si="57"/>
        <v>0</v>
      </c>
      <c r="Q352" s="5">
        <f t="shared" si="58"/>
        <v>0</v>
      </c>
    </row>
    <row r="353" spans="1:17" x14ac:dyDescent="0.25">
      <c r="A353" s="7">
        <v>46249.625</v>
      </c>
      <c r="B353" s="6">
        <v>1083.5999999999999</v>
      </c>
      <c r="C353" s="13">
        <v>0.12</v>
      </c>
      <c r="D353" s="18">
        <f t="shared" si="55"/>
        <v>1083.7199999999998</v>
      </c>
      <c r="E353" s="14">
        <v>0</v>
      </c>
      <c r="F353" s="18">
        <f t="shared" si="59"/>
        <v>0</v>
      </c>
      <c r="G353" s="18">
        <f t="shared" si="60"/>
        <v>0</v>
      </c>
      <c r="H353" s="14">
        <v>73.2</v>
      </c>
      <c r="I353" s="18">
        <f t="shared" si="61"/>
        <v>73.2</v>
      </c>
      <c r="J353" s="18">
        <f t="shared" si="62"/>
        <v>0</v>
      </c>
      <c r="K353" s="14">
        <v>29.88</v>
      </c>
      <c r="L353" s="18">
        <f t="shared" si="63"/>
        <v>29.88</v>
      </c>
      <c r="M353" s="18">
        <f t="shared" si="64"/>
        <v>0</v>
      </c>
      <c r="N353" s="15">
        <f t="shared" si="65"/>
        <v>103.08</v>
      </c>
      <c r="O353" s="15">
        <f t="shared" si="56"/>
        <v>103.08</v>
      </c>
      <c r="P353" s="15">
        <f t="shared" si="57"/>
        <v>0</v>
      </c>
      <c r="Q353" s="5">
        <f t="shared" si="58"/>
        <v>0</v>
      </c>
    </row>
    <row r="354" spans="1:17" x14ac:dyDescent="0.25">
      <c r="A354" s="7">
        <v>46249.666666666664</v>
      </c>
      <c r="B354" s="6">
        <v>749.7</v>
      </c>
      <c r="C354" s="13">
        <v>0</v>
      </c>
      <c r="D354" s="18">
        <f t="shared" si="55"/>
        <v>749.7</v>
      </c>
      <c r="E354" s="14">
        <v>0</v>
      </c>
      <c r="F354" s="18">
        <f t="shared" si="59"/>
        <v>0</v>
      </c>
      <c r="G354" s="18">
        <f t="shared" si="60"/>
        <v>0</v>
      </c>
      <c r="H354" s="14">
        <v>72.72</v>
      </c>
      <c r="I354" s="18">
        <f t="shared" si="61"/>
        <v>72.72</v>
      </c>
      <c r="J354" s="18">
        <f t="shared" si="62"/>
        <v>0</v>
      </c>
      <c r="K354" s="14">
        <v>28.44</v>
      </c>
      <c r="L354" s="18">
        <f t="shared" si="63"/>
        <v>28.44</v>
      </c>
      <c r="M354" s="18">
        <f t="shared" si="64"/>
        <v>0</v>
      </c>
      <c r="N354" s="15">
        <f t="shared" si="65"/>
        <v>101.16</v>
      </c>
      <c r="O354" s="15">
        <f t="shared" si="56"/>
        <v>101.16</v>
      </c>
      <c r="P354" s="15">
        <f t="shared" si="57"/>
        <v>0</v>
      </c>
      <c r="Q354" s="5">
        <f t="shared" si="58"/>
        <v>0</v>
      </c>
    </row>
    <row r="355" spans="1:17" x14ac:dyDescent="0.25">
      <c r="A355" s="7">
        <v>46249.708333333336</v>
      </c>
      <c r="B355" s="6">
        <v>18.899999999999999</v>
      </c>
      <c r="C355" s="13">
        <v>0</v>
      </c>
      <c r="D355" s="18">
        <f t="shared" si="55"/>
        <v>18.899999999999999</v>
      </c>
      <c r="E355" s="14">
        <v>289.8</v>
      </c>
      <c r="F355" s="18">
        <f t="shared" si="59"/>
        <v>13.564190193164904</v>
      </c>
      <c r="G355" s="18">
        <f t="shared" si="60"/>
        <v>276.23580980683511</v>
      </c>
      <c r="H355" s="14">
        <v>92.52</v>
      </c>
      <c r="I355" s="18">
        <f t="shared" si="61"/>
        <v>4.3304309063892958</v>
      </c>
      <c r="J355" s="18">
        <f t="shared" si="62"/>
        <v>88.1895690936107</v>
      </c>
      <c r="K355" s="14">
        <v>21.48</v>
      </c>
      <c r="L355" s="18">
        <f t="shared" si="63"/>
        <v>1.0053789004457627</v>
      </c>
      <c r="M355" s="18">
        <f t="shared" si="64"/>
        <v>20.474621099554238</v>
      </c>
      <c r="N355" s="15">
        <f t="shared" si="65"/>
        <v>403.8</v>
      </c>
      <c r="O355" s="15">
        <f t="shared" si="56"/>
        <v>18.899999999999977</v>
      </c>
      <c r="P355" s="15">
        <f t="shared" si="57"/>
        <v>384.90000000000003</v>
      </c>
      <c r="Q355" s="5">
        <f t="shared" si="58"/>
        <v>0.95319465081723631</v>
      </c>
    </row>
    <row r="356" spans="1:17" x14ac:dyDescent="0.25">
      <c r="A356" s="7">
        <v>46249.75</v>
      </c>
      <c r="B356" s="6">
        <v>15.75</v>
      </c>
      <c r="C356" s="13">
        <v>0</v>
      </c>
      <c r="D356" s="18">
        <f t="shared" si="55"/>
        <v>15.75</v>
      </c>
      <c r="E356" s="14">
        <v>176.4</v>
      </c>
      <c r="F356" s="18">
        <f t="shared" si="59"/>
        <v>10.235411140583551</v>
      </c>
      <c r="G356" s="18">
        <f t="shared" si="60"/>
        <v>166.16458885941645</v>
      </c>
      <c r="H356" s="14">
        <v>68.16</v>
      </c>
      <c r="I356" s="18">
        <f t="shared" si="61"/>
        <v>3.9549071618037175</v>
      </c>
      <c r="J356" s="18">
        <f t="shared" si="62"/>
        <v>64.205092838196279</v>
      </c>
      <c r="K356" s="14">
        <v>26.88</v>
      </c>
      <c r="L356" s="18">
        <f t="shared" si="63"/>
        <v>1.5596816976127315</v>
      </c>
      <c r="M356" s="18">
        <f t="shared" si="64"/>
        <v>25.320318302387268</v>
      </c>
      <c r="N356" s="15">
        <f t="shared" si="65"/>
        <v>271.44</v>
      </c>
      <c r="O356" s="15">
        <f t="shared" si="56"/>
        <v>15.75</v>
      </c>
      <c r="P356" s="15">
        <f t="shared" si="57"/>
        <v>255.69</v>
      </c>
      <c r="Q356" s="5">
        <f t="shared" si="58"/>
        <v>0.94197612732095493</v>
      </c>
    </row>
    <row r="357" spans="1:17" x14ac:dyDescent="0.25">
      <c r="A357" s="7">
        <v>46249.791666666664</v>
      </c>
      <c r="B357" s="6">
        <v>0</v>
      </c>
      <c r="C357" s="13">
        <v>0</v>
      </c>
      <c r="D357" s="18">
        <f t="shared" si="55"/>
        <v>0</v>
      </c>
      <c r="E357" s="14">
        <v>154.35</v>
      </c>
      <c r="F357" s="18">
        <f t="shared" si="59"/>
        <v>0</v>
      </c>
      <c r="G357" s="18">
        <f t="shared" si="60"/>
        <v>154.35</v>
      </c>
      <c r="H357" s="14">
        <v>48</v>
      </c>
      <c r="I357" s="18">
        <f t="shared" si="61"/>
        <v>0</v>
      </c>
      <c r="J357" s="18">
        <f t="shared" si="62"/>
        <v>48</v>
      </c>
      <c r="K357" s="14">
        <v>7.2</v>
      </c>
      <c r="L357" s="18">
        <f t="shared" si="63"/>
        <v>0</v>
      </c>
      <c r="M357" s="18">
        <f t="shared" si="64"/>
        <v>7.2</v>
      </c>
      <c r="N357" s="15">
        <f t="shared" si="65"/>
        <v>209.54999999999998</v>
      </c>
      <c r="O357" s="15">
        <f t="shared" si="56"/>
        <v>0</v>
      </c>
      <c r="P357" s="15">
        <f t="shared" si="57"/>
        <v>209.54999999999998</v>
      </c>
      <c r="Q357" s="5">
        <f t="shared" si="58"/>
        <v>1</v>
      </c>
    </row>
    <row r="358" spans="1:17" x14ac:dyDescent="0.25">
      <c r="A358" s="7">
        <v>46249.833333333336</v>
      </c>
      <c r="B358" s="6">
        <v>0</v>
      </c>
      <c r="C358" s="13">
        <v>0</v>
      </c>
      <c r="D358" s="18">
        <f t="shared" si="55"/>
        <v>0</v>
      </c>
      <c r="E358" s="14">
        <v>292.95</v>
      </c>
      <c r="F358" s="18">
        <f t="shared" si="59"/>
        <v>0</v>
      </c>
      <c r="G358" s="18">
        <f t="shared" si="60"/>
        <v>292.95</v>
      </c>
      <c r="H358" s="14">
        <v>49.68</v>
      </c>
      <c r="I358" s="18">
        <f t="shared" si="61"/>
        <v>0</v>
      </c>
      <c r="J358" s="18">
        <f t="shared" si="62"/>
        <v>49.68</v>
      </c>
      <c r="K358" s="14">
        <v>1.2</v>
      </c>
      <c r="L358" s="18">
        <f t="shared" si="63"/>
        <v>0</v>
      </c>
      <c r="M358" s="18">
        <f t="shared" si="64"/>
        <v>1.2</v>
      </c>
      <c r="N358" s="15">
        <f t="shared" si="65"/>
        <v>343.83</v>
      </c>
      <c r="O358" s="15">
        <f t="shared" si="56"/>
        <v>0</v>
      </c>
      <c r="P358" s="15">
        <f t="shared" si="57"/>
        <v>343.83</v>
      </c>
      <c r="Q358" s="5">
        <f t="shared" si="58"/>
        <v>1</v>
      </c>
    </row>
    <row r="359" spans="1:17" x14ac:dyDescent="0.25">
      <c r="A359" s="7">
        <v>46249.875</v>
      </c>
      <c r="B359" s="6">
        <v>0</v>
      </c>
      <c r="C359" s="13">
        <v>0</v>
      </c>
      <c r="D359" s="18">
        <f t="shared" si="55"/>
        <v>0</v>
      </c>
      <c r="E359" s="14">
        <v>403.2</v>
      </c>
      <c r="F359" s="18">
        <f t="shared" si="59"/>
        <v>0</v>
      </c>
      <c r="G359" s="18">
        <f t="shared" si="60"/>
        <v>403.2</v>
      </c>
      <c r="H359" s="14">
        <v>71.760000000000005</v>
      </c>
      <c r="I359" s="18">
        <f t="shared" si="61"/>
        <v>0</v>
      </c>
      <c r="J359" s="18">
        <f t="shared" si="62"/>
        <v>71.760000000000005</v>
      </c>
      <c r="K359" s="14">
        <v>1.68</v>
      </c>
      <c r="L359" s="18">
        <f t="shared" si="63"/>
        <v>0</v>
      </c>
      <c r="M359" s="18">
        <f t="shared" si="64"/>
        <v>1.68</v>
      </c>
      <c r="N359" s="15">
        <f t="shared" si="65"/>
        <v>476.64</v>
      </c>
      <c r="O359" s="15">
        <f t="shared" si="56"/>
        <v>0</v>
      </c>
      <c r="P359" s="15">
        <f t="shared" si="57"/>
        <v>476.64</v>
      </c>
      <c r="Q359" s="5">
        <f t="shared" si="58"/>
        <v>1</v>
      </c>
    </row>
    <row r="360" spans="1:17" x14ac:dyDescent="0.25">
      <c r="A360" s="7">
        <v>46249.916666666664</v>
      </c>
      <c r="B360" s="6">
        <v>0</v>
      </c>
      <c r="C360" s="13">
        <v>0</v>
      </c>
      <c r="D360" s="18">
        <f t="shared" si="55"/>
        <v>0</v>
      </c>
      <c r="E360" s="14">
        <v>406.35</v>
      </c>
      <c r="F360" s="18">
        <f t="shared" si="59"/>
        <v>0</v>
      </c>
      <c r="G360" s="18">
        <f t="shared" si="60"/>
        <v>406.35</v>
      </c>
      <c r="H360" s="14">
        <v>67.2</v>
      </c>
      <c r="I360" s="18">
        <f t="shared" si="61"/>
        <v>0</v>
      </c>
      <c r="J360" s="18">
        <f t="shared" si="62"/>
        <v>67.2</v>
      </c>
      <c r="K360" s="14">
        <v>1.44</v>
      </c>
      <c r="L360" s="18">
        <f t="shared" si="63"/>
        <v>0</v>
      </c>
      <c r="M360" s="18">
        <f t="shared" si="64"/>
        <v>1.44</v>
      </c>
      <c r="N360" s="15">
        <f t="shared" si="65"/>
        <v>474.99</v>
      </c>
      <c r="O360" s="15">
        <f t="shared" si="56"/>
        <v>0</v>
      </c>
      <c r="P360" s="15">
        <f t="shared" si="57"/>
        <v>474.99</v>
      </c>
      <c r="Q360" s="5">
        <f t="shared" si="58"/>
        <v>1</v>
      </c>
    </row>
    <row r="361" spans="1:17" x14ac:dyDescent="0.25">
      <c r="A361" s="7">
        <v>46249.958333333336</v>
      </c>
      <c r="B361" s="6">
        <v>0</v>
      </c>
      <c r="C361" s="13">
        <v>0</v>
      </c>
      <c r="D361" s="18">
        <f t="shared" si="55"/>
        <v>0</v>
      </c>
      <c r="E361" s="14">
        <v>400.05</v>
      </c>
      <c r="F361" s="18">
        <f t="shared" si="59"/>
        <v>0</v>
      </c>
      <c r="G361" s="18">
        <f t="shared" si="60"/>
        <v>400.05</v>
      </c>
      <c r="H361" s="14">
        <v>61.08</v>
      </c>
      <c r="I361" s="18">
        <f t="shared" si="61"/>
        <v>0</v>
      </c>
      <c r="J361" s="18">
        <f t="shared" si="62"/>
        <v>61.08</v>
      </c>
      <c r="K361" s="14">
        <v>1.44</v>
      </c>
      <c r="L361" s="18">
        <f t="shared" si="63"/>
        <v>0</v>
      </c>
      <c r="M361" s="18">
        <f t="shared" si="64"/>
        <v>1.44</v>
      </c>
      <c r="N361" s="15">
        <f t="shared" si="65"/>
        <v>462.57</v>
      </c>
      <c r="O361" s="15">
        <f t="shared" si="56"/>
        <v>0</v>
      </c>
      <c r="P361" s="15">
        <f t="shared" si="57"/>
        <v>462.57</v>
      </c>
      <c r="Q361" s="5">
        <f t="shared" si="58"/>
        <v>1</v>
      </c>
    </row>
    <row r="362" spans="1:17" x14ac:dyDescent="0.25">
      <c r="A362" s="7">
        <v>46250</v>
      </c>
      <c r="B362" s="6">
        <v>0</v>
      </c>
      <c r="C362" s="13">
        <v>0</v>
      </c>
      <c r="D362" s="18">
        <f t="shared" si="55"/>
        <v>0</v>
      </c>
      <c r="E362" s="14">
        <v>494.55</v>
      </c>
      <c r="F362" s="18">
        <f t="shared" si="59"/>
        <v>0</v>
      </c>
      <c r="G362" s="18">
        <f t="shared" si="60"/>
        <v>494.55</v>
      </c>
      <c r="H362" s="14">
        <v>65.88</v>
      </c>
      <c r="I362" s="18">
        <f t="shared" si="61"/>
        <v>0</v>
      </c>
      <c r="J362" s="18">
        <f t="shared" si="62"/>
        <v>65.88</v>
      </c>
      <c r="K362" s="14">
        <v>1.44</v>
      </c>
      <c r="L362" s="18">
        <f t="shared" si="63"/>
        <v>0</v>
      </c>
      <c r="M362" s="18">
        <f t="shared" si="64"/>
        <v>1.44</v>
      </c>
      <c r="N362" s="15">
        <f t="shared" si="65"/>
        <v>561.87000000000012</v>
      </c>
      <c r="O362" s="15">
        <f t="shared" si="56"/>
        <v>0</v>
      </c>
      <c r="P362" s="15">
        <f t="shared" si="57"/>
        <v>561.87000000000012</v>
      </c>
      <c r="Q362" s="5">
        <f t="shared" si="58"/>
        <v>1</v>
      </c>
    </row>
    <row r="363" spans="1:17" x14ac:dyDescent="0.25">
      <c r="A363" s="7">
        <v>46250.041666666664</v>
      </c>
      <c r="B363" s="6">
        <v>0</v>
      </c>
      <c r="C363" s="13">
        <v>0</v>
      </c>
      <c r="D363" s="18">
        <f t="shared" si="55"/>
        <v>0</v>
      </c>
      <c r="E363" s="14">
        <v>456.75</v>
      </c>
      <c r="F363" s="18">
        <f t="shared" si="59"/>
        <v>0</v>
      </c>
      <c r="G363" s="18">
        <f t="shared" si="60"/>
        <v>456.75</v>
      </c>
      <c r="H363" s="14">
        <v>38.64</v>
      </c>
      <c r="I363" s="18">
        <f t="shared" si="61"/>
        <v>0</v>
      </c>
      <c r="J363" s="18">
        <f t="shared" si="62"/>
        <v>38.64</v>
      </c>
      <c r="K363" s="14">
        <v>1.44</v>
      </c>
      <c r="L363" s="18">
        <f t="shared" si="63"/>
        <v>0</v>
      </c>
      <c r="M363" s="18">
        <f t="shared" si="64"/>
        <v>1.44</v>
      </c>
      <c r="N363" s="15">
        <f t="shared" si="65"/>
        <v>496.83</v>
      </c>
      <c r="O363" s="15">
        <f t="shared" si="56"/>
        <v>0</v>
      </c>
      <c r="P363" s="15">
        <f t="shared" si="57"/>
        <v>496.83</v>
      </c>
      <c r="Q363" s="5">
        <f t="shared" si="58"/>
        <v>1</v>
      </c>
    </row>
    <row r="364" spans="1:17" x14ac:dyDescent="0.25">
      <c r="A364" s="7">
        <v>46250.083333333336</v>
      </c>
      <c r="B364" s="6">
        <v>0</v>
      </c>
      <c r="C364" s="13">
        <v>0</v>
      </c>
      <c r="D364" s="18">
        <f t="shared" si="55"/>
        <v>0</v>
      </c>
      <c r="E364" s="14">
        <v>390.6</v>
      </c>
      <c r="F364" s="18">
        <f t="shared" si="59"/>
        <v>0</v>
      </c>
      <c r="G364" s="18">
        <f t="shared" si="60"/>
        <v>390.6</v>
      </c>
      <c r="H364" s="14">
        <v>48.36</v>
      </c>
      <c r="I364" s="18">
        <f t="shared" si="61"/>
        <v>0</v>
      </c>
      <c r="J364" s="18">
        <f t="shared" si="62"/>
        <v>48.36</v>
      </c>
      <c r="K364" s="14">
        <v>1.44</v>
      </c>
      <c r="L364" s="18">
        <f t="shared" si="63"/>
        <v>0</v>
      </c>
      <c r="M364" s="18">
        <f t="shared" si="64"/>
        <v>1.44</v>
      </c>
      <c r="N364" s="15">
        <f t="shared" si="65"/>
        <v>440.40000000000003</v>
      </c>
      <c r="O364" s="15">
        <f t="shared" si="56"/>
        <v>0</v>
      </c>
      <c r="P364" s="15">
        <f t="shared" si="57"/>
        <v>440.40000000000003</v>
      </c>
      <c r="Q364" s="5">
        <f t="shared" si="58"/>
        <v>1</v>
      </c>
    </row>
    <row r="365" spans="1:17" x14ac:dyDescent="0.25">
      <c r="A365" s="7">
        <v>46250.125</v>
      </c>
      <c r="B365" s="6">
        <v>0</v>
      </c>
      <c r="C365" s="13">
        <v>0</v>
      </c>
      <c r="D365" s="18">
        <f t="shared" si="55"/>
        <v>0</v>
      </c>
      <c r="E365" s="14">
        <v>453.6</v>
      </c>
      <c r="F365" s="18">
        <f t="shared" si="59"/>
        <v>0</v>
      </c>
      <c r="G365" s="18">
        <f t="shared" si="60"/>
        <v>453.6</v>
      </c>
      <c r="H365" s="14">
        <v>62.52</v>
      </c>
      <c r="I365" s="18">
        <f t="shared" si="61"/>
        <v>0</v>
      </c>
      <c r="J365" s="18">
        <f t="shared" si="62"/>
        <v>62.52</v>
      </c>
      <c r="K365" s="14">
        <v>1.44</v>
      </c>
      <c r="L365" s="18">
        <f t="shared" si="63"/>
        <v>0</v>
      </c>
      <c r="M365" s="18">
        <f t="shared" si="64"/>
        <v>1.44</v>
      </c>
      <c r="N365" s="15">
        <f t="shared" si="65"/>
        <v>517.56000000000006</v>
      </c>
      <c r="O365" s="15">
        <f t="shared" si="56"/>
        <v>0</v>
      </c>
      <c r="P365" s="15">
        <f t="shared" si="57"/>
        <v>517.56000000000006</v>
      </c>
      <c r="Q365" s="5">
        <f t="shared" si="58"/>
        <v>1</v>
      </c>
    </row>
    <row r="366" spans="1:17" x14ac:dyDescent="0.25">
      <c r="A366" s="7">
        <v>46250.166666666664</v>
      </c>
      <c r="B366" s="6">
        <v>0</v>
      </c>
      <c r="C366" s="13">
        <v>0</v>
      </c>
      <c r="D366" s="18">
        <f t="shared" si="55"/>
        <v>0</v>
      </c>
      <c r="E366" s="14">
        <v>450.45</v>
      </c>
      <c r="F366" s="18">
        <f t="shared" si="59"/>
        <v>0</v>
      </c>
      <c r="G366" s="18">
        <f t="shared" si="60"/>
        <v>450.45</v>
      </c>
      <c r="H366" s="14">
        <v>54.84</v>
      </c>
      <c r="I366" s="18">
        <f t="shared" si="61"/>
        <v>0</v>
      </c>
      <c r="J366" s="18">
        <f t="shared" si="62"/>
        <v>54.84</v>
      </c>
      <c r="K366" s="14">
        <v>1.44</v>
      </c>
      <c r="L366" s="18">
        <f t="shared" si="63"/>
        <v>0</v>
      </c>
      <c r="M366" s="18">
        <f t="shared" si="64"/>
        <v>1.44</v>
      </c>
      <c r="N366" s="15">
        <f t="shared" si="65"/>
        <v>506.72999999999996</v>
      </c>
      <c r="O366" s="15">
        <f t="shared" si="56"/>
        <v>0</v>
      </c>
      <c r="P366" s="15">
        <f t="shared" si="57"/>
        <v>506.72999999999996</v>
      </c>
      <c r="Q366" s="5">
        <f t="shared" si="58"/>
        <v>1</v>
      </c>
    </row>
    <row r="367" spans="1:17" x14ac:dyDescent="0.25">
      <c r="A367" s="7">
        <v>46250.208333333336</v>
      </c>
      <c r="B367" s="6">
        <v>0</v>
      </c>
      <c r="C367" s="13">
        <v>0</v>
      </c>
      <c r="D367" s="18">
        <f t="shared" si="55"/>
        <v>0</v>
      </c>
      <c r="E367" s="14">
        <v>441</v>
      </c>
      <c r="F367" s="18">
        <f t="shared" si="59"/>
        <v>0</v>
      </c>
      <c r="G367" s="18">
        <f t="shared" si="60"/>
        <v>441</v>
      </c>
      <c r="H367" s="14">
        <v>66.84</v>
      </c>
      <c r="I367" s="18">
        <f t="shared" si="61"/>
        <v>0</v>
      </c>
      <c r="J367" s="18">
        <f t="shared" si="62"/>
        <v>66.84</v>
      </c>
      <c r="K367" s="14">
        <v>1.32</v>
      </c>
      <c r="L367" s="18">
        <f t="shared" si="63"/>
        <v>0</v>
      </c>
      <c r="M367" s="18">
        <f t="shared" si="64"/>
        <v>1.32</v>
      </c>
      <c r="N367" s="15">
        <f t="shared" si="65"/>
        <v>509.16</v>
      </c>
      <c r="O367" s="15">
        <f t="shared" si="56"/>
        <v>0</v>
      </c>
      <c r="P367" s="15">
        <f t="shared" si="57"/>
        <v>509.16</v>
      </c>
      <c r="Q367" s="5">
        <f t="shared" si="58"/>
        <v>1</v>
      </c>
    </row>
    <row r="368" spans="1:17" x14ac:dyDescent="0.25">
      <c r="A368" s="7">
        <v>46250.25</v>
      </c>
      <c r="B368" s="6">
        <v>0</v>
      </c>
      <c r="C368" s="13">
        <v>0</v>
      </c>
      <c r="D368" s="18">
        <f t="shared" si="55"/>
        <v>0</v>
      </c>
      <c r="E368" s="14">
        <v>157.5</v>
      </c>
      <c r="F368" s="18">
        <f t="shared" si="59"/>
        <v>0</v>
      </c>
      <c r="G368" s="18">
        <f t="shared" si="60"/>
        <v>157.5</v>
      </c>
      <c r="H368" s="14">
        <v>53.04</v>
      </c>
      <c r="I368" s="18">
        <f t="shared" si="61"/>
        <v>0</v>
      </c>
      <c r="J368" s="18">
        <f t="shared" si="62"/>
        <v>53.04</v>
      </c>
      <c r="K368" s="14">
        <v>2.04</v>
      </c>
      <c r="L368" s="18">
        <f t="shared" si="63"/>
        <v>0</v>
      </c>
      <c r="M368" s="18">
        <f t="shared" si="64"/>
        <v>2.04</v>
      </c>
      <c r="N368" s="15">
        <f t="shared" si="65"/>
        <v>212.57999999999998</v>
      </c>
      <c r="O368" s="15">
        <f t="shared" si="56"/>
        <v>0</v>
      </c>
      <c r="P368" s="15">
        <f t="shared" si="57"/>
        <v>212.57999999999998</v>
      </c>
      <c r="Q368" s="5">
        <f t="shared" si="58"/>
        <v>1</v>
      </c>
    </row>
    <row r="369" spans="1:17" x14ac:dyDescent="0.25">
      <c r="A369" s="7">
        <v>46250.291666666664</v>
      </c>
      <c r="B369" s="6">
        <v>211.05</v>
      </c>
      <c r="C369" s="13">
        <v>0</v>
      </c>
      <c r="D369" s="18">
        <f t="shared" si="55"/>
        <v>211.05</v>
      </c>
      <c r="E369" s="14">
        <v>0</v>
      </c>
      <c r="F369" s="18">
        <f t="shared" si="59"/>
        <v>0</v>
      </c>
      <c r="G369" s="18">
        <f t="shared" si="60"/>
        <v>0</v>
      </c>
      <c r="H369" s="14">
        <v>21.36</v>
      </c>
      <c r="I369" s="18">
        <f t="shared" si="61"/>
        <v>21.36</v>
      </c>
      <c r="J369" s="18">
        <f t="shared" si="62"/>
        <v>0</v>
      </c>
      <c r="K369" s="14">
        <v>2.16</v>
      </c>
      <c r="L369" s="18">
        <f t="shared" si="63"/>
        <v>2.16</v>
      </c>
      <c r="M369" s="18">
        <f t="shared" si="64"/>
        <v>0</v>
      </c>
      <c r="N369" s="15">
        <f t="shared" si="65"/>
        <v>23.52</v>
      </c>
      <c r="O369" s="15">
        <f t="shared" si="56"/>
        <v>23.52</v>
      </c>
      <c r="P369" s="15">
        <f t="shared" si="57"/>
        <v>0</v>
      </c>
      <c r="Q369" s="5">
        <f t="shared" si="58"/>
        <v>0</v>
      </c>
    </row>
    <row r="370" spans="1:17" x14ac:dyDescent="0.25">
      <c r="A370" s="7">
        <v>46250.333333333336</v>
      </c>
      <c r="B370" s="6">
        <v>318.14999999999998</v>
      </c>
      <c r="C370" s="13">
        <v>0</v>
      </c>
      <c r="D370" s="18">
        <f t="shared" si="55"/>
        <v>318.14999999999998</v>
      </c>
      <c r="E370" s="14">
        <v>0</v>
      </c>
      <c r="F370" s="18">
        <f t="shared" si="59"/>
        <v>0</v>
      </c>
      <c r="G370" s="18">
        <f t="shared" si="60"/>
        <v>0</v>
      </c>
      <c r="H370" s="14">
        <v>156.6</v>
      </c>
      <c r="I370" s="18">
        <f t="shared" si="61"/>
        <v>156.6</v>
      </c>
      <c r="J370" s="18">
        <f t="shared" si="62"/>
        <v>0</v>
      </c>
      <c r="K370" s="14">
        <v>2.2799999999999998</v>
      </c>
      <c r="L370" s="18">
        <f t="shared" si="63"/>
        <v>2.2799999999999998</v>
      </c>
      <c r="M370" s="18">
        <f t="shared" si="64"/>
        <v>0</v>
      </c>
      <c r="N370" s="15">
        <f t="shared" si="65"/>
        <v>158.88</v>
      </c>
      <c r="O370" s="15">
        <f t="shared" si="56"/>
        <v>158.88</v>
      </c>
      <c r="P370" s="15">
        <f t="shared" si="57"/>
        <v>0</v>
      </c>
      <c r="Q370" s="5">
        <f t="shared" si="58"/>
        <v>0</v>
      </c>
    </row>
    <row r="371" spans="1:17" x14ac:dyDescent="0.25">
      <c r="A371" s="7">
        <v>46250.375</v>
      </c>
      <c r="B371" s="6">
        <v>1071</v>
      </c>
      <c r="C371" s="13">
        <v>0</v>
      </c>
      <c r="D371" s="18">
        <f t="shared" si="55"/>
        <v>1071</v>
      </c>
      <c r="E371" s="14">
        <v>0</v>
      </c>
      <c r="F371" s="18">
        <f t="shared" si="59"/>
        <v>0</v>
      </c>
      <c r="G371" s="18">
        <f t="shared" si="60"/>
        <v>0</v>
      </c>
      <c r="H371" s="14">
        <v>109.8</v>
      </c>
      <c r="I371" s="18">
        <f t="shared" si="61"/>
        <v>109.8</v>
      </c>
      <c r="J371" s="18">
        <f t="shared" si="62"/>
        <v>0</v>
      </c>
      <c r="K371" s="14">
        <v>33.96</v>
      </c>
      <c r="L371" s="18">
        <f t="shared" si="63"/>
        <v>33.96</v>
      </c>
      <c r="M371" s="18">
        <f t="shared" si="64"/>
        <v>0</v>
      </c>
      <c r="N371" s="15">
        <f t="shared" si="65"/>
        <v>143.76</v>
      </c>
      <c r="O371" s="15">
        <f t="shared" si="56"/>
        <v>143.76</v>
      </c>
      <c r="P371" s="15">
        <f t="shared" si="57"/>
        <v>0</v>
      </c>
      <c r="Q371" s="5">
        <f t="shared" si="58"/>
        <v>0</v>
      </c>
    </row>
    <row r="372" spans="1:17" x14ac:dyDescent="0.25">
      <c r="A372" s="7">
        <v>46250.416666666664</v>
      </c>
      <c r="B372" s="6">
        <v>1288.3499999999999</v>
      </c>
      <c r="C372" s="13">
        <v>0</v>
      </c>
      <c r="D372" s="18">
        <f t="shared" si="55"/>
        <v>1288.3499999999999</v>
      </c>
      <c r="E372" s="14">
        <v>0</v>
      </c>
      <c r="F372" s="18">
        <f t="shared" si="59"/>
        <v>0</v>
      </c>
      <c r="G372" s="18">
        <f t="shared" si="60"/>
        <v>0</v>
      </c>
      <c r="H372" s="14">
        <v>104.04</v>
      </c>
      <c r="I372" s="18">
        <f t="shared" si="61"/>
        <v>104.04</v>
      </c>
      <c r="J372" s="18">
        <f t="shared" si="62"/>
        <v>0</v>
      </c>
      <c r="K372" s="14">
        <v>47.64</v>
      </c>
      <c r="L372" s="18">
        <f t="shared" si="63"/>
        <v>47.64</v>
      </c>
      <c r="M372" s="18">
        <f t="shared" si="64"/>
        <v>0</v>
      </c>
      <c r="N372" s="15">
        <f t="shared" si="65"/>
        <v>151.68</v>
      </c>
      <c r="O372" s="15">
        <f t="shared" si="56"/>
        <v>151.68</v>
      </c>
      <c r="P372" s="15">
        <f t="shared" si="57"/>
        <v>0</v>
      </c>
      <c r="Q372" s="5">
        <f t="shared" si="58"/>
        <v>0</v>
      </c>
    </row>
    <row r="373" spans="1:17" x14ac:dyDescent="0.25">
      <c r="A373" s="7">
        <v>46250.458333333336</v>
      </c>
      <c r="B373" s="6">
        <v>1644.3</v>
      </c>
      <c r="C373" s="13">
        <v>0.84</v>
      </c>
      <c r="D373" s="18">
        <f t="shared" si="55"/>
        <v>1645.1399999999999</v>
      </c>
      <c r="E373" s="14">
        <v>0</v>
      </c>
      <c r="F373" s="18">
        <f t="shared" si="59"/>
        <v>0</v>
      </c>
      <c r="G373" s="18">
        <f t="shared" si="60"/>
        <v>0</v>
      </c>
      <c r="H373" s="14">
        <v>78.12</v>
      </c>
      <c r="I373" s="18">
        <f t="shared" si="61"/>
        <v>78.12</v>
      </c>
      <c r="J373" s="18">
        <f t="shared" si="62"/>
        <v>0</v>
      </c>
      <c r="K373" s="14">
        <v>68.040000000000006</v>
      </c>
      <c r="L373" s="18">
        <f t="shared" si="63"/>
        <v>68.040000000000006</v>
      </c>
      <c r="M373" s="18">
        <f t="shared" si="64"/>
        <v>0</v>
      </c>
      <c r="N373" s="15">
        <f t="shared" si="65"/>
        <v>146.16000000000003</v>
      </c>
      <c r="O373" s="15">
        <f t="shared" si="56"/>
        <v>146.16000000000003</v>
      </c>
      <c r="P373" s="15">
        <f t="shared" si="57"/>
        <v>0</v>
      </c>
      <c r="Q373" s="5">
        <f t="shared" si="58"/>
        <v>0</v>
      </c>
    </row>
    <row r="374" spans="1:17" x14ac:dyDescent="0.25">
      <c r="A374" s="7">
        <v>46250.5</v>
      </c>
      <c r="B374" s="6">
        <v>1965.6</v>
      </c>
      <c r="C374" s="13">
        <v>4.5599999999999996</v>
      </c>
      <c r="D374" s="18">
        <f t="shared" si="55"/>
        <v>1970.1599999999999</v>
      </c>
      <c r="E374" s="14">
        <v>0</v>
      </c>
      <c r="F374" s="18">
        <f t="shared" si="59"/>
        <v>0</v>
      </c>
      <c r="G374" s="18">
        <f t="shared" si="60"/>
        <v>0</v>
      </c>
      <c r="H374" s="14">
        <v>31.44</v>
      </c>
      <c r="I374" s="18">
        <f t="shared" si="61"/>
        <v>31.44</v>
      </c>
      <c r="J374" s="18">
        <f t="shared" si="62"/>
        <v>0</v>
      </c>
      <c r="K374" s="14">
        <v>66.48</v>
      </c>
      <c r="L374" s="18">
        <f t="shared" si="63"/>
        <v>66.48</v>
      </c>
      <c r="M374" s="18">
        <f t="shared" si="64"/>
        <v>0</v>
      </c>
      <c r="N374" s="15">
        <f t="shared" si="65"/>
        <v>97.92</v>
      </c>
      <c r="O374" s="15">
        <f t="shared" si="56"/>
        <v>97.92</v>
      </c>
      <c r="P374" s="15">
        <f t="shared" si="57"/>
        <v>0</v>
      </c>
      <c r="Q374" s="5">
        <f t="shared" si="58"/>
        <v>0</v>
      </c>
    </row>
    <row r="375" spans="1:17" x14ac:dyDescent="0.25">
      <c r="A375" s="7">
        <v>46250.541666666664</v>
      </c>
      <c r="B375" s="6">
        <v>2557.8000000000002</v>
      </c>
      <c r="C375" s="13">
        <v>10.56</v>
      </c>
      <c r="D375" s="18">
        <f t="shared" si="55"/>
        <v>2568.36</v>
      </c>
      <c r="E375" s="14">
        <v>0</v>
      </c>
      <c r="F375" s="18">
        <f t="shared" si="59"/>
        <v>0</v>
      </c>
      <c r="G375" s="18">
        <f t="shared" si="60"/>
        <v>0</v>
      </c>
      <c r="H375" s="14">
        <v>23.88</v>
      </c>
      <c r="I375" s="18">
        <f t="shared" si="61"/>
        <v>23.88</v>
      </c>
      <c r="J375" s="18">
        <f t="shared" si="62"/>
        <v>0</v>
      </c>
      <c r="K375" s="14">
        <v>58.08</v>
      </c>
      <c r="L375" s="18">
        <f t="shared" si="63"/>
        <v>58.08</v>
      </c>
      <c r="M375" s="18">
        <f t="shared" si="64"/>
        <v>0</v>
      </c>
      <c r="N375" s="15">
        <f t="shared" si="65"/>
        <v>81.96</v>
      </c>
      <c r="O375" s="15">
        <f t="shared" si="56"/>
        <v>81.96</v>
      </c>
      <c r="P375" s="15">
        <f t="shared" si="57"/>
        <v>0</v>
      </c>
      <c r="Q375" s="5">
        <f t="shared" si="58"/>
        <v>0</v>
      </c>
    </row>
    <row r="376" spans="1:17" x14ac:dyDescent="0.25">
      <c r="A376" s="7">
        <v>46250.583333333336</v>
      </c>
      <c r="B376" s="6">
        <v>1647.45</v>
      </c>
      <c r="C376" s="13">
        <v>3.24</v>
      </c>
      <c r="D376" s="18">
        <f t="shared" si="55"/>
        <v>1650.69</v>
      </c>
      <c r="E376" s="14">
        <v>0</v>
      </c>
      <c r="F376" s="18">
        <f t="shared" si="59"/>
        <v>0</v>
      </c>
      <c r="G376" s="18">
        <f t="shared" si="60"/>
        <v>0</v>
      </c>
      <c r="H376" s="14">
        <v>42.36</v>
      </c>
      <c r="I376" s="18">
        <f t="shared" si="61"/>
        <v>42.36</v>
      </c>
      <c r="J376" s="18">
        <f t="shared" si="62"/>
        <v>0</v>
      </c>
      <c r="K376" s="14">
        <v>77.760000000000005</v>
      </c>
      <c r="L376" s="18">
        <f t="shared" si="63"/>
        <v>77.760000000000005</v>
      </c>
      <c r="M376" s="18">
        <f t="shared" si="64"/>
        <v>0</v>
      </c>
      <c r="N376" s="15">
        <f t="shared" si="65"/>
        <v>120.12</v>
      </c>
      <c r="O376" s="15">
        <f t="shared" si="56"/>
        <v>120.12</v>
      </c>
      <c r="P376" s="15">
        <f t="shared" si="57"/>
        <v>0</v>
      </c>
      <c r="Q376" s="5">
        <f t="shared" si="58"/>
        <v>0</v>
      </c>
    </row>
    <row r="377" spans="1:17" x14ac:dyDescent="0.25">
      <c r="A377" s="7">
        <v>46250.625</v>
      </c>
      <c r="B377" s="6">
        <v>1111.95</v>
      </c>
      <c r="C377" s="13">
        <v>2.4</v>
      </c>
      <c r="D377" s="18">
        <f t="shared" si="55"/>
        <v>1114.3500000000001</v>
      </c>
      <c r="E377" s="14">
        <v>0</v>
      </c>
      <c r="F377" s="18">
        <f t="shared" si="59"/>
        <v>0</v>
      </c>
      <c r="G377" s="18">
        <f t="shared" si="60"/>
        <v>0</v>
      </c>
      <c r="H377" s="14">
        <v>48.24</v>
      </c>
      <c r="I377" s="18">
        <f t="shared" si="61"/>
        <v>48.24</v>
      </c>
      <c r="J377" s="18">
        <f t="shared" si="62"/>
        <v>0</v>
      </c>
      <c r="K377" s="14">
        <v>32.880000000000003</v>
      </c>
      <c r="L377" s="18">
        <f t="shared" si="63"/>
        <v>32.880000000000003</v>
      </c>
      <c r="M377" s="18">
        <f t="shared" si="64"/>
        <v>0</v>
      </c>
      <c r="N377" s="15">
        <f t="shared" si="65"/>
        <v>81.12</v>
      </c>
      <c r="O377" s="15">
        <f t="shared" si="56"/>
        <v>81.12</v>
      </c>
      <c r="P377" s="15">
        <f t="shared" si="57"/>
        <v>0</v>
      </c>
      <c r="Q377" s="5">
        <f t="shared" si="58"/>
        <v>0</v>
      </c>
    </row>
    <row r="378" spans="1:17" x14ac:dyDescent="0.25">
      <c r="A378" s="7">
        <v>46250.666666666664</v>
      </c>
      <c r="B378" s="6">
        <v>217.35</v>
      </c>
      <c r="C378" s="13">
        <v>0.36</v>
      </c>
      <c r="D378" s="18">
        <f t="shared" si="55"/>
        <v>217.71</v>
      </c>
      <c r="E378" s="14">
        <v>3.15</v>
      </c>
      <c r="F378" s="18">
        <f t="shared" si="59"/>
        <v>3.15</v>
      </c>
      <c r="G378" s="18">
        <f t="shared" si="60"/>
        <v>0</v>
      </c>
      <c r="H378" s="14">
        <v>73.8</v>
      </c>
      <c r="I378" s="18">
        <f t="shared" si="61"/>
        <v>73.8</v>
      </c>
      <c r="J378" s="18">
        <f t="shared" si="62"/>
        <v>0</v>
      </c>
      <c r="K378" s="14">
        <v>50.16</v>
      </c>
      <c r="L378" s="18">
        <f t="shared" si="63"/>
        <v>50.16</v>
      </c>
      <c r="M378" s="18">
        <f t="shared" si="64"/>
        <v>0</v>
      </c>
      <c r="N378" s="15">
        <f t="shared" si="65"/>
        <v>127.11</v>
      </c>
      <c r="O378" s="15">
        <f t="shared" si="56"/>
        <v>127.11</v>
      </c>
      <c r="P378" s="15">
        <f t="shared" si="57"/>
        <v>0</v>
      </c>
      <c r="Q378" s="5">
        <f t="shared" si="58"/>
        <v>0</v>
      </c>
    </row>
    <row r="379" spans="1:17" x14ac:dyDescent="0.25">
      <c r="A379" s="7">
        <v>46250.708333333336</v>
      </c>
      <c r="B379" s="6">
        <v>15.75</v>
      </c>
      <c r="C379" s="13">
        <v>0</v>
      </c>
      <c r="D379" s="18">
        <f t="shared" si="55"/>
        <v>15.75</v>
      </c>
      <c r="E379" s="14">
        <v>211.05</v>
      </c>
      <c r="F379" s="18">
        <f t="shared" si="59"/>
        <v>10.129010878508097</v>
      </c>
      <c r="G379" s="18">
        <f t="shared" si="60"/>
        <v>200.92098912149191</v>
      </c>
      <c r="H379" s="14">
        <v>95.04</v>
      </c>
      <c r="I379" s="18">
        <f t="shared" si="61"/>
        <v>4.5612944510467059</v>
      </c>
      <c r="J379" s="18">
        <f t="shared" si="62"/>
        <v>90.4787055489533</v>
      </c>
      <c r="K379" s="14">
        <v>22.08</v>
      </c>
      <c r="L379" s="18">
        <f t="shared" si="63"/>
        <v>1.0596946704451966</v>
      </c>
      <c r="M379" s="18">
        <f t="shared" si="64"/>
        <v>21.020305329554802</v>
      </c>
      <c r="N379" s="15">
        <f t="shared" si="65"/>
        <v>328.17</v>
      </c>
      <c r="O379" s="15">
        <f t="shared" si="56"/>
        <v>15.75</v>
      </c>
      <c r="P379" s="15">
        <f t="shared" si="57"/>
        <v>312.42</v>
      </c>
      <c r="Q379" s="5">
        <f t="shared" si="58"/>
        <v>0.95200658195447485</v>
      </c>
    </row>
    <row r="380" spans="1:17" x14ac:dyDescent="0.25">
      <c r="A380" s="7">
        <v>46250.75</v>
      </c>
      <c r="B380" s="6">
        <v>0</v>
      </c>
      <c r="C380" s="13">
        <v>0</v>
      </c>
      <c r="D380" s="18">
        <f t="shared" si="55"/>
        <v>0</v>
      </c>
      <c r="E380" s="14">
        <v>166.95</v>
      </c>
      <c r="F380" s="18">
        <f t="shared" si="59"/>
        <v>0</v>
      </c>
      <c r="G380" s="18">
        <f t="shared" si="60"/>
        <v>166.95</v>
      </c>
      <c r="H380" s="14">
        <v>72.599999999999994</v>
      </c>
      <c r="I380" s="18">
        <f t="shared" si="61"/>
        <v>0</v>
      </c>
      <c r="J380" s="18">
        <f t="shared" si="62"/>
        <v>72.599999999999994</v>
      </c>
      <c r="K380" s="14">
        <v>26.28</v>
      </c>
      <c r="L380" s="18">
        <f t="shared" si="63"/>
        <v>0</v>
      </c>
      <c r="M380" s="18">
        <f t="shared" si="64"/>
        <v>26.28</v>
      </c>
      <c r="N380" s="15">
        <f t="shared" si="65"/>
        <v>265.83</v>
      </c>
      <c r="O380" s="15">
        <f t="shared" si="56"/>
        <v>0</v>
      </c>
      <c r="P380" s="15">
        <f t="shared" si="57"/>
        <v>265.83</v>
      </c>
      <c r="Q380" s="5">
        <f t="shared" si="58"/>
        <v>1</v>
      </c>
    </row>
    <row r="381" spans="1:17" x14ac:dyDescent="0.25">
      <c r="A381" s="7">
        <v>46250.791666666664</v>
      </c>
      <c r="B381" s="6">
        <v>0</v>
      </c>
      <c r="C381" s="13">
        <v>0</v>
      </c>
      <c r="D381" s="18">
        <f t="shared" si="55"/>
        <v>0</v>
      </c>
      <c r="E381" s="14">
        <v>163.80000000000001</v>
      </c>
      <c r="F381" s="18">
        <f t="shared" si="59"/>
        <v>0</v>
      </c>
      <c r="G381" s="18">
        <f t="shared" si="60"/>
        <v>163.80000000000001</v>
      </c>
      <c r="H381" s="14">
        <v>79.319999999999993</v>
      </c>
      <c r="I381" s="18">
        <f t="shared" si="61"/>
        <v>0</v>
      </c>
      <c r="J381" s="18">
        <f t="shared" si="62"/>
        <v>79.319999999999993</v>
      </c>
      <c r="K381" s="14">
        <v>40.44</v>
      </c>
      <c r="L381" s="18">
        <f t="shared" si="63"/>
        <v>0</v>
      </c>
      <c r="M381" s="18">
        <f t="shared" si="64"/>
        <v>40.44</v>
      </c>
      <c r="N381" s="15">
        <f t="shared" si="65"/>
        <v>283.56</v>
      </c>
      <c r="O381" s="15">
        <f t="shared" si="56"/>
        <v>0</v>
      </c>
      <c r="P381" s="15">
        <f t="shared" si="57"/>
        <v>283.56</v>
      </c>
      <c r="Q381" s="5">
        <f t="shared" si="58"/>
        <v>1</v>
      </c>
    </row>
    <row r="382" spans="1:17" x14ac:dyDescent="0.25">
      <c r="A382" s="7">
        <v>46250.833333333336</v>
      </c>
      <c r="B382" s="6">
        <v>0</v>
      </c>
      <c r="C382" s="13">
        <v>0</v>
      </c>
      <c r="D382" s="18">
        <f t="shared" si="55"/>
        <v>0</v>
      </c>
      <c r="E382" s="14">
        <v>359.1</v>
      </c>
      <c r="F382" s="18">
        <f t="shared" si="59"/>
        <v>0</v>
      </c>
      <c r="G382" s="18">
        <f t="shared" si="60"/>
        <v>359.1</v>
      </c>
      <c r="H382" s="14">
        <v>54.96</v>
      </c>
      <c r="I382" s="18">
        <f t="shared" si="61"/>
        <v>0</v>
      </c>
      <c r="J382" s="18">
        <f t="shared" si="62"/>
        <v>54.96</v>
      </c>
      <c r="K382" s="14">
        <v>4.32</v>
      </c>
      <c r="L382" s="18">
        <f t="shared" si="63"/>
        <v>0</v>
      </c>
      <c r="M382" s="18">
        <f t="shared" si="64"/>
        <v>4.32</v>
      </c>
      <c r="N382" s="15">
        <f t="shared" si="65"/>
        <v>418.38</v>
      </c>
      <c r="O382" s="15">
        <f t="shared" si="56"/>
        <v>0</v>
      </c>
      <c r="P382" s="15">
        <f t="shared" si="57"/>
        <v>418.38</v>
      </c>
      <c r="Q382" s="5">
        <f t="shared" si="58"/>
        <v>1</v>
      </c>
    </row>
    <row r="383" spans="1:17" x14ac:dyDescent="0.25">
      <c r="A383" s="7">
        <v>46250.875</v>
      </c>
      <c r="B383" s="6">
        <v>0</v>
      </c>
      <c r="C383" s="13">
        <v>0</v>
      </c>
      <c r="D383" s="18">
        <f t="shared" si="55"/>
        <v>0</v>
      </c>
      <c r="E383" s="14">
        <v>359.1</v>
      </c>
      <c r="F383" s="18">
        <f t="shared" si="59"/>
        <v>0</v>
      </c>
      <c r="G383" s="18">
        <f t="shared" si="60"/>
        <v>359.1</v>
      </c>
      <c r="H383" s="14">
        <v>63.72</v>
      </c>
      <c r="I383" s="18">
        <f t="shared" si="61"/>
        <v>0</v>
      </c>
      <c r="J383" s="18">
        <f t="shared" si="62"/>
        <v>63.72</v>
      </c>
      <c r="K383" s="14">
        <v>4.2</v>
      </c>
      <c r="L383" s="18">
        <f t="shared" si="63"/>
        <v>0</v>
      </c>
      <c r="M383" s="18">
        <f t="shared" si="64"/>
        <v>4.2</v>
      </c>
      <c r="N383" s="15">
        <f t="shared" si="65"/>
        <v>427.02000000000004</v>
      </c>
      <c r="O383" s="15">
        <f t="shared" si="56"/>
        <v>0</v>
      </c>
      <c r="P383" s="15">
        <f t="shared" si="57"/>
        <v>427.02000000000004</v>
      </c>
      <c r="Q383" s="5">
        <f t="shared" si="58"/>
        <v>1</v>
      </c>
    </row>
    <row r="384" spans="1:17" x14ac:dyDescent="0.25">
      <c r="A384" s="7">
        <v>46250.916666666664</v>
      </c>
      <c r="B384" s="6">
        <v>0</v>
      </c>
      <c r="C384" s="13">
        <v>0</v>
      </c>
      <c r="D384" s="18">
        <f t="shared" si="55"/>
        <v>0</v>
      </c>
      <c r="E384" s="14">
        <v>418.95</v>
      </c>
      <c r="F384" s="18">
        <f t="shared" si="59"/>
        <v>0</v>
      </c>
      <c r="G384" s="18">
        <f t="shared" si="60"/>
        <v>418.95</v>
      </c>
      <c r="H384" s="14">
        <v>62.88</v>
      </c>
      <c r="I384" s="18">
        <f t="shared" si="61"/>
        <v>0</v>
      </c>
      <c r="J384" s="18">
        <f t="shared" si="62"/>
        <v>62.88</v>
      </c>
      <c r="K384" s="14">
        <v>1.68</v>
      </c>
      <c r="L384" s="18">
        <f t="shared" si="63"/>
        <v>0</v>
      </c>
      <c r="M384" s="18">
        <f t="shared" si="64"/>
        <v>1.68</v>
      </c>
      <c r="N384" s="15">
        <f t="shared" si="65"/>
        <v>483.51</v>
      </c>
      <c r="O384" s="15">
        <f t="shared" si="56"/>
        <v>0</v>
      </c>
      <c r="P384" s="15">
        <f t="shared" si="57"/>
        <v>483.51</v>
      </c>
      <c r="Q384" s="5">
        <f t="shared" si="58"/>
        <v>1</v>
      </c>
    </row>
    <row r="385" spans="1:17" x14ac:dyDescent="0.25">
      <c r="A385" s="7">
        <v>46250.958333333336</v>
      </c>
      <c r="B385" s="6">
        <v>0</v>
      </c>
      <c r="C385" s="13">
        <v>0</v>
      </c>
      <c r="D385" s="18">
        <f t="shared" si="55"/>
        <v>0</v>
      </c>
      <c r="E385" s="14">
        <v>400.05</v>
      </c>
      <c r="F385" s="18">
        <f t="shared" si="59"/>
        <v>0</v>
      </c>
      <c r="G385" s="18">
        <f t="shared" si="60"/>
        <v>400.05</v>
      </c>
      <c r="H385" s="14">
        <v>61.92</v>
      </c>
      <c r="I385" s="18">
        <f t="shared" si="61"/>
        <v>0</v>
      </c>
      <c r="J385" s="18">
        <f t="shared" si="62"/>
        <v>61.92</v>
      </c>
      <c r="K385" s="14">
        <v>1.56</v>
      </c>
      <c r="L385" s="18">
        <f t="shared" si="63"/>
        <v>0</v>
      </c>
      <c r="M385" s="18">
        <f t="shared" si="64"/>
        <v>1.56</v>
      </c>
      <c r="N385" s="15">
        <f t="shared" si="65"/>
        <v>463.53000000000003</v>
      </c>
      <c r="O385" s="15">
        <f t="shared" si="56"/>
        <v>0</v>
      </c>
      <c r="P385" s="15">
        <f t="shared" si="57"/>
        <v>463.53000000000003</v>
      </c>
      <c r="Q385" s="5">
        <f t="shared" si="58"/>
        <v>1</v>
      </c>
    </row>
    <row r="386" spans="1:17" x14ac:dyDescent="0.25">
      <c r="A386" s="7">
        <v>46251</v>
      </c>
      <c r="B386" s="6">
        <v>0</v>
      </c>
      <c r="C386" s="13">
        <v>0</v>
      </c>
      <c r="D386" s="18">
        <f t="shared" ref="D386:D449" si="66">+B386+C386</f>
        <v>0</v>
      </c>
      <c r="E386" s="14">
        <v>406.35</v>
      </c>
      <c r="F386" s="18">
        <f t="shared" si="59"/>
        <v>0</v>
      </c>
      <c r="G386" s="18">
        <f t="shared" si="60"/>
        <v>406.35</v>
      </c>
      <c r="H386" s="14">
        <v>43.32</v>
      </c>
      <c r="I386" s="18">
        <f t="shared" si="61"/>
        <v>0</v>
      </c>
      <c r="J386" s="18">
        <f t="shared" si="62"/>
        <v>43.32</v>
      </c>
      <c r="K386" s="14">
        <v>1.44</v>
      </c>
      <c r="L386" s="18">
        <f t="shared" si="63"/>
        <v>0</v>
      </c>
      <c r="M386" s="18">
        <f t="shared" si="64"/>
        <v>1.44</v>
      </c>
      <c r="N386" s="15">
        <f t="shared" si="65"/>
        <v>451.11</v>
      </c>
      <c r="O386" s="15">
        <f t="shared" ref="O386:O449" si="67">+N386-P386</f>
        <v>0</v>
      </c>
      <c r="P386" s="15">
        <f t="shared" ref="P386:P449" si="68">+IF(N386&gt;D386,N386-D386,0)</f>
        <v>451.11</v>
      </c>
      <c r="Q386" s="5">
        <f t="shared" ref="Q386:Q449" si="69">+IF(P386=0,P386,P386/N386)</f>
        <v>1</v>
      </c>
    </row>
    <row r="387" spans="1:17" x14ac:dyDescent="0.25">
      <c r="A387" s="7">
        <v>46251.041666666664</v>
      </c>
      <c r="B387" s="6">
        <v>0</v>
      </c>
      <c r="C387" s="13">
        <v>0</v>
      </c>
      <c r="D387" s="18">
        <f t="shared" si="66"/>
        <v>0</v>
      </c>
      <c r="E387" s="14">
        <v>217.35</v>
      </c>
      <c r="F387" s="18">
        <f t="shared" ref="F387:F450" si="70">+E387-G387</f>
        <v>0</v>
      </c>
      <c r="G387" s="18">
        <f t="shared" ref="G387:G450" si="71">+E387*Q387</f>
        <v>217.35</v>
      </c>
      <c r="H387" s="14">
        <v>37.32</v>
      </c>
      <c r="I387" s="18">
        <f t="shared" ref="I387:I450" si="72">+H387-J387</f>
        <v>0</v>
      </c>
      <c r="J387" s="18">
        <f t="shared" ref="J387:J450" si="73">+H387*Q387</f>
        <v>37.32</v>
      </c>
      <c r="K387" s="14">
        <v>1.56</v>
      </c>
      <c r="L387" s="18">
        <f t="shared" ref="L387:L450" si="74">+K387-M387</f>
        <v>0</v>
      </c>
      <c r="M387" s="18">
        <f t="shared" ref="M387:M450" si="75">+K387*Q387</f>
        <v>1.56</v>
      </c>
      <c r="N387" s="15">
        <f t="shared" ref="N387:N450" si="76">+E387+H387+K387</f>
        <v>256.22999999999996</v>
      </c>
      <c r="O387" s="15">
        <f t="shared" si="67"/>
        <v>0</v>
      </c>
      <c r="P387" s="15">
        <f t="shared" si="68"/>
        <v>256.22999999999996</v>
      </c>
      <c r="Q387" s="5">
        <f t="shared" si="69"/>
        <v>1</v>
      </c>
    </row>
    <row r="388" spans="1:17" x14ac:dyDescent="0.25">
      <c r="A388" s="7">
        <v>46251.083333333336</v>
      </c>
      <c r="B388" s="6">
        <v>0</v>
      </c>
      <c r="C388" s="13">
        <v>0</v>
      </c>
      <c r="D388" s="18">
        <f t="shared" si="66"/>
        <v>0</v>
      </c>
      <c r="E388" s="14">
        <v>453.6</v>
      </c>
      <c r="F388" s="18">
        <f t="shared" si="70"/>
        <v>0</v>
      </c>
      <c r="G388" s="18">
        <f t="shared" si="71"/>
        <v>453.6</v>
      </c>
      <c r="H388" s="14">
        <v>43.2</v>
      </c>
      <c r="I388" s="18">
        <f t="shared" si="72"/>
        <v>0</v>
      </c>
      <c r="J388" s="18">
        <f t="shared" si="73"/>
        <v>43.2</v>
      </c>
      <c r="K388" s="14">
        <v>1.44</v>
      </c>
      <c r="L388" s="18">
        <f t="shared" si="74"/>
        <v>0</v>
      </c>
      <c r="M388" s="18">
        <f t="shared" si="75"/>
        <v>1.44</v>
      </c>
      <c r="N388" s="15">
        <f t="shared" si="76"/>
        <v>498.24</v>
      </c>
      <c r="O388" s="15">
        <f t="shared" si="67"/>
        <v>0</v>
      </c>
      <c r="P388" s="15">
        <f t="shared" si="68"/>
        <v>498.24</v>
      </c>
      <c r="Q388" s="5">
        <f t="shared" si="69"/>
        <v>1</v>
      </c>
    </row>
    <row r="389" spans="1:17" x14ac:dyDescent="0.25">
      <c r="A389" s="7">
        <v>46251.125</v>
      </c>
      <c r="B389" s="6">
        <v>0</v>
      </c>
      <c r="C389" s="13">
        <v>0</v>
      </c>
      <c r="D389" s="18">
        <f t="shared" si="66"/>
        <v>0</v>
      </c>
      <c r="E389" s="14">
        <v>475.65</v>
      </c>
      <c r="F389" s="18">
        <f t="shared" si="70"/>
        <v>0</v>
      </c>
      <c r="G389" s="18">
        <f t="shared" si="71"/>
        <v>475.65</v>
      </c>
      <c r="H389" s="14">
        <v>47.76</v>
      </c>
      <c r="I389" s="18">
        <f t="shared" si="72"/>
        <v>0</v>
      </c>
      <c r="J389" s="18">
        <f t="shared" si="73"/>
        <v>47.76</v>
      </c>
      <c r="K389" s="14">
        <v>1.44</v>
      </c>
      <c r="L389" s="18">
        <f t="shared" si="74"/>
        <v>0</v>
      </c>
      <c r="M389" s="18">
        <f t="shared" si="75"/>
        <v>1.44</v>
      </c>
      <c r="N389" s="15">
        <f t="shared" si="76"/>
        <v>524.85</v>
      </c>
      <c r="O389" s="15">
        <f t="shared" si="67"/>
        <v>0</v>
      </c>
      <c r="P389" s="15">
        <f t="shared" si="68"/>
        <v>524.85</v>
      </c>
      <c r="Q389" s="5">
        <f t="shared" si="69"/>
        <v>1</v>
      </c>
    </row>
    <row r="390" spans="1:17" x14ac:dyDescent="0.25">
      <c r="A390" s="7">
        <v>46251.166666666664</v>
      </c>
      <c r="B390" s="6">
        <v>0</v>
      </c>
      <c r="C390" s="13">
        <v>0</v>
      </c>
      <c r="D390" s="18">
        <f t="shared" si="66"/>
        <v>0</v>
      </c>
      <c r="E390" s="14">
        <v>453.6</v>
      </c>
      <c r="F390" s="18">
        <f t="shared" si="70"/>
        <v>0</v>
      </c>
      <c r="G390" s="18">
        <f t="shared" si="71"/>
        <v>453.6</v>
      </c>
      <c r="H390" s="14">
        <v>56.28</v>
      </c>
      <c r="I390" s="18">
        <f t="shared" si="72"/>
        <v>0</v>
      </c>
      <c r="J390" s="18">
        <f t="shared" si="73"/>
        <v>56.28</v>
      </c>
      <c r="K390" s="14">
        <v>1.32</v>
      </c>
      <c r="L390" s="18">
        <f t="shared" si="74"/>
        <v>0</v>
      </c>
      <c r="M390" s="18">
        <f t="shared" si="75"/>
        <v>1.32</v>
      </c>
      <c r="N390" s="15">
        <f t="shared" si="76"/>
        <v>511.2</v>
      </c>
      <c r="O390" s="15">
        <f t="shared" si="67"/>
        <v>0</v>
      </c>
      <c r="P390" s="15">
        <f t="shared" si="68"/>
        <v>511.2</v>
      </c>
      <c r="Q390" s="5">
        <f t="shared" si="69"/>
        <v>1</v>
      </c>
    </row>
    <row r="391" spans="1:17" x14ac:dyDescent="0.25">
      <c r="A391" s="7">
        <v>46251.208333333336</v>
      </c>
      <c r="B391" s="6">
        <v>0</v>
      </c>
      <c r="C391" s="13">
        <v>0</v>
      </c>
      <c r="D391" s="18">
        <f t="shared" si="66"/>
        <v>0</v>
      </c>
      <c r="E391" s="14">
        <v>459.9</v>
      </c>
      <c r="F391" s="18">
        <f t="shared" si="70"/>
        <v>0</v>
      </c>
      <c r="G391" s="18">
        <f t="shared" si="71"/>
        <v>459.9</v>
      </c>
      <c r="H391" s="14">
        <v>59.04</v>
      </c>
      <c r="I391" s="18">
        <f t="shared" si="72"/>
        <v>0</v>
      </c>
      <c r="J391" s="18">
        <f t="shared" si="73"/>
        <v>59.04</v>
      </c>
      <c r="K391" s="14">
        <v>1.56</v>
      </c>
      <c r="L391" s="18">
        <f t="shared" si="74"/>
        <v>0</v>
      </c>
      <c r="M391" s="18">
        <f t="shared" si="75"/>
        <v>1.56</v>
      </c>
      <c r="N391" s="15">
        <f t="shared" si="76"/>
        <v>520.49999999999989</v>
      </c>
      <c r="O391" s="15">
        <f t="shared" si="67"/>
        <v>0</v>
      </c>
      <c r="P391" s="15">
        <f t="shared" si="68"/>
        <v>520.49999999999989</v>
      </c>
      <c r="Q391" s="5">
        <f t="shared" si="69"/>
        <v>1</v>
      </c>
    </row>
    <row r="392" spans="1:17" x14ac:dyDescent="0.25">
      <c r="A392" s="7">
        <v>46251.25</v>
      </c>
      <c r="B392" s="6">
        <v>0</v>
      </c>
      <c r="C392" s="13">
        <v>0</v>
      </c>
      <c r="D392" s="18">
        <f t="shared" si="66"/>
        <v>0</v>
      </c>
      <c r="E392" s="14">
        <v>189</v>
      </c>
      <c r="F392" s="18">
        <f t="shared" si="70"/>
        <v>0</v>
      </c>
      <c r="G392" s="18">
        <f t="shared" si="71"/>
        <v>189</v>
      </c>
      <c r="H392" s="14">
        <v>39</v>
      </c>
      <c r="I392" s="18">
        <f t="shared" si="72"/>
        <v>0</v>
      </c>
      <c r="J392" s="18">
        <f t="shared" si="73"/>
        <v>39</v>
      </c>
      <c r="K392" s="14">
        <v>3.12</v>
      </c>
      <c r="L392" s="18">
        <f t="shared" si="74"/>
        <v>0</v>
      </c>
      <c r="M392" s="18">
        <f t="shared" si="75"/>
        <v>3.12</v>
      </c>
      <c r="N392" s="15">
        <f t="shared" si="76"/>
        <v>231.12</v>
      </c>
      <c r="O392" s="15">
        <f t="shared" si="67"/>
        <v>0</v>
      </c>
      <c r="P392" s="15">
        <f t="shared" si="68"/>
        <v>231.12</v>
      </c>
      <c r="Q392" s="5">
        <f t="shared" si="69"/>
        <v>1</v>
      </c>
    </row>
    <row r="393" spans="1:17" x14ac:dyDescent="0.25">
      <c r="A393" s="7">
        <v>46251.291666666664</v>
      </c>
      <c r="B393" s="6">
        <v>229.95</v>
      </c>
      <c r="C393" s="13">
        <v>0.96</v>
      </c>
      <c r="D393" s="18">
        <f t="shared" si="66"/>
        <v>230.91</v>
      </c>
      <c r="E393" s="14">
        <v>9.4499999999999993</v>
      </c>
      <c r="F393" s="18">
        <f t="shared" si="70"/>
        <v>9.4499999999999993</v>
      </c>
      <c r="G393" s="18">
        <f t="shared" si="71"/>
        <v>0</v>
      </c>
      <c r="H393" s="14">
        <v>14.28</v>
      </c>
      <c r="I393" s="18">
        <f t="shared" si="72"/>
        <v>14.28</v>
      </c>
      <c r="J393" s="18">
        <f t="shared" si="73"/>
        <v>0</v>
      </c>
      <c r="K393" s="14">
        <v>14.52</v>
      </c>
      <c r="L393" s="18">
        <f t="shared" si="74"/>
        <v>14.52</v>
      </c>
      <c r="M393" s="18">
        <f t="shared" si="75"/>
        <v>0</v>
      </c>
      <c r="N393" s="15">
        <f t="shared" si="76"/>
        <v>38.25</v>
      </c>
      <c r="O393" s="15">
        <f t="shared" si="67"/>
        <v>38.25</v>
      </c>
      <c r="P393" s="15">
        <f t="shared" si="68"/>
        <v>0</v>
      </c>
      <c r="Q393" s="5">
        <f t="shared" si="69"/>
        <v>0</v>
      </c>
    </row>
    <row r="394" spans="1:17" x14ac:dyDescent="0.25">
      <c r="A394" s="7">
        <v>46251.333333333336</v>
      </c>
      <c r="B394" s="6">
        <v>516.6</v>
      </c>
      <c r="C394" s="13">
        <v>0</v>
      </c>
      <c r="D394" s="18">
        <f t="shared" si="66"/>
        <v>516.6</v>
      </c>
      <c r="E394" s="14">
        <v>3.15</v>
      </c>
      <c r="F394" s="18">
        <f t="shared" si="70"/>
        <v>3.15</v>
      </c>
      <c r="G394" s="18">
        <f t="shared" si="71"/>
        <v>0</v>
      </c>
      <c r="H394" s="14">
        <v>140.52000000000001</v>
      </c>
      <c r="I394" s="18">
        <f t="shared" si="72"/>
        <v>140.52000000000001</v>
      </c>
      <c r="J394" s="18">
        <f t="shared" si="73"/>
        <v>0</v>
      </c>
      <c r="K394" s="14">
        <v>2.2799999999999998</v>
      </c>
      <c r="L394" s="18">
        <f t="shared" si="74"/>
        <v>2.2799999999999998</v>
      </c>
      <c r="M394" s="18">
        <f t="shared" si="75"/>
        <v>0</v>
      </c>
      <c r="N394" s="15">
        <f t="shared" si="76"/>
        <v>145.95000000000002</v>
      </c>
      <c r="O394" s="15">
        <f t="shared" si="67"/>
        <v>145.95000000000002</v>
      </c>
      <c r="P394" s="15">
        <f t="shared" si="68"/>
        <v>0</v>
      </c>
      <c r="Q394" s="5">
        <f t="shared" si="69"/>
        <v>0</v>
      </c>
    </row>
    <row r="395" spans="1:17" x14ac:dyDescent="0.25">
      <c r="A395" s="7">
        <v>46251.375</v>
      </c>
      <c r="B395" s="6">
        <v>378</v>
      </c>
      <c r="C395" s="13">
        <v>0.36</v>
      </c>
      <c r="D395" s="18">
        <f t="shared" si="66"/>
        <v>378.36</v>
      </c>
      <c r="E395" s="14">
        <v>50.4</v>
      </c>
      <c r="F395" s="18">
        <f t="shared" si="70"/>
        <v>50.4</v>
      </c>
      <c r="G395" s="18">
        <f t="shared" si="71"/>
        <v>0</v>
      </c>
      <c r="H395" s="14">
        <v>115.68</v>
      </c>
      <c r="I395" s="18">
        <f t="shared" si="72"/>
        <v>115.68</v>
      </c>
      <c r="J395" s="18">
        <f t="shared" si="73"/>
        <v>0</v>
      </c>
      <c r="K395" s="14">
        <v>41.64</v>
      </c>
      <c r="L395" s="18">
        <f t="shared" si="74"/>
        <v>41.64</v>
      </c>
      <c r="M395" s="18">
        <f t="shared" si="75"/>
        <v>0</v>
      </c>
      <c r="N395" s="15">
        <f t="shared" si="76"/>
        <v>207.72000000000003</v>
      </c>
      <c r="O395" s="15">
        <f t="shared" si="67"/>
        <v>207.72000000000003</v>
      </c>
      <c r="P395" s="15">
        <f t="shared" si="68"/>
        <v>0</v>
      </c>
      <c r="Q395" s="5">
        <f t="shared" si="69"/>
        <v>0</v>
      </c>
    </row>
    <row r="396" spans="1:17" x14ac:dyDescent="0.25">
      <c r="A396" s="7">
        <v>46251.416666666664</v>
      </c>
      <c r="B396" s="6">
        <v>1300.95</v>
      </c>
      <c r="C396" s="13">
        <v>0.24</v>
      </c>
      <c r="D396" s="18">
        <f t="shared" si="66"/>
        <v>1301.19</v>
      </c>
      <c r="E396" s="14">
        <v>0</v>
      </c>
      <c r="F396" s="18">
        <f t="shared" si="70"/>
        <v>0</v>
      </c>
      <c r="G396" s="18">
        <f t="shared" si="71"/>
        <v>0</v>
      </c>
      <c r="H396" s="14">
        <v>81</v>
      </c>
      <c r="I396" s="18">
        <f t="shared" si="72"/>
        <v>81</v>
      </c>
      <c r="J396" s="18">
        <f t="shared" si="73"/>
        <v>0</v>
      </c>
      <c r="K396" s="14">
        <v>37.799999999999997</v>
      </c>
      <c r="L396" s="18">
        <f t="shared" si="74"/>
        <v>37.799999999999997</v>
      </c>
      <c r="M396" s="18">
        <f t="shared" si="75"/>
        <v>0</v>
      </c>
      <c r="N396" s="15">
        <f t="shared" si="76"/>
        <v>118.8</v>
      </c>
      <c r="O396" s="15">
        <f t="shared" si="67"/>
        <v>118.8</v>
      </c>
      <c r="P396" s="15">
        <f t="shared" si="68"/>
        <v>0</v>
      </c>
      <c r="Q396" s="5">
        <f t="shared" si="69"/>
        <v>0</v>
      </c>
    </row>
    <row r="397" spans="1:17" x14ac:dyDescent="0.25">
      <c r="A397" s="7">
        <v>46251.458333333336</v>
      </c>
      <c r="B397" s="6">
        <v>1080.45</v>
      </c>
      <c r="C397" s="13">
        <v>0.48</v>
      </c>
      <c r="D397" s="18">
        <f t="shared" si="66"/>
        <v>1080.93</v>
      </c>
      <c r="E397" s="14">
        <v>0</v>
      </c>
      <c r="F397" s="18">
        <f t="shared" si="70"/>
        <v>0</v>
      </c>
      <c r="G397" s="18">
        <f t="shared" si="71"/>
        <v>0</v>
      </c>
      <c r="H397" s="14">
        <v>92.16</v>
      </c>
      <c r="I397" s="18">
        <f t="shared" si="72"/>
        <v>92.16</v>
      </c>
      <c r="J397" s="18">
        <f t="shared" si="73"/>
        <v>0</v>
      </c>
      <c r="K397" s="14">
        <v>51.72</v>
      </c>
      <c r="L397" s="18">
        <f t="shared" si="74"/>
        <v>51.72</v>
      </c>
      <c r="M397" s="18">
        <f t="shared" si="75"/>
        <v>0</v>
      </c>
      <c r="N397" s="15">
        <f t="shared" si="76"/>
        <v>143.88</v>
      </c>
      <c r="O397" s="15">
        <f t="shared" si="67"/>
        <v>143.88</v>
      </c>
      <c r="P397" s="15">
        <f t="shared" si="68"/>
        <v>0</v>
      </c>
      <c r="Q397" s="5">
        <f t="shared" si="69"/>
        <v>0</v>
      </c>
    </row>
    <row r="398" spans="1:17" x14ac:dyDescent="0.25">
      <c r="A398" s="7">
        <v>46251.5</v>
      </c>
      <c r="B398" s="6">
        <v>1949.85</v>
      </c>
      <c r="C398" s="13">
        <v>9</v>
      </c>
      <c r="D398" s="18">
        <f t="shared" si="66"/>
        <v>1958.85</v>
      </c>
      <c r="E398" s="14">
        <v>0</v>
      </c>
      <c r="F398" s="18">
        <f t="shared" si="70"/>
        <v>0</v>
      </c>
      <c r="G398" s="18">
        <f t="shared" si="71"/>
        <v>0</v>
      </c>
      <c r="H398" s="14">
        <v>27.6</v>
      </c>
      <c r="I398" s="18">
        <f t="shared" si="72"/>
        <v>27.6</v>
      </c>
      <c r="J398" s="18">
        <f t="shared" si="73"/>
        <v>0</v>
      </c>
      <c r="K398" s="14">
        <v>45.96</v>
      </c>
      <c r="L398" s="18">
        <f t="shared" si="74"/>
        <v>45.96</v>
      </c>
      <c r="M398" s="18">
        <f t="shared" si="75"/>
        <v>0</v>
      </c>
      <c r="N398" s="15">
        <f t="shared" si="76"/>
        <v>73.56</v>
      </c>
      <c r="O398" s="15">
        <f t="shared" si="67"/>
        <v>73.56</v>
      </c>
      <c r="P398" s="15">
        <f t="shared" si="68"/>
        <v>0</v>
      </c>
      <c r="Q398" s="5">
        <f t="shared" si="69"/>
        <v>0</v>
      </c>
    </row>
    <row r="399" spans="1:17" x14ac:dyDescent="0.25">
      <c r="A399" s="7">
        <v>46251.541666666664</v>
      </c>
      <c r="B399" s="6">
        <v>1978.2</v>
      </c>
      <c r="C399" s="13">
        <v>6.84</v>
      </c>
      <c r="D399" s="18">
        <f t="shared" si="66"/>
        <v>1985.04</v>
      </c>
      <c r="E399" s="14">
        <v>0</v>
      </c>
      <c r="F399" s="18">
        <f t="shared" si="70"/>
        <v>0</v>
      </c>
      <c r="G399" s="18">
        <f t="shared" si="71"/>
        <v>0</v>
      </c>
      <c r="H399" s="14">
        <v>79.319999999999993</v>
      </c>
      <c r="I399" s="18">
        <f t="shared" si="72"/>
        <v>79.319999999999993</v>
      </c>
      <c r="J399" s="18">
        <f t="shared" si="73"/>
        <v>0</v>
      </c>
      <c r="K399" s="14">
        <v>41.88</v>
      </c>
      <c r="L399" s="18">
        <f t="shared" si="74"/>
        <v>41.88</v>
      </c>
      <c r="M399" s="18">
        <f t="shared" si="75"/>
        <v>0</v>
      </c>
      <c r="N399" s="15">
        <f t="shared" si="76"/>
        <v>121.19999999999999</v>
      </c>
      <c r="O399" s="15">
        <f t="shared" si="67"/>
        <v>121.19999999999999</v>
      </c>
      <c r="P399" s="15">
        <f t="shared" si="68"/>
        <v>0</v>
      </c>
      <c r="Q399" s="5">
        <f t="shared" si="69"/>
        <v>0</v>
      </c>
    </row>
    <row r="400" spans="1:17" x14ac:dyDescent="0.25">
      <c r="A400" s="7">
        <v>46251.583333333336</v>
      </c>
      <c r="B400" s="6">
        <v>828.45</v>
      </c>
      <c r="C400" s="13">
        <v>2.76</v>
      </c>
      <c r="D400" s="18">
        <f t="shared" si="66"/>
        <v>831.21</v>
      </c>
      <c r="E400" s="14">
        <v>22.05</v>
      </c>
      <c r="F400" s="18">
        <f t="shared" si="70"/>
        <v>22.05</v>
      </c>
      <c r="G400" s="18">
        <f t="shared" si="71"/>
        <v>0</v>
      </c>
      <c r="H400" s="14">
        <v>80.400000000000006</v>
      </c>
      <c r="I400" s="18">
        <f t="shared" si="72"/>
        <v>80.400000000000006</v>
      </c>
      <c r="J400" s="18">
        <f t="shared" si="73"/>
        <v>0</v>
      </c>
      <c r="K400" s="14">
        <v>33.6</v>
      </c>
      <c r="L400" s="18">
        <f t="shared" si="74"/>
        <v>33.6</v>
      </c>
      <c r="M400" s="18">
        <f t="shared" si="75"/>
        <v>0</v>
      </c>
      <c r="N400" s="15">
        <f t="shared" si="76"/>
        <v>136.05000000000001</v>
      </c>
      <c r="O400" s="15">
        <f t="shared" si="67"/>
        <v>136.05000000000001</v>
      </c>
      <c r="P400" s="15">
        <f t="shared" si="68"/>
        <v>0</v>
      </c>
      <c r="Q400" s="5">
        <f t="shared" si="69"/>
        <v>0</v>
      </c>
    </row>
    <row r="401" spans="1:17" x14ac:dyDescent="0.25">
      <c r="A401" s="7">
        <v>46251.625</v>
      </c>
      <c r="B401" s="6">
        <v>274.05</v>
      </c>
      <c r="C401" s="13">
        <v>0</v>
      </c>
      <c r="D401" s="18">
        <f t="shared" si="66"/>
        <v>274.05</v>
      </c>
      <c r="E401" s="14">
        <v>378</v>
      </c>
      <c r="F401" s="18">
        <f t="shared" si="70"/>
        <v>174.21947527749748</v>
      </c>
      <c r="G401" s="18">
        <f t="shared" si="71"/>
        <v>203.78052472250252</v>
      </c>
      <c r="H401" s="14">
        <v>152.52000000000001</v>
      </c>
      <c r="I401" s="18">
        <f t="shared" si="72"/>
        <v>70.296175580222013</v>
      </c>
      <c r="J401" s="18">
        <f t="shared" si="73"/>
        <v>82.223824419777998</v>
      </c>
      <c r="K401" s="14">
        <v>64.08</v>
      </c>
      <c r="L401" s="18">
        <f t="shared" si="74"/>
        <v>29.534349142280526</v>
      </c>
      <c r="M401" s="18">
        <f t="shared" si="75"/>
        <v>34.545650857719473</v>
      </c>
      <c r="N401" s="15">
        <f t="shared" si="76"/>
        <v>594.6</v>
      </c>
      <c r="O401" s="15">
        <f t="shared" si="67"/>
        <v>274.05</v>
      </c>
      <c r="P401" s="15">
        <f t="shared" si="68"/>
        <v>320.55</v>
      </c>
      <c r="Q401" s="5">
        <f t="shared" si="69"/>
        <v>0.53910191725529766</v>
      </c>
    </row>
    <row r="402" spans="1:17" x14ac:dyDescent="0.25">
      <c r="A402" s="7">
        <v>46251.666666666664</v>
      </c>
      <c r="B402" s="6">
        <v>343.35</v>
      </c>
      <c r="C402" s="13">
        <v>0.24</v>
      </c>
      <c r="D402" s="18">
        <f t="shared" si="66"/>
        <v>343.59000000000003</v>
      </c>
      <c r="E402" s="14">
        <v>185.85</v>
      </c>
      <c r="F402" s="18">
        <f t="shared" si="70"/>
        <v>182.50364828946243</v>
      </c>
      <c r="G402" s="18">
        <f t="shared" si="71"/>
        <v>3.3463517105375735</v>
      </c>
      <c r="H402" s="14">
        <v>92.52</v>
      </c>
      <c r="I402" s="18">
        <f t="shared" si="72"/>
        <v>90.854116436594367</v>
      </c>
      <c r="J402" s="18">
        <f t="shared" si="73"/>
        <v>1.6658835634056299</v>
      </c>
      <c r="K402" s="14">
        <v>71.52</v>
      </c>
      <c r="L402" s="18">
        <f t="shared" si="74"/>
        <v>70.232235273943246</v>
      </c>
      <c r="M402" s="18">
        <f t="shared" si="75"/>
        <v>1.2877647260567515</v>
      </c>
      <c r="N402" s="15">
        <f t="shared" si="76"/>
        <v>349.89</v>
      </c>
      <c r="O402" s="15">
        <f t="shared" si="67"/>
        <v>343.59000000000003</v>
      </c>
      <c r="P402" s="15">
        <f t="shared" si="68"/>
        <v>6.2999999999999545</v>
      </c>
      <c r="Q402" s="5">
        <f t="shared" si="69"/>
        <v>1.8005658921375161E-2</v>
      </c>
    </row>
    <row r="403" spans="1:17" x14ac:dyDescent="0.25">
      <c r="A403" s="7">
        <v>46251.708333333336</v>
      </c>
      <c r="B403" s="6">
        <v>0</v>
      </c>
      <c r="C403" s="13">
        <v>0</v>
      </c>
      <c r="D403" s="18">
        <f t="shared" si="66"/>
        <v>0</v>
      </c>
      <c r="E403" s="14">
        <v>756</v>
      </c>
      <c r="F403" s="18">
        <f t="shared" si="70"/>
        <v>0</v>
      </c>
      <c r="G403" s="18">
        <f t="shared" si="71"/>
        <v>756</v>
      </c>
      <c r="H403" s="14">
        <v>139.08000000000001</v>
      </c>
      <c r="I403" s="18">
        <f t="shared" si="72"/>
        <v>0</v>
      </c>
      <c r="J403" s="18">
        <f t="shared" si="73"/>
        <v>139.08000000000001</v>
      </c>
      <c r="K403" s="14">
        <v>68.28</v>
      </c>
      <c r="L403" s="18">
        <f t="shared" si="74"/>
        <v>0</v>
      </c>
      <c r="M403" s="18">
        <f t="shared" si="75"/>
        <v>68.28</v>
      </c>
      <c r="N403" s="15">
        <f t="shared" si="76"/>
        <v>963.36</v>
      </c>
      <c r="O403" s="15">
        <f t="shared" si="67"/>
        <v>0</v>
      </c>
      <c r="P403" s="15">
        <f t="shared" si="68"/>
        <v>963.36</v>
      </c>
      <c r="Q403" s="5">
        <f t="shared" si="69"/>
        <v>1</v>
      </c>
    </row>
    <row r="404" spans="1:17" x14ac:dyDescent="0.25">
      <c r="A404" s="7">
        <v>46251.75</v>
      </c>
      <c r="B404" s="6">
        <v>0</v>
      </c>
      <c r="C404" s="13">
        <v>0</v>
      </c>
      <c r="D404" s="18">
        <f t="shared" si="66"/>
        <v>0</v>
      </c>
      <c r="E404" s="14">
        <v>236.25</v>
      </c>
      <c r="F404" s="18">
        <f t="shared" si="70"/>
        <v>0</v>
      </c>
      <c r="G404" s="18">
        <f t="shared" si="71"/>
        <v>236.25</v>
      </c>
      <c r="H404" s="14">
        <v>88.2</v>
      </c>
      <c r="I404" s="18">
        <f t="shared" si="72"/>
        <v>0</v>
      </c>
      <c r="J404" s="18">
        <f t="shared" si="73"/>
        <v>88.2</v>
      </c>
      <c r="K404" s="14">
        <v>34.08</v>
      </c>
      <c r="L404" s="18">
        <f t="shared" si="74"/>
        <v>0</v>
      </c>
      <c r="M404" s="18">
        <f t="shared" si="75"/>
        <v>34.08</v>
      </c>
      <c r="N404" s="15">
        <f t="shared" si="76"/>
        <v>358.53</v>
      </c>
      <c r="O404" s="15">
        <f t="shared" si="67"/>
        <v>0</v>
      </c>
      <c r="P404" s="15">
        <f t="shared" si="68"/>
        <v>358.53</v>
      </c>
      <c r="Q404" s="5">
        <f t="shared" si="69"/>
        <v>1</v>
      </c>
    </row>
    <row r="405" spans="1:17" x14ac:dyDescent="0.25">
      <c r="A405" s="7">
        <v>46251.791666666664</v>
      </c>
      <c r="B405" s="6">
        <v>0</v>
      </c>
      <c r="C405" s="13">
        <v>0</v>
      </c>
      <c r="D405" s="18">
        <f t="shared" si="66"/>
        <v>0</v>
      </c>
      <c r="E405" s="14">
        <v>85.05</v>
      </c>
      <c r="F405" s="18">
        <f t="shared" si="70"/>
        <v>0</v>
      </c>
      <c r="G405" s="18">
        <f t="shared" si="71"/>
        <v>85.05</v>
      </c>
      <c r="H405" s="14">
        <v>60.12</v>
      </c>
      <c r="I405" s="18">
        <f t="shared" si="72"/>
        <v>0</v>
      </c>
      <c r="J405" s="18">
        <f t="shared" si="73"/>
        <v>60.12</v>
      </c>
      <c r="K405" s="14">
        <v>18.12</v>
      </c>
      <c r="L405" s="18">
        <f t="shared" si="74"/>
        <v>0</v>
      </c>
      <c r="M405" s="18">
        <f t="shared" si="75"/>
        <v>18.12</v>
      </c>
      <c r="N405" s="15">
        <f t="shared" si="76"/>
        <v>163.29</v>
      </c>
      <c r="O405" s="15">
        <f t="shared" si="67"/>
        <v>0</v>
      </c>
      <c r="P405" s="15">
        <f t="shared" si="68"/>
        <v>163.29</v>
      </c>
      <c r="Q405" s="5">
        <f t="shared" si="69"/>
        <v>1</v>
      </c>
    </row>
    <row r="406" spans="1:17" x14ac:dyDescent="0.25">
      <c r="A406" s="7">
        <v>46251.833333333336</v>
      </c>
      <c r="B406" s="6">
        <v>0</v>
      </c>
      <c r="C406" s="13">
        <v>0</v>
      </c>
      <c r="D406" s="18">
        <f t="shared" si="66"/>
        <v>0</v>
      </c>
      <c r="E406" s="14">
        <v>806.4</v>
      </c>
      <c r="F406" s="18">
        <f t="shared" si="70"/>
        <v>0</v>
      </c>
      <c r="G406" s="18">
        <f t="shared" si="71"/>
        <v>806.4</v>
      </c>
      <c r="H406" s="14">
        <v>36.6</v>
      </c>
      <c r="I406" s="18">
        <f t="shared" si="72"/>
        <v>0</v>
      </c>
      <c r="J406" s="18">
        <f t="shared" si="73"/>
        <v>36.6</v>
      </c>
      <c r="K406" s="14">
        <v>2.88</v>
      </c>
      <c r="L406" s="18">
        <f t="shared" si="74"/>
        <v>0</v>
      </c>
      <c r="M406" s="18">
        <f t="shared" si="75"/>
        <v>2.88</v>
      </c>
      <c r="N406" s="15">
        <f t="shared" si="76"/>
        <v>845.88</v>
      </c>
      <c r="O406" s="15">
        <f t="shared" si="67"/>
        <v>0</v>
      </c>
      <c r="P406" s="15">
        <f t="shared" si="68"/>
        <v>845.88</v>
      </c>
      <c r="Q406" s="5">
        <f t="shared" si="69"/>
        <v>1</v>
      </c>
    </row>
    <row r="407" spans="1:17" x14ac:dyDescent="0.25">
      <c r="A407" s="7">
        <v>46251.875</v>
      </c>
      <c r="B407" s="6">
        <v>0</v>
      </c>
      <c r="C407" s="13">
        <v>0</v>
      </c>
      <c r="D407" s="18">
        <f t="shared" si="66"/>
        <v>0</v>
      </c>
      <c r="E407" s="14">
        <v>765.45</v>
      </c>
      <c r="F407" s="18">
        <f t="shared" si="70"/>
        <v>0</v>
      </c>
      <c r="G407" s="18">
        <f t="shared" si="71"/>
        <v>765.45</v>
      </c>
      <c r="H407" s="14">
        <v>36.479999999999997</v>
      </c>
      <c r="I407" s="18">
        <f t="shared" si="72"/>
        <v>0</v>
      </c>
      <c r="J407" s="18">
        <f t="shared" si="73"/>
        <v>36.479999999999997</v>
      </c>
      <c r="K407" s="14">
        <v>1.8</v>
      </c>
      <c r="L407" s="18">
        <f t="shared" si="74"/>
        <v>0</v>
      </c>
      <c r="M407" s="18">
        <f t="shared" si="75"/>
        <v>1.8</v>
      </c>
      <c r="N407" s="15">
        <f t="shared" si="76"/>
        <v>803.73</v>
      </c>
      <c r="O407" s="15">
        <f t="shared" si="67"/>
        <v>0</v>
      </c>
      <c r="P407" s="15">
        <f t="shared" si="68"/>
        <v>803.73</v>
      </c>
      <c r="Q407" s="5">
        <f t="shared" si="69"/>
        <v>1</v>
      </c>
    </row>
    <row r="408" spans="1:17" x14ac:dyDescent="0.25">
      <c r="A408" s="7">
        <v>46251.916666666664</v>
      </c>
      <c r="B408" s="6">
        <v>0</v>
      </c>
      <c r="C408" s="13">
        <v>0</v>
      </c>
      <c r="D408" s="18">
        <f t="shared" si="66"/>
        <v>0</v>
      </c>
      <c r="E408" s="14">
        <v>1093.05</v>
      </c>
      <c r="F408" s="18">
        <f t="shared" si="70"/>
        <v>0</v>
      </c>
      <c r="G408" s="18">
        <f t="shared" si="71"/>
        <v>1093.05</v>
      </c>
      <c r="H408" s="14">
        <v>37.68</v>
      </c>
      <c r="I408" s="18">
        <f t="shared" si="72"/>
        <v>0</v>
      </c>
      <c r="J408" s="18">
        <f t="shared" si="73"/>
        <v>37.68</v>
      </c>
      <c r="K408" s="14">
        <v>1.92</v>
      </c>
      <c r="L408" s="18">
        <f t="shared" si="74"/>
        <v>0</v>
      </c>
      <c r="M408" s="18">
        <f t="shared" si="75"/>
        <v>1.92</v>
      </c>
      <c r="N408" s="15">
        <f t="shared" si="76"/>
        <v>1132.6500000000001</v>
      </c>
      <c r="O408" s="15">
        <f t="shared" si="67"/>
        <v>0</v>
      </c>
      <c r="P408" s="15">
        <f t="shared" si="68"/>
        <v>1132.6500000000001</v>
      </c>
      <c r="Q408" s="5">
        <f t="shared" si="69"/>
        <v>1</v>
      </c>
    </row>
    <row r="409" spans="1:17" x14ac:dyDescent="0.25">
      <c r="A409" s="7">
        <v>46251.958333333336</v>
      </c>
      <c r="B409" s="6">
        <v>0</v>
      </c>
      <c r="C409" s="13">
        <v>0</v>
      </c>
      <c r="D409" s="18">
        <f t="shared" si="66"/>
        <v>0</v>
      </c>
      <c r="E409" s="14">
        <v>1067.8499999999999</v>
      </c>
      <c r="F409" s="18">
        <f t="shared" si="70"/>
        <v>0</v>
      </c>
      <c r="G409" s="18">
        <f t="shared" si="71"/>
        <v>1067.8499999999999</v>
      </c>
      <c r="H409" s="14">
        <v>37.32</v>
      </c>
      <c r="I409" s="18">
        <f t="shared" si="72"/>
        <v>0</v>
      </c>
      <c r="J409" s="18">
        <f t="shared" si="73"/>
        <v>37.32</v>
      </c>
      <c r="K409" s="14">
        <v>1.8</v>
      </c>
      <c r="L409" s="18">
        <f t="shared" si="74"/>
        <v>0</v>
      </c>
      <c r="M409" s="18">
        <f t="shared" si="75"/>
        <v>1.8</v>
      </c>
      <c r="N409" s="15">
        <f t="shared" si="76"/>
        <v>1106.9699999999998</v>
      </c>
      <c r="O409" s="15">
        <f t="shared" si="67"/>
        <v>0</v>
      </c>
      <c r="P409" s="15">
        <f t="shared" si="68"/>
        <v>1106.9699999999998</v>
      </c>
      <c r="Q409" s="5">
        <f t="shared" si="69"/>
        <v>1</v>
      </c>
    </row>
    <row r="410" spans="1:17" x14ac:dyDescent="0.25">
      <c r="A410" s="7">
        <v>46252</v>
      </c>
      <c r="B410" s="6">
        <v>0</v>
      </c>
      <c r="C410" s="13">
        <v>0</v>
      </c>
      <c r="D410" s="18">
        <f t="shared" si="66"/>
        <v>0</v>
      </c>
      <c r="E410" s="14">
        <v>1048.95</v>
      </c>
      <c r="F410" s="18">
        <f t="shared" si="70"/>
        <v>0</v>
      </c>
      <c r="G410" s="18">
        <f t="shared" si="71"/>
        <v>1048.95</v>
      </c>
      <c r="H410" s="14">
        <v>37.68</v>
      </c>
      <c r="I410" s="18">
        <f t="shared" si="72"/>
        <v>0</v>
      </c>
      <c r="J410" s="18">
        <f t="shared" si="73"/>
        <v>37.68</v>
      </c>
      <c r="K410" s="14">
        <v>1.92</v>
      </c>
      <c r="L410" s="18">
        <f t="shared" si="74"/>
        <v>0</v>
      </c>
      <c r="M410" s="18">
        <f t="shared" si="75"/>
        <v>1.92</v>
      </c>
      <c r="N410" s="15">
        <f t="shared" si="76"/>
        <v>1088.5500000000002</v>
      </c>
      <c r="O410" s="15">
        <f t="shared" si="67"/>
        <v>0</v>
      </c>
      <c r="P410" s="15">
        <f t="shared" si="68"/>
        <v>1088.5500000000002</v>
      </c>
      <c r="Q410" s="5">
        <f t="shared" si="69"/>
        <v>1</v>
      </c>
    </row>
    <row r="411" spans="1:17" x14ac:dyDescent="0.25">
      <c r="A411" s="7">
        <v>46252.041666666664</v>
      </c>
      <c r="B411" s="6">
        <v>0</v>
      </c>
      <c r="C411" s="13">
        <v>0</v>
      </c>
      <c r="D411" s="18">
        <f t="shared" si="66"/>
        <v>0</v>
      </c>
      <c r="E411" s="14">
        <v>264.60000000000002</v>
      </c>
      <c r="F411" s="18">
        <f t="shared" si="70"/>
        <v>0</v>
      </c>
      <c r="G411" s="18">
        <f t="shared" si="71"/>
        <v>264.60000000000002</v>
      </c>
      <c r="H411" s="14">
        <v>34.56</v>
      </c>
      <c r="I411" s="18">
        <f t="shared" si="72"/>
        <v>0</v>
      </c>
      <c r="J411" s="18">
        <f t="shared" si="73"/>
        <v>34.56</v>
      </c>
      <c r="K411" s="14">
        <v>1.92</v>
      </c>
      <c r="L411" s="18">
        <f t="shared" si="74"/>
        <v>0</v>
      </c>
      <c r="M411" s="18">
        <f t="shared" si="75"/>
        <v>1.92</v>
      </c>
      <c r="N411" s="15">
        <f t="shared" si="76"/>
        <v>301.08000000000004</v>
      </c>
      <c r="O411" s="15">
        <f t="shared" si="67"/>
        <v>0</v>
      </c>
      <c r="P411" s="15">
        <f t="shared" si="68"/>
        <v>301.08000000000004</v>
      </c>
      <c r="Q411" s="5">
        <f t="shared" si="69"/>
        <v>1</v>
      </c>
    </row>
    <row r="412" spans="1:17" x14ac:dyDescent="0.25">
      <c r="A412" s="7">
        <v>46252.083333333336</v>
      </c>
      <c r="B412" s="6">
        <v>0</v>
      </c>
      <c r="C412" s="13">
        <v>0</v>
      </c>
      <c r="D412" s="18">
        <f t="shared" si="66"/>
        <v>0</v>
      </c>
      <c r="E412" s="14">
        <v>831.6</v>
      </c>
      <c r="F412" s="18">
        <f t="shared" si="70"/>
        <v>0</v>
      </c>
      <c r="G412" s="18">
        <f t="shared" si="71"/>
        <v>831.6</v>
      </c>
      <c r="H412" s="14">
        <v>36.24</v>
      </c>
      <c r="I412" s="18">
        <f t="shared" si="72"/>
        <v>0</v>
      </c>
      <c r="J412" s="18">
        <f t="shared" si="73"/>
        <v>36.24</v>
      </c>
      <c r="K412" s="14">
        <v>1.68</v>
      </c>
      <c r="L412" s="18">
        <f t="shared" si="74"/>
        <v>0</v>
      </c>
      <c r="M412" s="18">
        <f t="shared" si="75"/>
        <v>1.68</v>
      </c>
      <c r="N412" s="15">
        <f t="shared" si="76"/>
        <v>869.52</v>
      </c>
      <c r="O412" s="15">
        <f t="shared" si="67"/>
        <v>0</v>
      </c>
      <c r="P412" s="15">
        <f t="shared" si="68"/>
        <v>869.52</v>
      </c>
      <c r="Q412" s="5">
        <f t="shared" si="69"/>
        <v>1</v>
      </c>
    </row>
    <row r="413" spans="1:17" x14ac:dyDescent="0.25">
      <c r="A413" s="7">
        <v>46252.125</v>
      </c>
      <c r="B413" s="6">
        <v>0</v>
      </c>
      <c r="C413" s="13">
        <v>0</v>
      </c>
      <c r="D413" s="18">
        <f t="shared" si="66"/>
        <v>0</v>
      </c>
      <c r="E413" s="14">
        <v>661.5</v>
      </c>
      <c r="F413" s="18">
        <f t="shared" si="70"/>
        <v>0</v>
      </c>
      <c r="G413" s="18">
        <f t="shared" si="71"/>
        <v>661.5</v>
      </c>
      <c r="H413" s="14">
        <v>36.36</v>
      </c>
      <c r="I413" s="18">
        <f t="shared" si="72"/>
        <v>0</v>
      </c>
      <c r="J413" s="18">
        <f t="shared" si="73"/>
        <v>36.36</v>
      </c>
      <c r="K413" s="14">
        <v>3</v>
      </c>
      <c r="L413" s="18">
        <f t="shared" si="74"/>
        <v>0</v>
      </c>
      <c r="M413" s="18">
        <f t="shared" si="75"/>
        <v>3</v>
      </c>
      <c r="N413" s="15">
        <f t="shared" si="76"/>
        <v>700.86</v>
      </c>
      <c r="O413" s="15">
        <f t="shared" si="67"/>
        <v>0</v>
      </c>
      <c r="P413" s="15">
        <f t="shared" si="68"/>
        <v>700.86</v>
      </c>
      <c r="Q413" s="5">
        <f t="shared" si="69"/>
        <v>1</v>
      </c>
    </row>
    <row r="414" spans="1:17" x14ac:dyDescent="0.25">
      <c r="A414" s="7">
        <v>46252.166666666664</v>
      </c>
      <c r="B414" s="6">
        <v>0</v>
      </c>
      <c r="C414" s="13">
        <v>0</v>
      </c>
      <c r="D414" s="18">
        <f t="shared" si="66"/>
        <v>0</v>
      </c>
      <c r="E414" s="14">
        <v>998.55</v>
      </c>
      <c r="F414" s="18">
        <f t="shared" si="70"/>
        <v>0</v>
      </c>
      <c r="G414" s="18">
        <f t="shared" si="71"/>
        <v>998.55</v>
      </c>
      <c r="H414" s="14">
        <v>43.8</v>
      </c>
      <c r="I414" s="18">
        <f t="shared" si="72"/>
        <v>0</v>
      </c>
      <c r="J414" s="18">
        <f t="shared" si="73"/>
        <v>43.8</v>
      </c>
      <c r="K414" s="14">
        <v>1.8</v>
      </c>
      <c r="L414" s="18">
        <f t="shared" si="74"/>
        <v>0</v>
      </c>
      <c r="M414" s="18">
        <f t="shared" si="75"/>
        <v>1.8</v>
      </c>
      <c r="N414" s="15">
        <f t="shared" si="76"/>
        <v>1044.1499999999999</v>
      </c>
      <c r="O414" s="15">
        <f t="shared" si="67"/>
        <v>0</v>
      </c>
      <c r="P414" s="15">
        <f t="shared" si="68"/>
        <v>1044.1499999999999</v>
      </c>
      <c r="Q414" s="5">
        <f t="shared" si="69"/>
        <v>1</v>
      </c>
    </row>
    <row r="415" spans="1:17" x14ac:dyDescent="0.25">
      <c r="A415" s="7">
        <v>46252.208333333336</v>
      </c>
      <c r="B415" s="6">
        <v>0</v>
      </c>
      <c r="C415" s="13">
        <v>0</v>
      </c>
      <c r="D415" s="18">
        <f t="shared" si="66"/>
        <v>0</v>
      </c>
      <c r="E415" s="14">
        <v>957.6</v>
      </c>
      <c r="F415" s="18">
        <f t="shared" si="70"/>
        <v>0</v>
      </c>
      <c r="G415" s="18">
        <f t="shared" si="71"/>
        <v>957.6</v>
      </c>
      <c r="H415" s="14">
        <v>46.68</v>
      </c>
      <c r="I415" s="18">
        <f t="shared" si="72"/>
        <v>0</v>
      </c>
      <c r="J415" s="18">
        <f t="shared" si="73"/>
        <v>46.68</v>
      </c>
      <c r="K415" s="14">
        <v>1.92</v>
      </c>
      <c r="L415" s="18">
        <f t="shared" si="74"/>
        <v>0</v>
      </c>
      <c r="M415" s="18">
        <f t="shared" si="75"/>
        <v>1.92</v>
      </c>
      <c r="N415" s="15">
        <f t="shared" si="76"/>
        <v>1006.1999999999999</v>
      </c>
      <c r="O415" s="15">
        <f t="shared" si="67"/>
        <v>0</v>
      </c>
      <c r="P415" s="15">
        <f t="shared" si="68"/>
        <v>1006.1999999999999</v>
      </c>
      <c r="Q415" s="5">
        <f t="shared" si="69"/>
        <v>1</v>
      </c>
    </row>
    <row r="416" spans="1:17" x14ac:dyDescent="0.25">
      <c r="A416" s="7">
        <v>46252.25</v>
      </c>
      <c r="B416" s="6">
        <v>0</v>
      </c>
      <c r="C416" s="13">
        <v>0</v>
      </c>
      <c r="D416" s="18">
        <f t="shared" si="66"/>
        <v>0</v>
      </c>
      <c r="E416" s="14">
        <v>233.1</v>
      </c>
      <c r="F416" s="18">
        <f t="shared" si="70"/>
        <v>0</v>
      </c>
      <c r="G416" s="18">
        <f t="shared" si="71"/>
        <v>233.1</v>
      </c>
      <c r="H416" s="14">
        <v>42.84</v>
      </c>
      <c r="I416" s="18">
        <f t="shared" si="72"/>
        <v>0</v>
      </c>
      <c r="J416" s="18">
        <f t="shared" si="73"/>
        <v>42.84</v>
      </c>
      <c r="K416" s="14">
        <v>15.84</v>
      </c>
      <c r="L416" s="18">
        <f t="shared" si="74"/>
        <v>0</v>
      </c>
      <c r="M416" s="18">
        <f t="shared" si="75"/>
        <v>15.84</v>
      </c>
      <c r="N416" s="15">
        <f t="shared" si="76"/>
        <v>291.77999999999997</v>
      </c>
      <c r="O416" s="15">
        <f t="shared" si="67"/>
        <v>0</v>
      </c>
      <c r="P416" s="15">
        <f t="shared" si="68"/>
        <v>291.77999999999997</v>
      </c>
      <c r="Q416" s="5">
        <f t="shared" si="69"/>
        <v>1</v>
      </c>
    </row>
    <row r="417" spans="1:17" x14ac:dyDescent="0.25">
      <c r="A417" s="7">
        <v>46252.291666666664</v>
      </c>
      <c r="B417" s="6">
        <v>198.45</v>
      </c>
      <c r="C417" s="13">
        <v>0.6</v>
      </c>
      <c r="D417" s="18">
        <f t="shared" si="66"/>
        <v>199.04999999999998</v>
      </c>
      <c r="E417" s="14">
        <v>6.3</v>
      </c>
      <c r="F417" s="18">
        <f t="shared" si="70"/>
        <v>6.3</v>
      </c>
      <c r="G417" s="18">
        <f t="shared" si="71"/>
        <v>0</v>
      </c>
      <c r="H417" s="14">
        <v>17.52</v>
      </c>
      <c r="I417" s="18">
        <f t="shared" si="72"/>
        <v>17.52</v>
      </c>
      <c r="J417" s="18">
        <f t="shared" si="73"/>
        <v>0</v>
      </c>
      <c r="K417" s="14">
        <v>2.64</v>
      </c>
      <c r="L417" s="18">
        <f t="shared" si="74"/>
        <v>2.64</v>
      </c>
      <c r="M417" s="18">
        <f t="shared" si="75"/>
        <v>0</v>
      </c>
      <c r="N417" s="15">
        <f t="shared" si="76"/>
        <v>26.46</v>
      </c>
      <c r="O417" s="15">
        <f t="shared" si="67"/>
        <v>26.46</v>
      </c>
      <c r="P417" s="15">
        <f t="shared" si="68"/>
        <v>0</v>
      </c>
      <c r="Q417" s="5">
        <f t="shared" si="69"/>
        <v>0</v>
      </c>
    </row>
    <row r="418" spans="1:17" x14ac:dyDescent="0.25">
      <c r="A418" s="7">
        <v>46252.333333333336</v>
      </c>
      <c r="B418" s="6">
        <v>1020.6</v>
      </c>
      <c r="C418" s="13">
        <v>0</v>
      </c>
      <c r="D418" s="18">
        <f t="shared" si="66"/>
        <v>1020.6</v>
      </c>
      <c r="E418" s="14">
        <v>0</v>
      </c>
      <c r="F418" s="18">
        <f t="shared" si="70"/>
        <v>0</v>
      </c>
      <c r="G418" s="18">
        <f t="shared" si="71"/>
        <v>0</v>
      </c>
      <c r="H418" s="14">
        <v>125.88</v>
      </c>
      <c r="I418" s="18">
        <f t="shared" si="72"/>
        <v>125.88</v>
      </c>
      <c r="J418" s="18">
        <f t="shared" si="73"/>
        <v>0</v>
      </c>
      <c r="K418" s="14">
        <v>1.56</v>
      </c>
      <c r="L418" s="18">
        <f t="shared" si="74"/>
        <v>1.56</v>
      </c>
      <c r="M418" s="18">
        <f t="shared" si="75"/>
        <v>0</v>
      </c>
      <c r="N418" s="15">
        <f t="shared" si="76"/>
        <v>127.44</v>
      </c>
      <c r="O418" s="15">
        <f t="shared" si="67"/>
        <v>127.44</v>
      </c>
      <c r="P418" s="15">
        <f t="shared" si="68"/>
        <v>0</v>
      </c>
      <c r="Q418" s="5">
        <f t="shared" si="69"/>
        <v>0</v>
      </c>
    </row>
    <row r="419" spans="1:17" x14ac:dyDescent="0.25">
      <c r="A419" s="7">
        <v>46252.375</v>
      </c>
      <c r="B419" s="6">
        <v>822.15</v>
      </c>
      <c r="C419" s="13">
        <v>0.12</v>
      </c>
      <c r="D419" s="18">
        <f t="shared" si="66"/>
        <v>822.27</v>
      </c>
      <c r="E419" s="14">
        <v>0</v>
      </c>
      <c r="F419" s="18">
        <f t="shared" si="70"/>
        <v>0</v>
      </c>
      <c r="G419" s="18">
        <f t="shared" si="71"/>
        <v>0</v>
      </c>
      <c r="H419" s="14">
        <v>85.56</v>
      </c>
      <c r="I419" s="18">
        <f t="shared" si="72"/>
        <v>85.56</v>
      </c>
      <c r="J419" s="18">
        <f t="shared" si="73"/>
        <v>0</v>
      </c>
      <c r="K419" s="14">
        <v>32.28</v>
      </c>
      <c r="L419" s="18">
        <f t="shared" si="74"/>
        <v>32.28</v>
      </c>
      <c r="M419" s="18">
        <f t="shared" si="75"/>
        <v>0</v>
      </c>
      <c r="N419" s="15">
        <f t="shared" si="76"/>
        <v>117.84</v>
      </c>
      <c r="O419" s="15">
        <f t="shared" si="67"/>
        <v>117.84</v>
      </c>
      <c r="P419" s="15">
        <f t="shared" si="68"/>
        <v>0</v>
      </c>
      <c r="Q419" s="5">
        <f t="shared" si="69"/>
        <v>0</v>
      </c>
    </row>
    <row r="420" spans="1:17" x14ac:dyDescent="0.25">
      <c r="A420" s="7">
        <v>46252.416666666664</v>
      </c>
      <c r="B420" s="6">
        <v>1962.45</v>
      </c>
      <c r="C420" s="13">
        <v>10.68</v>
      </c>
      <c r="D420" s="18">
        <f t="shared" si="66"/>
        <v>1973.13</v>
      </c>
      <c r="E420" s="14">
        <v>0</v>
      </c>
      <c r="F420" s="18">
        <f t="shared" si="70"/>
        <v>0</v>
      </c>
      <c r="G420" s="18">
        <f t="shared" si="71"/>
        <v>0</v>
      </c>
      <c r="H420" s="14">
        <v>26.88</v>
      </c>
      <c r="I420" s="18">
        <f t="shared" si="72"/>
        <v>26.88</v>
      </c>
      <c r="J420" s="18">
        <f t="shared" si="73"/>
        <v>0</v>
      </c>
      <c r="K420" s="14">
        <v>30.48</v>
      </c>
      <c r="L420" s="18">
        <f t="shared" si="74"/>
        <v>30.48</v>
      </c>
      <c r="M420" s="18">
        <f t="shared" si="75"/>
        <v>0</v>
      </c>
      <c r="N420" s="15">
        <f t="shared" si="76"/>
        <v>57.36</v>
      </c>
      <c r="O420" s="15">
        <f t="shared" si="67"/>
        <v>57.36</v>
      </c>
      <c r="P420" s="15">
        <f t="shared" si="68"/>
        <v>0</v>
      </c>
      <c r="Q420" s="5">
        <f t="shared" si="69"/>
        <v>0</v>
      </c>
    </row>
    <row r="421" spans="1:17" x14ac:dyDescent="0.25">
      <c r="A421" s="7">
        <v>46252.458333333336</v>
      </c>
      <c r="B421" s="6">
        <v>1997.1</v>
      </c>
      <c r="C421" s="13">
        <v>4.68</v>
      </c>
      <c r="D421" s="18">
        <f t="shared" si="66"/>
        <v>2001.78</v>
      </c>
      <c r="E421" s="14">
        <v>0</v>
      </c>
      <c r="F421" s="18">
        <f t="shared" si="70"/>
        <v>0</v>
      </c>
      <c r="G421" s="18">
        <f t="shared" si="71"/>
        <v>0</v>
      </c>
      <c r="H421" s="14">
        <v>40.92</v>
      </c>
      <c r="I421" s="18">
        <f t="shared" si="72"/>
        <v>40.92</v>
      </c>
      <c r="J421" s="18">
        <f t="shared" si="73"/>
        <v>0</v>
      </c>
      <c r="K421" s="14">
        <v>22.32</v>
      </c>
      <c r="L421" s="18">
        <f t="shared" si="74"/>
        <v>22.32</v>
      </c>
      <c r="M421" s="18">
        <f t="shared" si="75"/>
        <v>0</v>
      </c>
      <c r="N421" s="15">
        <f t="shared" si="76"/>
        <v>63.24</v>
      </c>
      <c r="O421" s="15">
        <f t="shared" si="67"/>
        <v>63.24</v>
      </c>
      <c r="P421" s="15">
        <f t="shared" si="68"/>
        <v>0</v>
      </c>
      <c r="Q421" s="5">
        <f t="shared" si="69"/>
        <v>0</v>
      </c>
    </row>
    <row r="422" spans="1:17" x14ac:dyDescent="0.25">
      <c r="A422" s="7">
        <v>46252.5</v>
      </c>
      <c r="B422" s="6">
        <v>2488.5</v>
      </c>
      <c r="C422" s="13">
        <v>36.72</v>
      </c>
      <c r="D422" s="18">
        <f t="shared" si="66"/>
        <v>2525.2199999999998</v>
      </c>
      <c r="E422" s="14">
        <v>0</v>
      </c>
      <c r="F422" s="18">
        <f t="shared" si="70"/>
        <v>0</v>
      </c>
      <c r="G422" s="18">
        <f t="shared" si="71"/>
        <v>0</v>
      </c>
      <c r="H422" s="14">
        <v>15.36</v>
      </c>
      <c r="I422" s="18">
        <f t="shared" si="72"/>
        <v>15.36</v>
      </c>
      <c r="J422" s="18">
        <f t="shared" si="73"/>
        <v>0</v>
      </c>
      <c r="K422" s="14">
        <v>28.2</v>
      </c>
      <c r="L422" s="18">
        <f t="shared" si="74"/>
        <v>28.2</v>
      </c>
      <c r="M422" s="18">
        <f t="shared" si="75"/>
        <v>0</v>
      </c>
      <c r="N422" s="15">
        <f t="shared" si="76"/>
        <v>43.56</v>
      </c>
      <c r="O422" s="15">
        <f t="shared" si="67"/>
        <v>43.56</v>
      </c>
      <c r="P422" s="15">
        <f t="shared" si="68"/>
        <v>0</v>
      </c>
      <c r="Q422" s="5">
        <f t="shared" si="69"/>
        <v>0</v>
      </c>
    </row>
    <row r="423" spans="1:17" x14ac:dyDescent="0.25">
      <c r="A423" s="7">
        <v>46252.541666666664</v>
      </c>
      <c r="B423" s="6">
        <v>1363.95</v>
      </c>
      <c r="C423" s="13">
        <v>5.76</v>
      </c>
      <c r="D423" s="18">
        <f t="shared" si="66"/>
        <v>1369.71</v>
      </c>
      <c r="E423" s="14">
        <v>0</v>
      </c>
      <c r="F423" s="18">
        <f t="shared" si="70"/>
        <v>0</v>
      </c>
      <c r="G423" s="18">
        <f t="shared" si="71"/>
        <v>0</v>
      </c>
      <c r="H423" s="14">
        <v>70.56</v>
      </c>
      <c r="I423" s="18">
        <f t="shared" si="72"/>
        <v>70.56</v>
      </c>
      <c r="J423" s="18">
        <f t="shared" si="73"/>
        <v>0</v>
      </c>
      <c r="K423" s="14">
        <v>20.04</v>
      </c>
      <c r="L423" s="18">
        <f t="shared" si="74"/>
        <v>20.04</v>
      </c>
      <c r="M423" s="18">
        <f t="shared" si="75"/>
        <v>0</v>
      </c>
      <c r="N423" s="15">
        <f t="shared" si="76"/>
        <v>90.6</v>
      </c>
      <c r="O423" s="15">
        <f t="shared" si="67"/>
        <v>90.6</v>
      </c>
      <c r="P423" s="15">
        <f t="shared" si="68"/>
        <v>0</v>
      </c>
      <c r="Q423" s="5">
        <f t="shared" si="69"/>
        <v>0</v>
      </c>
    </row>
    <row r="424" spans="1:17" x14ac:dyDescent="0.25">
      <c r="A424" s="7">
        <v>46252.583333333336</v>
      </c>
      <c r="B424" s="6">
        <v>847.35</v>
      </c>
      <c r="C424" s="13">
        <v>3</v>
      </c>
      <c r="D424" s="18">
        <f t="shared" si="66"/>
        <v>850.35</v>
      </c>
      <c r="E424" s="14">
        <v>6.3</v>
      </c>
      <c r="F424" s="18">
        <f t="shared" si="70"/>
        <v>6.3</v>
      </c>
      <c r="G424" s="18">
        <f t="shared" si="71"/>
        <v>0</v>
      </c>
      <c r="H424" s="14">
        <v>126.48</v>
      </c>
      <c r="I424" s="18">
        <f t="shared" si="72"/>
        <v>126.48</v>
      </c>
      <c r="J424" s="18">
        <f t="shared" si="73"/>
        <v>0</v>
      </c>
      <c r="K424" s="14">
        <v>18.36</v>
      </c>
      <c r="L424" s="18">
        <f t="shared" si="74"/>
        <v>18.36</v>
      </c>
      <c r="M424" s="18">
        <f t="shared" si="75"/>
        <v>0</v>
      </c>
      <c r="N424" s="15">
        <f t="shared" si="76"/>
        <v>151.13999999999999</v>
      </c>
      <c r="O424" s="15">
        <f t="shared" si="67"/>
        <v>151.13999999999999</v>
      </c>
      <c r="P424" s="15">
        <f t="shared" si="68"/>
        <v>0</v>
      </c>
      <c r="Q424" s="5">
        <f t="shared" si="69"/>
        <v>0</v>
      </c>
    </row>
    <row r="425" spans="1:17" x14ac:dyDescent="0.25">
      <c r="A425" s="7">
        <v>46252.625</v>
      </c>
      <c r="B425" s="6">
        <v>255.15</v>
      </c>
      <c r="C425" s="13">
        <v>0</v>
      </c>
      <c r="D425" s="18">
        <f t="shared" si="66"/>
        <v>255.15</v>
      </c>
      <c r="E425" s="14">
        <v>3.15</v>
      </c>
      <c r="F425" s="18">
        <f t="shared" si="70"/>
        <v>3.15</v>
      </c>
      <c r="G425" s="18">
        <f t="shared" si="71"/>
        <v>0</v>
      </c>
      <c r="H425" s="14">
        <v>104.52</v>
      </c>
      <c r="I425" s="18">
        <f t="shared" si="72"/>
        <v>104.52</v>
      </c>
      <c r="J425" s="18">
        <f t="shared" si="73"/>
        <v>0</v>
      </c>
      <c r="K425" s="14">
        <v>53.4</v>
      </c>
      <c r="L425" s="18">
        <f t="shared" si="74"/>
        <v>53.4</v>
      </c>
      <c r="M425" s="18">
        <f t="shared" si="75"/>
        <v>0</v>
      </c>
      <c r="N425" s="15">
        <f t="shared" si="76"/>
        <v>161.07</v>
      </c>
      <c r="O425" s="15">
        <f t="shared" si="67"/>
        <v>161.07</v>
      </c>
      <c r="P425" s="15">
        <f t="shared" si="68"/>
        <v>0</v>
      </c>
      <c r="Q425" s="5">
        <f t="shared" si="69"/>
        <v>0</v>
      </c>
    </row>
    <row r="426" spans="1:17" x14ac:dyDescent="0.25">
      <c r="A426" s="7">
        <v>46252.666666666664</v>
      </c>
      <c r="B426" s="6">
        <v>166.95</v>
      </c>
      <c r="C426" s="13">
        <v>0</v>
      </c>
      <c r="D426" s="18">
        <f t="shared" si="66"/>
        <v>166.95</v>
      </c>
      <c r="E426" s="14">
        <v>0</v>
      </c>
      <c r="F426" s="18">
        <f t="shared" si="70"/>
        <v>0</v>
      </c>
      <c r="G426" s="18">
        <f t="shared" si="71"/>
        <v>0</v>
      </c>
      <c r="H426" s="14">
        <v>90.36</v>
      </c>
      <c r="I426" s="18">
        <f t="shared" si="72"/>
        <v>90.36</v>
      </c>
      <c r="J426" s="18">
        <f t="shared" si="73"/>
        <v>0</v>
      </c>
      <c r="K426" s="14">
        <v>28.92</v>
      </c>
      <c r="L426" s="18">
        <f t="shared" si="74"/>
        <v>28.92</v>
      </c>
      <c r="M426" s="18">
        <f t="shared" si="75"/>
        <v>0</v>
      </c>
      <c r="N426" s="15">
        <f t="shared" si="76"/>
        <v>119.28</v>
      </c>
      <c r="O426" s="15">
        <f t="shared" si="67"/>
        <v>119.28</v>
      </c>
      <c r="P426" s="15">
        <f t="shared" si="68"/>
        <v>0</v>
      </c>
      <c r="Q426" s="5">
        <f t="shared" si="69"/>
        <v>0</v>
      </c>
    </row>
    <row r="427" spans="1:17" x14ac:dyDescent="0.25">
      <c r="A427" s="7">
        <v>46252.708333333336</v>
      </c>
      <c r="B427" s="6">
        <v>100.8</v>
      </c>
      <c r="C427" s="13">
        <v>0</v>
      </c>
      <c r="D427" s="18">
        <f t="shared" si="66"/>
        <v>100.8</v>
      </c>
      <c r="E427" s="14">
        <v>25.2</v>
      </c>
      <c r="F427" s="18">
        <f t="shared" si="70"/>
        <v>18.092307692307692</v>
      </c>
      <c r="G427" s="18">
        <f t="shared" si="71"/>
        <v>7.1076923076923091</v>
      </c>
      <c r="H427" s="14">
        <v>77.28</v>
      </c>
      <c r="I427" s="18">
        <f t="shared" si="72"/>
        <v>55.483076923076922</v>
      </c>
      <c r="J427" s="18">
        <f t="shared" si="73"/>
        <v>21.796923076923083</v>
      </c>
      <c r="K427" s="14">
        <v>37.92</v>
      </c>
      <c r="L427" s="18">
        <f t="shared" si="74"/>
        <v>27.224615384615383</v>
      </c>
      <c r="M427" s="18">
        <f t="shared" si="75"/>
        <v>10.695384615384619</v>
      </c>
      <c r="N427" s="15">
        <f t="shared" si="76"/>
        <v>140.4</v>
      </c>
      <c r="O427" s="15">
        <f t="shared" si="67"/>
        <v>100.8</v>
      </c>
      <c r="P427" s="15">
        <f t="shared" si="68"/>
        <v>39.600000000000009</v>
      </c>
      <c r="Q427" s="5">
        <f t="shared" si="69"/>
        <v>0.2820512820512821</v>
      </c>
    </row>
    <row r="428" spans="1:17" x14ac:dyDescent="0.25">
      <c r="A428" s="7">
        <v>46252.75</v>
      </c>
      <c r="B428" s="6">
        <v>0</v>
      </c>
      <c r="C428" s="13">
        <v>0</v>
      </c>
      <c r="D428" s="18">
        <f t="shared" si="66"/>
        <v>0</v>
      </c>
      <c r="E428" s="14">
        <v>248.85</v>
      </c>
      <c r="F428" s="18">
        <f t="shared" si="70"/>
        <v>0</v>
      </c>
      <c r="G428" s="18">
        <f t="shared" si="71"/>
        <v>248.85</v>
      </c>
      <c r="H428" s="14">
        <v>70.92</v>
      </c>
      <c r="I428" s="18">
        <f t="shared" si="72"/>
        <v>0</v>
      </c>
      <c r="J428" s="18">
        <f t="shared" si="73"/>
        <v>70.92</v>
      </c>
      <c r="K428" s="14">
        <v>26.28</v>
      </c>
      <c r="L428" s="18">
        <f t="shared" si="74"/>
        <v>0</v>
      </c>
      <c r="M428" s="18">
        <f t="shared" si="75"/>
        <v>26.28</v>
      </c>
      <c r="N428" s="15">
        <f t="shared" si="76"/>
        <v>346.04999999999995</v>
      </c>
      <c r="O428" s="15">
        <f t="shared" si="67"/>
        <v>0</v>
      </c>
      <c r="P428" s="15">
        <f t="shared" si="68"/>
        <v>346.04999999999995</v>
      </c>
      <c r="Q428" s="5">
        <f t="shared" si="69"/>
        <v>1</v>
      </c>
    </row>
    <row r="429" spans="1:17" x14ac:dyDescent="0.25">
      <c r="A429" s="7">
        <v>46252.791666666664</v>
      </c>
      <c r="B429" s="6">
        <v>0</v>
      </c>
      <c r="C429" s="13">
        <v>0</v>
      </c>
      <c r="D429" s="18">
        <f t="shared" si="66"/>
        <v>0</v>
      </c>
      <c r="E429" s="14">
        <v>182.7</v>
      </c>
      <c r="F429" s="18">
        <f t="shared" si="70"/>
        <v>0</v>
      </c>
      <c r="G429" s="18">
        <f t="shared" si="71"/>
        <v>182.7</v>
      </c>
      <c r="H429" s="14">
        <v>43.2</v>
      </c>
      <c r="I429" s="18">
        <f t="shared" si="72"/>
        <v>0</v>
      </c>
      <c r="J429" s="18">
        <f t="shared" si="73"/>
        <v>43.2</v>
      </c>
      <c r="K429" s="14">
        <v>35.04</v>
      </c>
      <c r="L429" s="18">
        <f t="shared" si="74"/>
        <v>0</v>
      </c>
      <c r="M429" s="18">
        <f t="shared" si="75"/>
        <v>35.04</v>
      </c>
      <c r="N429" s="15">
        <f t="shared" si="76"/>
        <v>260.94</v>
      </c>
      <c r="O429" s="15">
        <f t="shared" si="67"/>
        <v>0</v>
      </c>
      <c r="P429" s="15">
        <f t="shared" si="68"/>
        <v>260.94</v>
      </c>
      <c r="Q429" s="5">
        <f t="shared" si="69"/>
        <v>1</v>
      </c>
    </row>
    <row r="430" spans="1:17" x14ac:dyDescent="0.25">
      <c r="A430" s="7">
        <v>46252.833333333336</v>
      </c>
      <c r="B430" s="6">
        <v>0</v>
      </c>
      <c r="C430" s="13">
        <v>0</v>
      </c>
      <c r="D430" s="18">
        <f t="shared" si="66"/>
        <v>0</v>
      </c>
      <c r="E430" s="14">
        <v>283.5</v>
      </c>
      <c r="F430" s="18">
        <f t="shared" si="70"/>
        <v>0</v>
      </c>
      <c r="G430" s="18">
        <f t="shared" si="71"/>
        <v>283.5</v>
      </c>
      <c r="H430" s="14">
        <v>37.799999999999997</v>
      </c>
      <c r="I430" s="18">
        <f t="shared" si="72"/>
        <v>0</v>
      </c>
      <c r="J430" s="18">
        <f t="shared" si="73"/>
        <v>37.799999999999997</v>
      </c>
      <c r="K430" s="14">
        <v>2.76</v>
      </c>
      <c r="L430" s="18">
        <f t="shared" si="74"/>
        <v>0</v>
      </c>
      <c r="M430" s="18">
        <f t="shared" si="75"/>
        <v>2.76</v>
      </c>
      <c r="N430" s="15">
        <f t="shared" si="76"/>
        <v>324.06</v>
      </c>
      <c r="O430" s="15">
        <f t="shared" si="67"/>
        <v>0</v>
      </c>
      <c r="P430" s="15">
        <f t="shared" si="68"/>
        <v>324.06</v>
      </c>
      <c r="Q430" s="5">
        <f t="shared" si="69"/>
        <v>1</v>
      </c>
    </row>
    <row r="431" spans="1:17" x14ac:dyDescent="0.25">
      <c r="A431" s="7">
        <v>46252.875</v>
      </c>
      <c r="B431" s="6">
        <v>0</v>
      </c>
      <c r="C431" s="13">
        <v>0</v>
      </c>
      <c r="D431" s="18">
        <f t="shared" si="66"/>
        <v>0</v>
      </c>
      <c r="E431" s="14">
        <v>418.95</v>
      </c>
      <c r="F431" s="18">
        <f t="shared" si="70"/>
        <v>0</v>
      </c>
      <c r="G431" s="18">
        <f t="shared" si="71"/>
        <v>418.95</v>
      </c>
      <c r="H431" s="14">
        <v>42.12</v>
      </c>
      <c r="I431" s="18">
        <f t="shared" si="72"/>
        <v>0</v>
      </c>
      <c r="J431" s="18">
        <f t="shared" si="73"/>
        <v>42.12</v>
      </c>
      <c r="K431" s="14">
        <v>1.68</v>
      </c>
      <c r="L431" s="18">
        <f t="shared" si="74"/>
        <v>0</v>
      </c>
      <c r="M431" s="18">
        <f t="shared" si="75"/>
        <v>1.68</v>
      </c>
      <c r="N431" s="15">
        <f t="shared" si="76"/>
        <v>462.75</v>
      </c>
      <c r="O431" s="15">
        <f t="shared" si="67"/>
        <v>0</v>
      </c>
      <c r="P431" s="15">
        <f t="shared" si="68"/>
        <v>462.75</v>
      </c>
      <c r="Q431" s="5">
        <f t="shared" si="69"/>
        <v>1</v>
      </c>
    </row>
    <row r="432" spans="1:17" x14ac:dyDescent="0.25">
      <c r="A432" s="7">
        <v>46252.916666666664</v>
      </c>
      <c r="B432" s="6">
        <v>0</v>
      </c>
      <c r="C432" s="13">
        <v>0</v>
      </c>
      <c r="D432" s="18">
        <f t="shared" si="66"/>
        <v>0</v>
      </c>
      <c r="E432" s="14">
        <v>371.7</v>
      </c>
      <c r="F432" s="18">
        <f t="shared" si="70"/>
        <v>0</v>
      </c>
      <c r="G432" s="18">
        <f t="shared" si="71"/>
        <v>371.7</v>
      </c>
      <c r="H432" s="14">
        <v>43.2</v>
      </c>
      <c r="I432" s="18">
        <f t="shared" si="72"/>
        <v>0</v>
      </c>
      <c r="J432" s="18">
        <f t="shared" si="73"/>
        <v>43.2</v>
      </c>
      <c r="K432" s="14">
        <v>1.8</v>
      </c>
      <c r="L432" s="18">
        <f t="shared" si="74"/>
        <v>0</v>
      </c>
      <c r="M432" s="18">
        <f t="shared" si="75"/>
        <v>1.8</v>
      </c>
      <c r="N432" s="15">
        <f t="shared" si="76"/>
        <v>416.7</v>
      </c>
      <c r="O432" s="15">
        <f t="shared" si="67"/>
        <v>0</v>
      </c>
      <c r="P432" s="15">
        <f t="shared" si="68"/>
        <v>416.7</v>
      </c>
      <c r="Q432" s="5">
        <f t="shared" si="69"/>
        <v>1</v>
      </c>
    </row>
    <row r="433" spans="1:17" x14ac:dyDescent="0.25">
      <c r="A433" s="7">
        <v>46252.958333333336</v>
      </c>
      <c r="B433" s="6">
        <v>0</v>
      </c>
      <c r="C433" s="13">
        <v>0</v>
      </c>
      <c r="D433" s="18">
        <f t="shared" si="66"/>
        <v>0</v>
      </c>
      <c r="E433" s="14">
        <v>374.85</v>
      </c>
      <c r="F433" s="18">
        <f t="shared" si="70"/>
        <v>0</v>
      </c>
      <c r="G433" s="18">
        <f t="shared" si="71"/>
        <v>374.85</v>
      </c>
      <c r="H433" s="14">
        <v>42.6</v>
      </c>
      <c r="I433" s="18">
        <f t="shared" si="72"/>
        <v>0</v>
      </c>
      <c r="J433" s="18">
        <f t="shared" si="73"/>
        <v>42.6</v>
      </c>
      <c r="K433" s="14">
        <v>1.68</v>
      </c>
      <c r="L433" s="18">
        <f t="shared" si="74"/>
        <v>0</v>
      </c>
      <c r="M433" s="18">
        <f t="shared" si="75"/>
        <v>1.68</v>
      </c>
      <c r="N433" s="15">
        <f t="shared" si="76"/>
        <v>419.13000000000005</v>
      </c>
      <c r="O433" s="15">
        <f t="shared" si="67"/>
        <v>0</v>
      </c>
      <c r="P433" s="15">
        <f t="shared" si="68"/>
        <v>419.13000000000005</v>
      </c>
      <c r="Q433" s="5">
        <f t="shared" si="69"/>
        <v>1</v>
      </c>
    </row>
    <row r="434" spans="1:17" x14ac:dyDescent="0.25">
      <c r="A434" s="7">
        <v>46253</v>
      </c>
      <c r="B434" s="6">
        <v>0</v>
      </c>
      <c r="C434" s="13">
        <v>0</v>
      </c>
      <c r="D434" s="18">
        <f t="shared" si="66"/>
        <v>0</v>
      </c>
      <c r="E434" s="14">
        <v>403.2</v>
      </c>
      <c r="F434" s="18">
        <f t="shared" si="70"/>
        <v>0</v>
      </c>
      <c r="G434" s="18">
        <f t="shared" si="71"/>
        <v>403.2</v>
      </c>
      <c r="H434" s="14">
        <v>45.12</v>
      </c>
      <c r="I434" s="18">
        <f t="shared" si="72"/>
        <v>0</v>
      </c>
      <c r="J434" s="18">
        <f t="shared" si="73"/>
        <v>45.12</v>
      </c>
      <c r="K434" s="14">
        <v>1.8</v>
      </c>
      <c r="L434" s="18">
        <f t="shared" si="74"/>
        <v>0</v>
      </c>
      <c r="M434" s="18">
        <f t="shared" si="75"/>
        <v>1.8</v>
      </c>
      <c r="N434" s="15">
        <f t="shared" si="76"/>
        <v>450.12</v>
      </c>
      <c r="O434" s="15">
        <f t="shared" si="67"/>
        <v>0</v>
      </c>
      <c r="P434" s="15">
        <f t="shared" si="68"/>
        <v>450.12</v>
      </c>
      <c r="Q434" s="5">
        <f t="shared" si="69"/>
        <v>1</v>
      </c>
    </row>
    <row r="435" spans="1:17" x14ac:dyDescent="0.25">
      <c r="A435" s="7">
        <v>46253.041666666664</v>
      </c>
      <c r="B435" s="6">
        <v>0</v>
      </c>
      <c r="C435" s="13">
        <v>0</v>
      </c>
      <c r="D435" s="18">
        <f t="shared" si="66"/>
        <v>0</v>
      </c>
      <c r="E435" s="14">
        <v>173.25</v>
      </c>
      <c r="F435" s="18">
        <f t="shared" si="70"/>
        <v>0</v>
      </c>
      <c r="G435" s="18">
        <f t="shared" si="71"/>
        <v>173.25</v>
      </c>
      <c r="H435" s="14">
        <v>35.4</v>
      </c>
      <c r="I435" s="18">
        <f t="shared" si="72"/>
        <v>0</v>
      </c>
      <c r="J435" s="18">
        <f t="shared" si="73"/>
        <v>35.4</v>
      </c>
      <c r="K435" s="14">
        <v>1.8</v>
      </c>
      <c r="L435" s="18">
        <f t="shared" si="74"/>
        <v>0</v>
      </c>
      <c r="M435" s="18">
        <f t="shared" si="75"/>
        <v>1.8</v>
      </c>
      <c r="N435" s="15">
        <f t="shared" si="76"/>
        <v>210.45000000000002</v>
      </c>
      <c r="O435" s="15">
        <f t="shared" si="67"/>
        <v>0</v>
      </c>
      <c r="P435" s="15">
        <f t="shared" si="68"/>
        <v>210.45000000000002</v>
      </c>
      <c r="Q435" s="5">
        <f t="shared" si="69"/>
        <v>1</v>
      </c>
    </row>
    <row r="436" spans="1:17" x14ac:dyDescent="0.25">
      <c r="A436" s="7">
        <v>46253.083333333336</v>
      </c>
      <c r="B436" s="6">
        <v>0</v>
      </c>
      <c r="C436" s="13">
        <v>0</v>
      </c>
      <c r="D436" s="18">
        <f t="shared" si="66"/>
        <v>0</v>
      </c>
      <c r="E436" s="14">
        <v>340.2</v>
      </c>
      <c r="F436" s="18">
        <f t="shared" si="70"/>
        <v>0</v>
      </c>
      <c r="G436" s="18">
        <f t="shared" si="71"/>
        <v>340.2</v>
      </c>
      <c r="H436" s="14">
        <v>43.8</v>
      </c>
      <c r="I436" s="18">
        <f t="shared" si="72"/>
        <v>0</v>
      </c>
      <c r="J436" s="18">
        <f t="shared" si="73"/>
        <v>43.8</v>
      </c>
      <c r="K436" s="14">
        <v>1.68</v>
      </c>
      <c r="L436" s="18">
        <f t="shared" si="74"/>
        <v>0</v>
      </c>
      <c r="M436" s="18">
        <f t="shared" si="75"/>
        <v>1.68</v>
      </c>
      <c r="N436" s="15">
        <f t="shared" si="76"/>
        <v>385.68</v>
      </c>
      <c r="O436" s="15">
        <f t="shared" si="67"/>
        <v>0</v>
      </c>
      <c r="P436" s="15">
        <f t="shared" si="68"/>
        <v>385.68</v>
      </c>
      <c r="Q436" s="5">
        <f t="shared" si="69"/>
        <v>1</v>
      </c>
    </row>
    <row r="437" spans="1:17" x14ac:dyDescent="0.25">
      <c r="A437" s="7">
        <v>46253.125</v>
      </c>
      <c r="B437" s="6">
        <v>0</v>
      </c>
      <c r="C437" s="13">
        <v>0</v>
      </c>
      <c r="D437" s="18">
        <f t="shared" si="66"/>
        <v>0</v>
      </c>
      <c r="E437" s="14">
        <v>365.4</v>
      </c>
      <c r="F437" s="18">
        <f t="shared" si="70"/>
        <v>0</v>
      </c>
      <c r="G437" s="18">
        <f t="shared" si="71"/>
        <v>365.4</v>
      </c>
      <c r="H437" s="14">
        <v>46.56</v>
      </c>
      <c r="I437" s="18">
        <f t="shared" si="72"/>
        <v>0</v>
      </c>
      <c r="J437" s="18">
        <f t="shared" si="73"/>
        <v>46.56</v>
      </c>
      <c r="K437" s="14">
        <v>2.16</v>
      </c>
      <c r="L437" s="18">
        <f t="shared" si="74"/>
        <v>0</v>
      </c>
      <c r="M437" s="18">
        <f t="shared" si="75"/>
        <v>2.16</v>
      </c>
      <c r="N437" s="15">
        <f t="shared" si="76"/>
        <v>414.12</v>
      </c>
      <c r="O437" s="15">
        <f t="shared" si="67"/>
        <v>0</v>
      </c>
      <c r="P437" s="15">
        <f t="shared" si="68"/>
        <v>414.12</v>
      </c>
      <c r="Q437" s="5">
        <f t="shared" si="69"/>
        <v>1</v>
      </c>
    </row>
    <row r="438" spans="1:17" x14ac:dyDescent="0.25">
      <c r="A438" s="7">
        <v>46253.166666666664</v>
      </c>
      <c r="B438" s="6">
        <v>0</v>
      </c>
      <c r="C438" s="13">
        <v>0</v>
      </c>
      <c r="D438" s="18">
        <f t="shared" si="66"/>
        <v>0</v>
      </c>
      <c r="E438" s="14">
        <v>469.35</v>
      </c>
      <c r="F438" s="18">
        <f t="shared" si="70"/>
        <v>0</v>
      </c>
      <c r="G438" s="18">
        <f t="shared" si="71"/>
        <v>469.35</v>
      </c>
      <c r="H438" s="14">
        <v>47.28</v>
      </c>
      <c r="I438" s="18">
        <f t="shared" si="72"/>
        <v>0</v>
      </c>
      <c r="J438" s="18">
        <f t="shared" si="73"/>
        <v>47.28</v>
      </c>
      <c r="K438" s="14">
        <v>3.48</v>
      </c>
      <c r="L438" s="18">
        <f t="shared" si="74"/>
        <v>0</v>
      </c>
      <c r="M438" s="18">
        <f t="shared" si="75"/>
        <v>3.48</v>
      </c>
      <c r="N438" s="15">
        <f t="shared" si="76"/>
        <v>520.11</v>
      </c>
      <c r="O438" s="15">
        <f t="shared" si="67"/>
        <v>0</v>
      </c>
      <c r="P438" s="15">
        <f t="shared" si="68"/>
        <v>520.11</v>
      </c>
      <c r="Q438" s="5">
        <f t="shared" si="69"/>
        <v>1</v>
      </c>
    </row>
    <row r="439" spans="1:17" x14ac:dyDescent="0.25">
      <c r="A439" s="7">
        <v>46253.208333333336</v>
      </c>
      <c r="B439" s="6">
        <v>0</v>
      </c>
      <c r="C439" s="13">
        <v>0</v>
      </c>
      <c r="D439" s="18">
        <f t="shared" si="66"/>
        <v>0</v>
      </c>
      <c r="E439" s="14">
        <v>456.75</v>
      </c>
      <c r="F439" s="18">
        <f t="shared" si="70"/>
        <v>0</v>
      </c>
      <c r="G439" s="18">
        <f t="shared" si="71"/>
        <v>456.75</v>
      </c>
      <c r="H439" s="14">
        <v>46.44</v>
      </c>
      <c r="I439" s="18">
        <f t="shared" si="72"/>
        <v>0</v>
      </c>
      <c r="J439" s="18">
        <f t="shared" si="73"/>
        <v>46.44</v>
      </c>
      <c r="K439" s="14">
        <v>3.6</v>
      </c>
      <c r="L439" s="18">
        <f t="shared" si="74"/>
        <v>0</v>
      </c>
      <c r="M439" s="18">
        <f t="shared" si="75"/>
        <v>3.6</v>
      </c>
      <c r="N439" s="15">
        <f t="shared" si="76"/>
        <v>506.79</v>
      </c>
      <c r="O439" s="15">
        <f t="shared" si="67"/>
        <v>0</v>
      </c>
      <c r="P439" s="15">
        <f t="shared" si="68"/>
        <v>506.79</v>
      </c>
      <c r="Q439" s="5">
        <f t="shared" si="69"/>
        <v>1</v>
      </c>
    </row>
    <row r="440" spans="1:17" x14ac:dyDescent="0.25">
      <c r="A440" s="7">
        <v>46253.25</v>
      </c>
      <c r="B440" s="6">
        <v>0</v>
      </c>
      <c r="C440" s="13">
        <v>0</v>
      </c>
      <c r="D440" s="18">
        <f t="shared" si="66"/>
        <v>0</v>
      </c>
      <c r="E440" s="14">
        <v>204.75</v>
      </c>
      <c r="F440" s="18">
        <f t="shared" si="70"/>
        <v>0</v>
      </c>
      <c r="G440" s="18">
        <f t="shared" si="71"/>
        <v>204.75</v>
      </c>
      <c r="H440" s="14">
        <v>42</v>
      </c>
      <c r="I440" s="18">
        <f t="shared" si="72"/>
        <v>0</v>
      </c>
      <c r="J440" s="18">
        <f t="shared" si="73"/>
        <v>42</v>
      </c>
      <c r="K440" s="14">
        <v>4.08</v>
      </c>
      <c r="L440" s="18">
        <f t="shared" si="74"/>
        <v>0</v>
      </c>
      <c r="M440" s="18">
        <f t="shared" si="75"/>
        <v>4.08</v>
      </c>
      <c r="N440" s="15">
        <f t="shared" si="76"/>
        <v>250.83</v>
      </c>
      <c r="O440" s="15">
        <f t="shared" si="67"/>
        <v>0</v>
      </c>
      <c r="P440" s="15">
        <f t="shared" si="68"/>
        <v>250.83</v>
      </c>
      <c r="Q440" s="5">
        <f t="shared" si="69"/>
        <v>1</v>
      </c>
    </row>
    <row r="441" spans="1:17" x14ac:dyDescent="0.25">
      <c r="A441" s="7">
        <v>46253.291666666664</v>
      </c>
      <c r="B441" s="6">
        <v>56.7</v>
      </c>
      <c r="C441" s="13">
        <v>0</v>
      </c>
      <c r="D441" s="18">
        <f t="shared" si="66"/>
        <v>56.7</v>
      </c>
      <c r="E441" s="14">
        <v>31.5</v>
      </c>
      <c r="F441" s="18">
        <f t="shared" si="70"/>
        <v>28.540268456375838</v>
      </c>
      <c r="G441" s="18">
        <f t="shared" si="71"/>
        <v>2.9597315436241622</v>
      </c>
      <c r="H441" s="14">
        <v>26.76</v>
      </c>
      <c r="I441" s="18">
        <f t="shared" si="72"/>
        <v>24.245637583892616</v>
      </c>
      <c r="J441" s="18">
        <f t="shared" si="73"/>
        <v>2.5143624161073834</v>
      </c>
      <c r="K441" s="14">
        <v>4.32</v>
      </c>
      <c r="L441" s="18">
        <f t="shared" si="74"/>
        <v>3.9140939597315438</v>
      </c>
      <c r="M441" s="18">
        <f t="shared" si="75"/>
        <v>0.40590604026845656</v>
      </c>
      <c r="N441" s="15">
        <f t="shared" si="76"/>
        <v>62.580000000000005</v>
      </c>
      <c r="O441" s="15">
        <f t="shared" si="67"/>
        <v>56.7</v>
      </c>
      <c r="P441" s="15">
        <f t="shared" si="68"/>
        <v>5.8800000000000026</v>
      </c>
      <c r="Q441" s="5">
        <f t="shared" si="69"/>
        <v>9.3959731543624192E-2</v>
      </c>
    </row>
    <row r="442" spans="1:17" x14ac:dyDescent="0.25">
      <c r="A442" s="7">
        <v>46253.333333333336</v>
      </c>
      <c r="B442" s="6">
        <v>434.7</v>
      </c>
      <c r="C442" s="13">
        <v>0</v>
      </c>
      <c r="D442" s="18">
        <f t="shared" si="66"/>
        <v>434.7</v>
      </c>
      <c r="E442" s="14">
        <v>9.4499999999999993</v>
      </c>
      <c r="F442" s="18">
        <f t="shared" si="70"/>
        <v>9.4499999999999993</v>
      </c>
      <c r="G442" s="18">
        <f t="shared" si="71"/>
        <v>0</v>
      </c>
      <c r="H442" s="14">
        <v>162.24</v>
      </c>
      <c r="I442" s="18">
        <f t="shared" si="72"/>
        <v>162.24</v>
      </c>
      <c r="J442" s="18">
        <f t="shared" si="73"/>
        <v>0</v>
      </c>
      <c r="K442" s="14">
        <v>1.44</v>
      </c>
      <c r="L442" s="18">
        <f t="shared" si="74"/>
        <v>1.44</v>
      </c>
      <c r="M442" s="18">
        <f t="shared" si="75"/>
        <v>0</v>
      </c>
      <c r="N442" s="15">
        <f t="shared" si="76"/>
        <v>173.13</v>
      </c>
      <c r="O442" s="15">
        <f t="shared" si="67"/>
        <v>173.13</v>
      </c>
      <c r="P442" s="15">
        <f t="shared" si="68"/>
        <v>0</v>
      </c>
      <c r="Q442" s="5">
        <f t="shared" si="69"/>
        <v>0</v>
      </c>
    </row>
    <row r="443" spans="1:17" x14ac:dyDescent="0.25">
      <c r="A443" s="7">
        <v>46253.375</v>
      </c>
      <c r="B443" s="6">
        <v>1634.85</v>
      </c>
      <c r="C443" s="13">
        <v>0</v>
      </c>
      <c r="D443" s="18">
        <f t="shared" si="66"/>
        <v>1634.85</v>
      </c>
      <c r="E443" s="14">
        <v>0</v>
      </c>
      <c r="F443" s="18">
        <f t="shared" si="70"/>
        <v>0</v>
      </c>
      <c r="G443" s="18">
        <f t="shared" si="71"/>
        <v>0</v>
      </c>
      <c r="H443" s="14">
        <v>118.8</v>
      </c>
      <c r="I443" s="18">
        <f t="shared" si="72"/>
        <v>118.8</v>
      </c>
      <c r="J443" s="18">
        <f t="shared" si="73"/>
        <v>0</v>
      </c>
      <c r="K443" s="14">
        <v>39.36</v>
      </c>
      <c r="L443" s="18">
        <f t="shared" si="74"/>
        <v>39.36</v>
      </c>
      <c r="M443" s="18">
        <f t="shared" si="75"/>
        <v>0</v>
      </c>
      <c r="N443" s="15">
        <f t="shared" si="76"/>
        <v>158.16</v>
      </c>
      <c r="O443" s="15">
        <f t="shared" si="67"/>
        <v>158.16</v>
      </c>
      <c r="P443" s="15">
        <f t="shared" si="68"/>
        <v>0</v>
      </c>
      <c r="Q443" s="5">
        <f t="shared" si="69"/>
        <v>0</v>
      </c>
    </row>
    <row r="444" spans="1:17" x14ac:dyDescent="0.25">
      <c r="A444" s="7">
        <v>46253.416666666664</v>
      </c>
      <c r="B444" s="6">
        <v>1845.9</v>
      </c>
      <c r="C444" s="13">
        <v>2.16</v>
      </c>
      <c r="D444" s="18">
        <f t="shared" si="66"/>
        <v>1848.0600000000002</v>
      </c>
      <c r="E444" s="14">
        <v>0</v>
      </c>
      <c r="F444" s="18">
        <f t="shared" si="70"/>
        <v>0</v>
      </c>
      <c r="G444" s="18">
        <f t="shared" si="71"/>
        <v>0</v>
      </c>
      <c r="H444" s="14">
        <v>72.36</v>
      </c>
      <c r="I444" s="18">
        <f t="shared" si="72"/>
        <v>72.36</v>
      </c>
      <c r="J444" s="18">
        <f t="shared" si="73"/>
        <v>0</v>
      </c>
      <c r="K444" s="14">
        <v>51</v>
      </c>
      <c r="L444" s="18">
        <f t="shared" si="74"/>
        <v>51</v>
      </c>
      <c r="M444" s="18">
        <f t="shared" si="75"/>
        <v>0</v>
      </c>
      <c r="N444" s="15">
        <f t="shared" si="76"/>
        <v>123.36</v>
      </c>
      <c r="O444" s="15">
        <f t="shared" si="67"/>
        <v>123.36</v>
      </c>
      <c r="P444" s="15">
        <f t="shared" si="68"/>
        <v>0</v>
      </c>
      <c r="Q444" s="5">
        <f t="shared" si="69"/>
        <v>0</v>
      </c>
    </row>
    <row r="445" spans="1:17" x14ac:dyDescent="0.25">
      <c r="A445" s="7">
        <v>46253.458333333336</v>
      </c>
      <c r="B445" s="6">
        <v>2066.4</v>
      </c>
      <c r="C445" s="13">
        <v>30.6</v>
      </c>
      <c r="D445" s="18">
        <f t="shared" si="66"/>
        <v>2097</v>
      </c>
      <c r="E445" s="14">
        <v>0</v>
      </c>
      <c r="F445" s="18">
        <f t="shared" si="70"/>
        <v>0</v>
      </c>
      <c r="G445" s="18">
        <f t="shared" si="71"/>
        <v>0</v>
      </c>
      <c r="H445" s="14">
        <v>20.88</v>
      </c>
      <c r="I445" s="18">
        <f t="shared" si="72"/>
        <v>20.88</v>
      </c>
      <c r="J445" s="18">
        <f t="shared" si="73"/>
        <v>0</v>
      </c>
      <c r="K445" s="14">
        <v>68.040000000000006</v>
      </c>
      <c r="L445" s="18">
        <f t="shared" si="74"/>
        <v>68.040000000000006</v>
      </c>
      <c r="M445" s="18">
        <f t="shared" si="75"/>
        <v>0</v>
      </c>
      <c r="N445" s="15">
        <f t="shared" si="76"/>
        <v>88.92</v>
      </c>
      <c r="O445" s="15">
        <f t="shared" si="67"/>
        <v>88.92</v>
      </c>
      <c r="P445" s="15">
        <f t="shared" si="68"/>
        <v>0</v>
      </c>
      <c r="Q445" s="5">
        <f t="shared" si="69"/>
        <v>0</v>
      </c>
    </row>
    <row r="446" spans="1:17" x14ac:dyDescent="0.25">
      <c r="A446" s="7">
        <v>46253.5</v>
      </c>
      <c r="B446" s="6">
        <v>2586.15</v>
      </c>
      <c r="C446" s="13">
        <v>53.52</v>
      </c>
      <c r="D446" s="18">
        <f t="shared" si="66"/>
        <v>2639.67</v>
      </c>
      <c r="E446" s="14">
        <v>0</v>
      </c>
      <c r="F446" s="18">
        <f t="shared" si="70"/>
        <v>0</v>
      </c>
      <c r="G446" s="18">
        <f t="shared" si="71"/>
        <v>0</v>
      </c>
      <c r="H446" s="14">
        <v>7.2</v>
      </c>
      <c r="I446" s="18">
        <f t="shared" si="72"/>
        <v>7.2</v>
      </c>
      <c r="J446" s="18">
        <f t="shared" si="73"/>
        <v>0</v>
      </c>
      <c r="K446" s="14">
        <v>61.68</v>
      </c>
      <c r="L446" s="18">
        <f t="shared" si="74"/>
        <v>61.68</v>
      </c>
      <c r="M446" s="18">
        <f t="shared" si="75"/>
        <v>0</v>
      </c>
      <c r="N446" s="15">
        <f t="shared" si="76"/>
        <v>68.88</v>
      </c>
      <c r="O446" s="15">
        <f t="shared" si="67"/>
        <v>68.88</v>
      </c>
      <c r="P446" s="15">
        <f t="shared" si="68"/>
        <v>0</v>
      </c>
      <c r="Q446" s="5">
        <f t="shared" si="69"/>
        <v>0</v>
      </c>
    </row>
    <row r="447" spans="1:17" x14ac:dyDescent="0.25">
      <c r="A447" s="7">
        <v>46253.541666666664</v>
      </c>
      <c r="B447" s="6">
        <v>1804.95</v>
      </c>
      <c r="C447" s="13">
        <v>12.48</v>
      </c>
      <c r="D447" s="18">
        <f t="shared" si="66"/>
        <v>1817.43</v>
      </c>
      <c r="E447" s="14">
        <v>0</v>
      </c>
      <c r="F447" s="18">
        <f t="shared" si="70"/>
        <v>0</v>
      </c>
      <c r="G447" s="18">
        <f t="shared" si="71"/>
        <v>0</v>
      </c>
      <c r="H447" s="14">
        <v>40.44</v>
      </c>
      <c r="I447" s="18">
        <f t="shared" si="72"/>
        <v>40.44</v>
      </c>
      <c r="J447" s="18">
        <f t="shared" si="73"/>
        <v>0</v>
      </c>
      <c r="K447" s="14">
        <v>70.44</v>
      </c>
      <c r="L447" s="18">
        <f t="shared" si="74"/>
        <v>70.44</v>
      </c>
      <c r="M447" s="18">
        <f t="shared" si="75"/>
        <v>0</v>
      </c>
      <c r="N447" s="15">
        <f t="shared" si="76"/>
        <v>110.88</v>
      </c>
      <c r="O447" s="15">
        <f t="shared" si="67"/>
        <v>110.88</v>
      </c>
      <c r="P447" s="15">
        <f t="shared" si="68"/>
        <v>0</v>
      </c>
      <c r="Q447" s="5">
        <f t="shared" si="69"/>
        <v>0</v>
      </c>
    </row>
    <row r="448" spans="1:17" x14ac:dyDescent="0.25">
      <c r="A448" s="7">
        <v>46253.583333333336</v>
      </c>
      <c r="B448" s="6">
        <v>1748.25</v>
      </c>
      <c r="C448" s="13">
        <v>18.36</v>
      </c>
      <c r="D448" s="18">
        <f t="shared" si="66"/>
        <v>1766.61</v>
      </c>
      <c r="E448" s="14">
        <v>0</v>
      </c>
      <c r="F448" s="18">
        <f t="shared" si="70"/>
        <v>0</v>
      </c>
      <c r="G448" s="18">
        <f t="shared" si="71"/>
        <v>0</v>
      </c>
      <c r="H448" s="14">
        <v>47.28</v>
      </c>
      <c r="I448" s="18">
        <f t="shared" si="72"/>
        <v>47.28</v>
      </c>
      <c r="J448" s="18">
        <f t="shared" si="73"/>
        <v>0</v>
      </c>
      <c r="K448" s="14">
        <v>71.52</v>
      </c>
      <c r="L448" s="18">
        <f t="shared" si="74"/>
        <v>71.52</v>
      </c>
      <c r="M448" s="18">
        <f t="shared" si="75"/>
        <v>0</v>
      </c>
      <c r="N448" s="15">
        <f t="shared" si="76"/>
        <v>118.8</v>
      </c>
      <c r="O448" s="15">
        <f t="shared" si="67"/>
        <v>118.8</v>
      </c>
      <c r="P448" s="15">
        <f t="shared" si="68"/>
        <v>0</v>
      </c>
      <c r="Q448" s="5">
        <f t="shared" si="69"/>
        <v>0</v>
      </c>
    </row>
    <row r="449" spans="1:17" x14ac:dyDescent="0.25">
      <c r="A449" s="7">
        <v>46253.625</v>
      </c>
      <c r="B449" s="6">
        <v>620.54999999999995</v>
      </c>
      <c r="C449" s="13">
        <v>0.12</v>
      </c>
      <c r="D449" s="18">
        <f t="shared" si="66"/>
        <v>620.66999999999996</v>
      </c>
      <c r="E449" s="14">
        <v>0</v>
      </c>
      <c r="F449" s="18">
        <f t="shared" si="70"/>
        <v>0</v>
      </c>
      <c r="G449" s="18">
        <f t="shared" si="71"/>
        <v>0</v>
      </c>
      <c r="H449" s="14">
        <v>96.72</v>
      </c>
      <c r="I449" s="18">
        <f t="shared" si="72"/>
        <v>96.72</v>
      </c>
      <c r="J449" s="18">
        <f t="shared" si="73"/>
        <v>0</v>
      </c>
      <c r="K449" s="14">
        <v>56.28</v>
      </c>
      <c r="L449" s="18">
        <f t="shared" si="74"/>
        <v>56.28</v>
      </c>
      <c r="M449" s="18">
        <f t="shared" si="75"/>
        <v>0</v>
      </c>
      <c r="N449" s="15">
        <f t="shared" si="76"/>
        <v>153</v>
      </c>
      <c r="O449" s="15">
        <f t="shared" si="67"/>
        <v>153</v>
      </c>
      <c r="P449" s="15">
        <f t="shared" si="68"/>
        <v>0</v>
      </c>
      <c r="Q449" s="5">
        <f t="shared" si="69"/>
        <v>0</v>
      </c>
    </row>
    <row r="450" spans="1:17" x14ac:dyDescent="0.25">
      <c r="A450" s="7">
        <v>46253.666666666664</v>
      </c>
      <c r="B450" s="6">
        <v>261.45</v>
      </c>
      <c r="C450" s="13">
        <v>0</v>
      </c>
      <c r="D450" s="18">
        <f t="shared" ref="D450:D513" si="77">+B450+C450</f>
        <v>261.45</v>
      </c>
      <c r="E450" s="14">
        <v>0</v>
      </c>
      <c r="F450" s="18">
        <f t="shared" si="70"/>
        <v>0</v>
      </c>
      <c r="G450" s="18">
        <f t="shared" si="71"/>
        <v>0</v>
      </c>
      <c r="H450" s="14">
        <v>74.400000000000006</v>
      </c>
      <c r="I450" s="18">
        <f t="shared" si="72"/>
        <v>74.400000000000006</v>
      </c>
      <c r="J450" s="18">
        <f t="shared" si="73"/>
        <v>0</v>
      </c>
      <c r="K450" s="14">
        <v>62.04</v>
      </c>
      <c r="L450" s="18">
        <f t="shared" si="74"/>
        <v>62.04</v>
      </c>
      <c r="M450" s="18">
        <f t="shared" si="75"/>
        <v>0</v>
      </c>
      <c r="N450" s="15">
        <f t="shared" si="76"/>
        <v>136.44</v>
      </c>
      <c r="O450" s="15">
        <f t="shared" ref="O450:O513" si="78">+N450-P450</f>
        <v>136.44</v>
      </c>
      <c r="P450" s="15">
        <f t="shared" ref="P450:P513" si="79">+IF(N450&gt;D450,N450-D450,0)</f>
        <v>0</v>
      </c>
      <c r="Q450" s="5">
        <f t="shared" ref="Q450:Q513" si="80">+IF(P450=0,P450,P450/N450)</f>
        <v>0</v>
      </c>
    </row>
    <row r="451" spans="1:17" x14ac:dyDescent="0.25">
      <c r="A451" s="7">
        <v>46253.708333333336</v>
      </c>
      <c r="B451" s="6">
        <v>138.6</v>
      </c>
      <c r="C451" s="13">
        <v>0</v>
      </c>
      <c r="D451" s="18">
        <f t="shared" si="77"/>
        <v>138.6</v>
      </c>
      <c r="E451" s="14">
        <v>50.4</v>
      </c>
      <c r="F451" s="18">
        <f t="shared" ref="F451:F514" si="81">+E451-G451</f>
        <v>32.943972835314085</v>
      </c>
      <c r="G451" s="18">
        <f t="shared" ref="G451:G514" si="82">+E451*Q451</f>
        <v>17.456027164685914</v>
      </c>
      <c r="H451" s="14">
        <v>83.28</v>
      </c>
      <c r="I451" s="18">
        <f t="shared" ref="I451:I514" si="83">+H451-J451</f>
        <v>54.435993208828513</v>
      </c>
      <c r="J451" s="18">
        <f t="shared" ref="J451:J514" si="84">+H451*Q451</f>
        <v>28.844006791171488</v>
      </c>
      <c r="K451" s="14">
        <v>78.36</v>
      </c>
      <c r="L451" s="18">
        <f t="shared" ref="L451:L514" si="85">+K451-M451</f>
        <v>51.220033955857375</v>
      </c>
      <c r="M451" s="18">
        <f t="shared" ref="M451:M514" si="86">+K451*Q451</f>
        <v>27.139966044142621</v>
      </c>
      <c r="N451" s="15">
        <f t="shared" ref="N451:N514" si="87">+E451+H451+K451</f>
        <v>212.04000000000002</v>
      </c>
      <c r="O451" s="15">
        <f t="shared" si="78"/>
        <v>138.6</v>
      </c>
      <c r="P451" s="15">
        <f t="shared" si="79"/>
        <v>73.440000000000026</v>
      </c>
      <c r="Q451" s="5">
        <f t="shared" si="80"/>
        <v>0.34634974533106971</v>
      </c>
    </row>
    <row r="452" spans="1:17" x14ac:dyDescent="0.25">
      <c r="A452" s="7">
        <v>46253.75</v>
      </c>
      <c r="B452" s="6">
        <v>9.4499999999999993</v>
      </c>
      <c r="C452" s="13">
        <v>0</v>
      </c>
      <c r="D452" s="18">
        <f t="shared" si="77"/>
        <v>9.4499999999999993</v>
      </c>
      <c r="E452" s="14">
        <v>100.8</v>
      </c>
      <c r="F452" s="18">
        <f t="shared" si="81"/>
        <v>4.4847457627118672</v>
      </c>
      <c r="G452" s="18">
        <f t="shared" si="82"/>
        <v>96.31525423728813</v>
      </c>
      <c r="H452" s="14">
        <v>64.680000000000007</v>
      </c>
      <c r="I452" s="18">
        <f t="shared" si="83"/>
        <v>2.877711864406777</v>
      </c>
      <c r="J452" s="18">
        <f t="shared" si="84"/>
        <v>61.80228813559323</v>
      </c>
      <c r="K452" s="14">
        <v>46.92</v>
      </c>
      <c r="L452" s="18">
        <f t="shared" si="85"/>
        <v>2.0875423728813587</v>
      </c>
      <c r="M452" s="18">
        <f t="shared" si="86"/>
        <v>44.832457627118643</v>
      </c>
      <c r="N452" s="15">
        <f t="shared" si="87"/>
        <v>212.40000000000003</v>
      </c>
      <c r="O452" s="15">
        <f t="shared" si="78"/>
        <v>9.4499999999999886</v>
      </c>
      <c r="P452" s="15">
        <f t="shared" si="79"/>
        <v>202.95000000000005</v>
      </c>
      <c r="Q452" s="5">
        <f t="shared" si="80"/>
        <v>0.95550847457627119</v>
      </c>
    </row>
    <row r="453" spans="1:17" x14ac:dyDescent="0.25">
      <c r="A453" s="7">
        <v>46253.791666666664</v>
      </c>
      <c r="B453" s="6">
        <v>0</v>
      </c>
      <c r="C453" s="13">
        <v>0</v>
      </c>
      <c r="D453" s="18">
        <f t="shared" si="77"/>
        <v>0</v>
      </c>
      <c r="E453" s="14">
        <v>233.1</v>
      </c>
      <c r="F453" s="18">
        <f t="shared" si="81"/>
        <v>0</v>
      </c>
      <c r="G453" s="18">
        <f t="shared" si="82"/>
        <v>233.1</v>
      </c>
      <c r="H453" s="14">
        <v>57.96</v>
      </c>
      <c r="I453" s="18">
        <f t="shared" si="83"/>
        <v>0</v>
      </c>
      <c r="J453" s="18">
        <f t="shared" si="84"/>
        <v>57.96</v>
      </c>
      <c r="K453" s="14">
        <v>30.72</v>
      </c>
      <c r="L453" s="18">
        <f t="shared" si="85"/>
        <v>0</v>
      </c>
      <c r="M453" s="18">
        <f t="shared" si="86"/>
        <v>30.72</v>
      </c>
      <c r="N453" s="15">
        <f t="shared" si="87"/>
        <v>321.77999999999997</v>
      </c>
      <c r="O453" s="15">
        <f t="shared" si="78"/>
        <v>0</v>
      </c>
      <c r="P453" s="15">
        <f t="shared" si="79"/>
        <v>321.77999999999997</v>
      </c>
      <c r="Q453" s="5">
        <f t="shared" si="80"/>
        <v>1</v>
      </c>
    </row>
    <row r="454" spans="1:17" x14ac:dyDescent="0.25">
      <c r="A454" s="7">
        <v>46253.833333333336</v>
      </c>
      <c r="B454" s="6">
        <v>0</v>
      </c>
      <c r="C454" s="13">
        <v>0</v>
      </c>
      <c r="D454" s="18">
        <f t="shared" si="77"/>
        <v>0</v>
      </c>
      <c r="E454" s="14">
        <v>233.1</v>
      </c>
      <c r="F454" s="18">
        <f t="shared" si="81"/>
        <v>0</v>
      </c>
      <c r="G454" s="18">
        <f t="shared" si="82"/>
        <v>233.1</v>
      </c>
      <c r="H454" s="14">
        <v>46.92</v>
      </c>
      <c r="I454" s="18">
        <f t="shared" si="83"/>
        <v>0</v>
      </c>
      <c r="J454" s="18">
        <f t="shared" si="84"/>
        <v>46.92</v>
      </c>
      <c r="K454" s="14">
        <v>18.84</v>
      </c>
      <c r="L454" s="18">
        <f t="shared" si="85"/>
        <v>0</v>
      </c>
      <c r="M454" s="18">
        <f t="shared" si="86"/>
        <v>18.84</v>
      </c>
      <c r="N454" s="15">
        <f t="shared" si="87"/>
        <v>298.85999999999996</v>
      </c>
      <c r="O454" s="15">
        <f t="shared" si="78"/>
        <v>0</v>
      </c>
      <c r="P454" s="15">
        <f t="shared" si="79"/>
        <v>298.85999999999996</v>
      </c>
      <c r="Q454" s="5">
        <f t="shared" si="80"/>
        <v>1</v>
      </c>
    </row>
    <row r="455" spans="1:17" x14ac:dyDescent="0.25">
      <c r="A455" s="7">
        <v>46253.875</v>
      </c>
      <c r="B455" s="6">
        <v>0</v>
      </c>
      <c r="C455" s="13">
        <v>0</v>
      </c>
      <c r="D455" s="18">
        <f t="shared" si="77"/>
        <v>0</v>
      </c>
      <c r="E455" s="14">
        <v>428.4</v>
      </c>
      <c r="F455" s="18">
        <f t="shared" si="81"/>
        <v>0</v>
      </c>
      <c r="G455" s="18">
        <f t="shared" si="82"/>
        <v>428.4</v>
      </c>
      <c r="H455" s="14">
        <v>45.24</v>
      </c>
      <c r="I455" s="18">
        <f t="shared" si="83"/>
        <v>0</v>
      </c>
      <c r="J455" s="18">
        <f t="shared" si="84"/>
        <v>45.24</v>
      </c>
      <c r="K455" s="14">
        <v>13.68</v>
      </c>
      <c r="L455" s="18">
        <f t="shared" si="85"/>
        <v>0</v>
      </c>
      <c r="M455" s="18">
        <f t="shared" si="86"/>
        <v>13.68</v>
      </c>
      <c r="N455" s="15">
        <f t="shared" si="87"/>
        <v>487.32</v>
      </c>
      <c r="O455" s="15">
        <f t="shared" si="78"/>
        <v>0</v>
      </c>
      <c r="P455" s="15">
        <f t="shared" si="79"/>
        <v>487.32</v>
      </c>
      <c r="Q455" s="5">
        <f t="shared" si="80"/>
        <v>1</v>
      </c>
    </row>
    <row r="456" spans="1:17" x14ac:dyDescent="0.25">
      <c r="A456" s="7">
        <v>46253.916666666664</v>
      </c>
      <c r="B456" s="6">
        <v>0</v>
      </c>
      <c r="C456" s="13">
        <v>0</v>
      </c>
      <c r="D456" s="18">
        <f t="shared" si="77"/>
        <v>0</v>
      </c>
      <c r="E456" s="14">
        <v>378</v>
      </c>
      <c r="F456" s="18">
        <f t="shared" si="81"/>
        <v>0</v>
      </c>
      <c r="G456" s="18">
        <f t="shared" si="82"/>
        <v>378</v>
      </c>
      <c r="H456" s="14">
        <v>44.76</v>
      </c>
      <c r="I456" s="18">
        <f t="shared" si="83"/>
        <v>0</v>
      </c>
      <c r="J456" s="18">
        <f t="shared" si="84"/>
        <v>44.76</v>
      </c>
      <c r="K456" s="14">
        <v>2.4</v>
      </c>
      <c r="L456" s="18">
        <f t="shared" si="85"/>
        <v>0</v>
      </c>
      <c r="M456" s="18">
        <f t="shared" si="86"/>
        <v>2.4</v>
      </c>
      <c r="N456" s="15">
        <f t="shared" si="87"/>
        <v>425.15999999999997</v>
      </c>
      <c r="O456" s="15">
        <f t="shared" si="78"/>
        <v>0</v>
      </c>
      <c r="P456" s="15">
        <f t="shared" si="79"/>
        <v>425.15999999999997</v>
      </c>
      <c r="Q456" s="5">
        <f t="shared" si="80"/>
        <v>1</v>
      </c>
    </row>
    <row r="457" spans="1:17" x14ac:dyDescent="0.25">
      <c r="A457" s="7">
        <v>46253.958333333336</v>
      </c>
      <c r="B457" s="6">
        <v>0</v>
      </c>
      <c r="C457" s="13">
        <v>0</v>
      </c>
      <c r="D457" s="18">
        <f t="shared" si="77"/>
        <v>0</v>
      </c>
      <c r="E457" s="14">
        <v>355.95</v>
      </c>
      <c r="F457" s="18">
        <f t="shared" si="81"/>
        <v>0</v>
      </c>
      <c r="G457" s="18">
        <f t="shared" si="82"/>
        <v>355.95</v>
      </c>
      <c r="H457" s="14">
        <v>44.52</v>
      </c>
      <c r="I457" s="18">
        <f t="shared" si="83"/>
        <v>0</v>
      </c>
      <c r="J457" s="18">
        <f t="shared" si="84"/>
        <v>44.52</v>
      </c>
      <c r="K457" s="14">
        <v>1.92</v>
      </c>
      <c r="L457" s="18">
        <f t="shared" si="85"/>
        <v>0</v>
      </c>
      <c r="M457" s="18">
        <f t="shared" si="86"/>
        <v>1.92</v>
      </c>
      <c r="N457" s="15">
        <f t="shared" si="87"/>
        <v>402.39</v>
      </c>
      <c r="O457" s="15">
        <f t="shared" si="78"/>
        <v>0</v>
      </c>
      <c r="P457" s="15">
        <f t="shared" si="79"/>
        <v>402.39</v>
      </c>
      <c r="Q457" s="5">
        <f t="shared" si="80"/>
        <v>1</v>
      </c>
    </row>
    <row r="458" spans="1:17" x14ac:dyDescent="0.25">
      <c r="A458" s="7">
        <v>46254</v>
      </c>
      <c r="B458" s="6">
        <v>0</v>
      </c>
      <c r="C458" s="13">
        <v>0</v>
      </c>
      <c r="D458" s="18">
        <f t="shared" si="77"/>
        <v>0</v>
      </c>
      <c r="E458" s="14">
        <v>346.5</v>
      </c>
      <c r="F458" s="18">
        <f t="shared" si="81"/>
        <v>0</v>
      </c>
      <c r="G458" s="18">
        <f t="shared" si="82"/>
        <v>346.5</v>
      </c>
      <c r="H458" s="14">
        <v>45.96</v>
      </c>
      <c r="I458" s="18">
        <f t="shared" si="83"/>
        <v>0</v>
      </c>
      <c r="J458" s="18">
        <f t="shared" si="84"/>
        <v>45.96</v>
      </c>
      <c r="K458" s="14">
        <v>2.52</v>
      </c>
      <c r="L458" s="18">
        <f t="shared" si="85"/>
        <v>0</v>
      </c>
      <c r="M458" s="18">
        <f t="shared" si="86"/>
        <v>2.52</v>
      </c>
      <c r="N458" s="15">
        <f t="shared" si="87"/>
        <v>394.97999999999996</v>
      </c>
      <c r="O458" s="15">
        <f t="shared" si="78"/>
        <v>0</v>
      </c>
      <c r="P458" s="15">
        <f t="shared" si="79"/>
        <v>394.97999999999996</v>
      </c>
      <c r="Q458" s="5">
        <f t="shared" si="80"/>
        <v>1</v>
      </c>
    </row>
    <row r="459" spans="1:17" x14ac:dyDescent="0.25">
      <c r="A459" s="7">
        <v>46254.041666666664</v>
      </c>
      <c r="B459" s="6">
        <v>0</v>
      </c>
      <c r="C459" s="13">
        <v>0</v>
      </c>
      <c r="D459" s="18">
        <f t="shared" si="77"/>
        <v>0</v>
      </c>
      <c r="E459" s="14">
        <v>126</v>
      </c>
      <c r="F459" s="18">
        <f t="shared" si="81"/>
        <v>0</v>
      </c>
      <c r="G459" s="18">
        <f t="shared" si="82"/>
        <v>126</v>
      </c>
      <c r="H459" s="14">
        <v>35.64</v>
      </c>
      <c r="I459" s="18">
        <f t="shared" si="83"/>
        <v>0</v>
      </c>
      <c r="J459" s="18">
        <f t="shared" si="84"/>
        <v>35.64</v>
      </c>
      <c r="K459" s="14">
        <v>2.4</v>
      </c>
      <c r="L459" s="18">
        <f t="shared" si="85"/>
        <v>0</v>
      </c>
      <c r="M459" s="18">
        <f t="shared" si="86"/>
        <v>2.4</v>
      </c>
      <c r="N459" s="15">
        <f t="shared" si="87"/>
        <v>164.04</v>
      </c>
      <c r="O459" s="15">
        <f t="shared" si="78"/>
        <v>0</v>
      </c>
      <c r="P459" s="15">
        <f t="shared" si="79"/>
        <v>164.04</v>
      </c>
      <c r="Q459" s="5">
        <f t="shared" si="80"/>
        <v>1</v>
      </c>
    </row>
    <row r="460" spans="1:17" x14ac:dyDescent="0.25">
      <c r="A460" s="7">
        <v>46254.083333333336</v>
      </c>
      <c r="B460" s="6">
        <v>0</v>
      </c>
      <c r="C460" s="13">
        <v>0</v>
      </c>
      <c r="D460" s="18">
        <f t="shared" si="77"/>
        <v>0</v>
      </c>
      <c r="E460" s="14">
        <v>233.1</v>
      </c>
      <c r="F460" s="18">
        <f t="shared" si="81"/>
        <v>0</v>
      </c>
      <c r="G460" s="18">
        <f t="shared" si="82"/>
        <v>233.1</v>
      </c>
      <c r="H460" s="14">
        <v>43.68</v>
      </c>
      <c r="I460" s="18">
        <f t="shared" si="83"/>
        <v>0</v>
      </c>
      <c r="J460" s="18">
        <f t="shared" si="84"/>
        <v>43.68</v>
      </c>
      <c r="K460" s="14">
        <v>2.52</v>
      </c>
      <c r="L460" s="18">
        <f t="shared" si="85"/>
        <v>0</v>
      </c>
      <c r="M460" s="18">
        <f t="shared" si="86"/>
        <v>2.52</v>
      </c>
      <c r="N460" s="15">
        <f t="shared" si="87"/>
        <v>279.29999999999995</v>
      </c>
      <c r="O460" s="15">
        <f t="shared" si="78"/>
        <v>0</v>
      </c>
      <c r="P460" s="15">
        <f t="shared" si="79"/>
        <v>279.29999999999995</v>
      </c>
      <c r="Q460" s="5">
        <f t="shared" si="80"/>
        <v>1</v>
      </c>
    </row>
    <row r="461" spans="1:17" x14ac:dyDescent="0.25">
      <c r="A461" s="7">
        <v>46254.125</v>
      </c>
      <c r="B461" s="6">
        <v>0</v>
      </c>
      <c r="C461" s="13">
        <v>0</v>
      </c>
      <c r="D461" s="18">
        <f t="shared" si="77"/>
        <v>0</v>
      </c>
      <c r="E461" s="14">
        <v>302.39999999999998</v>
      </c>
      <c r="F461" s="18">
        <f t="shared" si="81"/>
        <v>0</v>
      </c>
      <c r="G461" s="18">
        <f t="shared" si="82"/>
        <v>302.39999999999998</v>
      </c>
      <c r="H461" s="14">
        <v>45.12</v>
      </c>
      <c r="I461" s="18">
        <f t="shared" si="83"/>
        <v>0</v>
      </c>
      <c r="J461" s="18">
        <f t="shared" si="84"/>
        <v>45.12</v>
      </c>
      <c r="K461" s="14">
        <v>2.04</v>
      </c>
      <c r="L461" s="18">
        <f t="shared" si="85"/>
        <v>0</v>
      </c>
      <c r="M461" s="18">
        <f t="shared" si="86"/>
        <v>2.04</v>
      </c>
      <c r="N461" s="15">
        <f t="shared" si="87"/>
        <v>349.56</v>
      </c>
      <c r="O461" s="15">
        <f t="shared" si="78"/>
        <v>0</v>
      </c>
      <c r="P461" s="15">
        <f t="shared" si="79"/>
        <v>349.56</v>
      </c>
      <c r="Q461" s="5">
        <f t="shared" si="80"/>
        <v>1</v>
      </c>
    </row>
    <row r="462" spans="1:17" x14ac:dyDescent="0.25">
      <c r="A462" s="7">
        <v>46254.166666666664</v>
      </c>
      <c r="B462" s="6">
        <v>0</v>
      </c>
      <c r="C462" s="13">
        <v>0</v>
      </c>
      <c r="D462" s="18">
        <f t="shared" si="77"/>
        <v>0</v>
      </c>
      <c r="E462" s="14">
        <v>409.5</v>
      </c>
      <c r="F462" s="18">
        <f t="shared" si="81"/>
        <v>0</v>
      </c>
      <c r="G462" s="18">
        <f t="shared" si="82"/>
        <v>409.5</v>
      </c>
      <c r="H462" s="14">
        <v>45.84</v>
      </c>
      <c r="I462" s="18">
        <f t="shared" si="83"/>
        <v>0</v>
      </c>
      <c r="J462" s="18">
        <f t="shared" si="84"/>
        <v>45.84</v>
      </c>
      <c r="K462" s="14">
        <v>2.04</v>
      </c>
      <c r="L462" s="18">
        <f t="shared" si="85"/>
        <v>0</v>
      </c>
      <c r="M462" s="18">
        <f t="shared" si="86"/>
        <v>2.04</v>
      </c>
      <c r="N462" s="15">
        <f t="shared" si="87"/>
        <v>457.38000000000005</v>
      </c>
      <c r="O462" s="15">
        <f t="shared" si="78"/>
        <v>0</v>
      </c>
      <c r="P462" s="15">
        <f t="shared" si="79"/>
        <v>457.38000000000005</v>
      </c>
      <c r="Q462" s="5">
        <f t="shared" si="80"/>
        <v>1</v>
      </c>
    </row>
    <row r="463" spans="1:17" x14ac:dyDescent="0.25">
      <c r="A463" s="7">
        <v>46254.208333333336</v>
      </c>
      <c r="B463" s="6">
        <v>0</v>
      </c>
      <c r="C463" s="13">
        <v>0</v>
      </c>
      <c r="D463" s="18">
        <f t="shared" si="77"/>
        <v>0</v>
      </c>
      <c r="E463" s="14">
        <v>481.95</v>
      </c>
      <c r="F463" s="18">
        <f t="shared" si="81"/>
        <v>0</v>
      </c>
      <c r="G463" s="18">
        <f t="shared" si="82"/>
        <v>481.95</v>
      </c>
      <c r="H463" s="14">
        <v>47.04</v>
      </c>
      <c r="I463" s="18">
        <f t="shared" si="83"/>
        <v>0</v>
      </c>
      <c r="J463" s="18">
        <f t="shared" si="84"/>
        <v>47.04</v>
      </c>
      <c r="K463" s="14">
        <v>2.2799999999999998</v>
      </c>
      <c r="L463" s="18">
        <f t="shared" si="85"/>
        <v>0</v>
      </c>
      <c r="M463" s="18">
        <f t="shared" si="86"/>
        <v>2.2799999999999998</v>
      </c>
      <c r="N463" s="15">
        <f t="shared" si="87"/>
        <v>531.27</v>
      </c>
      <c r="O463" s="15">
        <f t="shared" si="78"/>
        <v>0</v>
      </c>
      <c r="P463" s="15">
        <f t="shared" si="79"/>
        <v>531.27</v>
      </c>
      <c r="Q463" s="5">
        <f t="shared" si="80"/>
        <v>1</v>
      </c>
    </row>
    <row r="464" spans="1:17" x14ac:dyDescent="0.25">
      <c r="A464" s="7">
        <v>46254.25</v>
      </c>
      <c r="B464" s="6">
        <v>0</v>
      </c>
      <c r="C464" s="13">
        <v>0</v>
      </c>
      <c r="D464" s="18">
        <f t="shared" si="77"/>
        <v>0</v>
      </c>
      <c r="E464" s="14">
        <v>217.35</v>
      </c>
      <c r="F464" s="18">
        <f t="shared" si="81"/>
        <v>0</v>
      </c>
      <c r="G464" s="18">
        <f t="shared" si="82"/>
        <v>217.35</v>
      </c>
      <c r="H464" s="14">
        <v>41.76</v>
      </c>
      <c r="I464" s="18">
        <f t="shared" si="83"/>
        <v>0</v>
      </c>
      <c r="J464" s="18">
        <f t="shared" si="84"/>
        <v>41.76</v>
      </c>
      <c r="K464" s="14">
        <v>6.24</v>
      </c>
      <c r="L464" s="18">
        <f t="shared" si="85"/>
        <v>0</v>
      </c>
      <c r="M464" s="18">
        <f t="shared" si="86"/>
        <v>6.24</v>
      </c>
      <c r="N464" s="15">
        <f t="shared" si="87"/>
        <v>265.35000000000002</v>
      </c>
      <c r="O464" s="15">
        <f t="shared" si="78"/>
        <v>0</v>
      </c>
      <c r="P464" s="15">
        <f t="shared" si="79"/>
        <v>265.35000000000002</v>
      </c>
      <c r="Q464" s="5">
        <f t="shared" si="80"/>
        <v>1</v>
      </c>
    </row>
    <row r="465" spans="1:17" x14ac:dyDescent="0.25">
      <c r="A465" s="7">
        <v>46254.291666666664</v>
      </c>
      <c r="B465" s="6">
        <v>132.30000000000001</v>
      </c>
      <c r="C465" s="13">
        <v>0.84</v>
      </c>
      <c r="D465" s="18">
        <f t="shared" si="77"/>
        <v>133.14000000000001</v>
      </c>
      <c r="E465" s="14">
        <v>12.6</v>
      </c>
      <c r="F465" s="18">
        <f t="shared" si="81"/>
        <v>12.6</v>
      </c>
      <c r="G465" s="18">
        <f t="shared" si="82"/>
        <v>0</v>
      </c>
      <c r="H465" s="14">
        <v>13.56</v>
      </c>
      <c r="I465" s="18">
        <f t="shared" si="83"/>
        <v>13.56</v>
      </c>
      <c r="J465" s="18">
        <f t="shared" si="84"/>
        <v>0</v>
      </c>
      <c r="K465" s="14">
        <v>7.44</v>
      </c>
      <c r="L465" s="18">
        <f t="shared" si="85"/>
        <v>7.44</v>
      </c>
      <c r="M465" s="18">
        <f t="shared" si="86"/>
        <v>0</v>
      </c>
      <c r="N465" s="15">
        <f t="shared" si="87"/>
        <v>33.6</v>
      </c>
      <c r="O465" s="15">
        <f t="shared" si="78"/>
        <v>33.6</v>
      </c>
      <c r="P465" s="15">
        <f t="shared" si="79"/>
        <v>0</v>
      </c>
      <c r="Q465" s="5">
        <f t="shared" si="80"/>
        <v>0</v>
      </c>
    </row>
    <row r="466" spans="1:17" x14ac:dyDescent="0.25">
      <c r="A466" s="7">
        <v>46254.333333333336</v>
      </c>
      <c r="B466" s="6">
        <v>945</v>
      </c>
      <c r="C466" s="13">
        <v>15</v>
      </c>
      <c r="D466" s="18">
        <f t="shared" si="77"/>
        <v>960</v>
      </c>
      <c r="E466" s="14">
        <v>0</v>
      </c>
      <c r="F466" s="18">
        <f t="shared" si="81"/>
        <v>0</v>
      </c>
      <c r="G466" s="18">
        <f t="shared" si="82"/>
        <v>0</v>
      </c>
      <c r="H466" s="14">
        <v>15.72</v>
      </c>
      <c r="I466" s="18">
        <f t="shared" si="83"/>
        <v>15.72</v>
      </c>
      <c r="J466" s="18">
        <f t="shared" si="84"/>
        <v>0</v>
      </c>
      <c r="K466" s="14">
        <v>11.4</v>
      </c>
      <c r="L466" s="18">
        <f t="shared" si="85"/>
        <v>11.4</v>
      </c>
      <c r="M466" s="18">
        <f t="shared" si="86"/>
        <v>0</v>
      </c>
      <c r="N466" s="15">
        <f t="shared" si="87"/>
        <v>27.12</v>
      </c>
      <c r="O466" s="15">
        <f t="shared" si="78"/>
        <v>27.12</v>
      </c>
      <c r="P466" s="15">
        <f t="shared" si="79"/>
        <v>0</v>
      </c>
      <c r="Q466" s="5">
        <f t="shared" si="80"/>
        <v>0</v>
      </c>
    </row>
    <row r="467" spans="1:17" x14ac:dyDescent="0.25">
      <c r="A467" s="7">
        <v>46254.375</v>
      </c>
      <c r="B467" s="6">
        <v>1738.8</v>
      </c>
      <c r="C467" s="13">
        <v>72.239999999999995</v>
      </c>
      <c r="D467" s="18">
        <f t="shared" si="77"/>
        <v>1811.04</v>
      </c>
      <c r="E467" s="14">
        <v>0</v>
      </c>
      <c r="F467" s="18">
        <f t="shared" si="81"/>
        <v>0</v>
      </c>
      <c r="G467" s="18">
        <f t="shared" si="82"/>
        <v>0</v>
      </c>
      <c r="H467" s="14">
        <v>0</v>
      </c>
      <c r="I467" s="18">
        <f t="shared" si="83"/>
        <v>0</v>
      </c>
      <c r="J467" s="18">
        <f t="shared" si="84"/>
        <v>0</v>
      </c>
      <c r="K467" s="14">
        <v>33.96</v>
      </c>
      <c r="L467" s="18">
        <f t="shared" si="85"/>
        <v>33.96</v>
      </c>
      <c r="M467" s="18">
        <f t="shared" si="86"/>
        <v>0</v>
      </c>
      <c r="N467" s="15">
        <f t="shared" si="87"/>
        <v>33.96</v>
      </c>
      <c r="O467" s="15">
        <f t="shared" si="78"/>
        <v>33.96</v>
      </c>
      <c r="P467" s="15">
        <f t="shared" si="79"/>
        <v>0</v>
      </c>
      <c r="Q467" s="5">
        <f t="shared" si="80"/>
        <v>0</v>
      </c>
    </row>
    <row r="468" spans="1:17" x14ac:dyDescent="0.25">
      <c r="A468" s="7">
        <v>46254.416666666664</v>
      </c>
      <c r="B468" s="6">
        <v>2337.3000000000002</v>
      </c>
      <c r="C468" s="13">
        <v>85.8</v>
      </c>
      <c r="D468" s="18">
        <f t="shared" si="77"/>
        <v>2423.1000000000004</v>
      </c>
      <c r="E468" s="14">
        <v>0</v>
      </c>
      <c r="F468" s="18">
        <f t="shared" si="81"/>
        <v>0</v>
      </c>
      <c r="G468" s="18">
        <f t="shared" si="82"/>
        <v>0</v>
      </c>
      <c r="H468" s="14">
        <v>0.12</v>
      </c>
      <c r="I468" s="18">
        <f t="shared" si="83"/>
        <v>0.12</v>
      </c>
      <c r="J468" s="18">
        <f t="shared" si="84"/>
        <v>0</v>
      </c>
      <c r="K468" s="14">
        <v>17.64</v>
      </c>
      <c r="L468" s="18">
        <f t="shared" si="85"/>
        <v>17.64</v>
      </c>
      <c r="M468" s="18">
        <f t="shared" si="86"/>
        <v>0</v>
      </c>
      <c r="N468" s="15">
        <f t="shared" si="87"/>
        <v>17.760000000000002</v>
      </c>
      <c r="O468" s="15">
        <f t="shared" si="78"/>
        <v>17.760000000000002</v>
      </c>
      <c r="P468" s="15">
        <f t="shared" si="79"/>
        <v>0</v>
      </c>
      <c r="Q468" s="5">
        <f t="shared" si="80"/>
        <v>0</v>
      </c>
    </row>
    <row r="469" spans="1:17" x14ac:dyDescent="0.25">
      <c r="A469" s="7">
        <v>46254.458333333336</v>
      </c>
      <c r="B469" s="6">
        <v>1597.05</v>
      </c>
      <c r="C469" s="13">
        <v>53.04</v>
      </c>
      <c r="D469" s="18">
        <f t="shared" si="77"/>
        <v>1650.09</v>
      </c>
      <c r="E469" s="14">
        <v>0</v>
      </c>
      <c r="F469" s="18">
        <f t="shared" si="81"/>
        <v>0</v>
      </c>
      <c r="G469" s="18">
        <f t="shared" si="82"/>
        <v>0</v>
      </c>
      <c r="H469" s="14">
        <v>17.760000000000002</v>
      </c>
      <c r="I469" s="18">
        <f t="shared" si="83"/>
        <v>17.760000000000002</v>
      </c>
      <c r="J469" s="18">
        <f t="shared" si="84"/>
        <v>0</v>
      </c>
      <c r="K469" s="14">
        <v>44.28</v>
      </c>
      <c r="L469" s="18">
        <f t="shared" si="85"/>
        <v>44.28</v>
      </c>
      <c r="M469" s="18">
        <f t="shared" si="86"/>
        <v>0</v>
      </c>
      <c r="N469" s="15">
        <f t="shared" si="87"/>
        <v>62.040000000000006</v>
      </c>
      <c r="O469" s="15">
        <f t="shared" si="78"/>
        <v>62.040000000000006</v>
      </c>
      <c r="P469" s="15">
        <f t="shared" si="79"/>
        <v>0</v>
      </c>
      <c r="Q469" s="5">
        <f t="shared" si="80"/>
        <v>0</v>
      </c>
    </row>
    <row r="470" spans="1:17" x14ac:dyDescent="0.25">
      <c r="A470" s="7">
        <v>46254.5</v>
      </c>
      <c r="B470" s="6">
        <v>1773.45</v>
      </c>
      <c r="C470" s="13">
        <v>86.52</v>
      </c>
      <c r="D470" s="18">
        <f t="shared" si="77"/>
        <v>1859.97</v>
      </c>
      <c r="E470" s="14">
        <v>0</v>
      </c>
      <c r="F470" s="18">
        <f t="shared" si="81"/>
        <v>0</v>
      </c>
      <c r="G470" s="18">
        <f t="shared" si="82"/>
        <v>0</v>
      </c>
      <c r="H470" s="14">
        <v>2.2799999999999998</v>
      </c>
      <c r="I470" s="18">
        <f t="shared" si="83"/>
        <v>2.2799999999999998</v>
      </c>
      <c r="J470" s="18">
        <f t="shared" si="84"/>
        <v>0</v>
      </c>
      <c r="K470" s="14">
        <v>40.44</v>
      </c>
      <c r="L470" s="18">
        <f t="shared" si="85"/>
        <v>40.44</v>
      </c>
      <c r="M470" s="18">
        <f t="shared" si="86"/>
        <v>0</v>
      </c>
      <c r="N470" s="15">
        <f t="shared" si="87"/>
        <v>42.72</v>
      </c>
      <c r="O470" s="15">
        <f t="shared" si="78"/>
        <v>42.72</v>
      </c>
      <c r="P470" s="15">
        <f t="shared" si="79"/>
        <v>0</v>
      </c>
      <c r="Q470" s="5">
        <f t="shared" si="80"/>
        <v>0</v>
      </c>
    </row>
    <row r="471" spans="1:17" x14ac:dyDescent="0.25">
      <c r="A471" s="7">
        <v>46254.541666666664</v>
      </c>
      <c r="B471" s="6">
        <v>2825.55</v>
      </c>
      <c r="C471" s="13">
        <v>132</v>
      </c>
      <c r="D471" s="18">
        <f t="shared" si="77"/>
        <v>2957.55</v>
      </c>
      <c r="E471" s="14">
        <v>0</v>
      </c>
      <c r="F471" s="18">
        <f t="shared" si="81"/>
        <v>0</v>
      </c>
      <c r="G471" s="18">
        <f t="shared" si="82"/>
        <v>0</v>
      </c>
      <c r="H471" s="14">
        <v>0.12</v>
      </c>
      <c r="I471" s="18">
        <f t="shared" si="83"/>
        <v>0.12</v>
      </c>
      <c r="J471" s="18">
        <f t="shared" si="84"/>
        <v>0</v>
      </c>
      <c r="K471" s="14">
        <v>18.36</v>
      </c>
      <c r="L471" s="18">
        <f t="shared" si="85"/>
        <v>18.36</v>
      </c>
      <c r="M471" s="18">
        <f t="shared" si="86"/>
        <v>0</v>
      </c>
      <c r="N471" s="15">
        <f t="shared" si="87"/>
        <v>18.48</v>
      </c>
      <c r="O471" s="15">
        <f t="shared" si="78"/>
        <v>18.48</v>
      </c>
      <c r="P471" s="15">
        <f t="shared" si="79"/>
        <v>0</v>
      </c>
      <c r="Q471" s="5">
        <f t="shared" si="80"/>
        <v>0</v>
      </c>
    </row>
    <row r="472" spans="1:17" x14ac:dyDescent="0.25">
      <c r="A472" s="7">
        <v>46254.583333333336</v>
      </c>
      <c r="B472" s="6">
        <v>1735.65</v>
      </c>
      <c r="C472" s="13">
        <v>69.959999999999994</v>
      </c>
      <c r="D472" s="18">
        <f t="shared" si="77"/>
        <v>1805.6100000000001</v>
      </c>
      <c r="E472" s="14">
        <v>0</v>
      </c>
      <c r="F472" s="18">
        <f t="shared" si="81"/>
        <v>0</v>
      </c>
      <c r="G472" s="18">
        <f t="shared" si="82"/>
        <v>0</v>
      </c>
      <c r="H472" s="14">
        <v>4.08</v>
      </c>
      <c r="I472" s="18">
        <f t="shared" si="83"/>
        <v>4.08</v>
      </c>
      <c r="J472" s="18">
        <f t="shared" si="84"/>
        <v>0</v>
      </c>
      <c r="K472" s="14">
        <v>20.16</v>
      </c>
      <c r="L472" s="18">
        <f t="shared" si="85"/>
        <v>20.16</v>
      </c>
      <c r="M472" s="18">
        <f t="shared" si="86"/>
        <v>0</v>
      </c>
      <c r="N472" s="15">
        <f t="shared" si="87"/>
        <v>24.240000000000002</v>
      </c>
      <c r="O472" s="15">
        <f t="shared" si="78"/>
        <v>24.240000000000002</v>
      </c>
      <c r="P472" s="15">
        <f t="shared" si="79"/>
        <v>0</v>
      </c>
      <c r="Q472" s="5">
        <f t="shared" si="80"/>
        <v>0</v>
      </c>
    </row>
    <row r="473" spans="1:17" x14ac:dyDescent="0.25">
      <c r="A473" s="7">
        <v>46254.625</v>
      </c>
      <c r="B473" s="6">
        <v>2012.85</v>
      </c>
      <c r="C473" s="13">
        <v>43.44</v>
      </c>
      <c r="D473" s="18">
        <f t="shared" si="77"/>
        <v>2056.29</v>
      </c>
      <c r="E473" s="14">
        <v>0</v>
      </c>
      <c r="F473" s="18">
        <f t="shared" si="81"/>
        <v>0</v>
      </c>
      <c r="G473" s="18">
        <f t="shared" si="82"/>
        <v>0</v>
      </c>
      <c r="H473" s="14">
        <v>6.12</v>
      </c>
      <c r="I473" s="18">
        <f t="shared" si="83"/>
        <v>6.12</v>
      </c>
      <c r="J473" s="18">
        <f t="shared" si="84"/>
        <v>0</v>
      </c>
      <c r="K473" s="14">
        <v>28.32</v>
      </c>
      <c r="L473" s="18">
        <f t="shared" si="85"/>
        <v>28.32</v>
      </c>
      <c r="M473" s="18">
        <f t="shared" si="86"/>
        <v>0</v>
      </c>
      <c r="N473" s="15">
        <f t="shared" si="87"/>
        <v>34.44</v>
      </c>
      <c r="O473" s="15">
        <f t="shared" si="78"/>
        <v>34.44</v>
      </c>
      <c r="P473" s="15">
        <f t="shared" si="79"/>
        <v>0</v>
      </c>
      <c r="Q473" s="5">
        <f t="shared" si="80"/>
        <v>0</v>
      </c>
    </row>
    <row r="474" spans="1:17" x14ac:dyDescent="0.25">
      <c r="A474" s="7">
        <v>46254.666666666664</v>
      </c>
      <c r="B474" s="6">
        <v>1152.9000000000001</v>
      </c>
      <c r="C474" s="13">
        <v>42</v>
      </c>
      <c r="D474" s="18">
        <f t="shared" si="77"/>
        <v>1194.9000000000001</v>
      </c>
      <c r="E474" s="14">
        <v>0</v>
      </c>
      <c r="F474" s="18">
        <f t="shared" si="81"/>
        <v>0</v>
      </c>
      <c r="G474" s="18">
        <f t="shared" si="82"/>
        <v>0</v>
      </c>
      <c r="H474" s="14">
        <v>2.16</v>
      </c>
      <c r="I474" s="18">
        <f t="shared" si="83"/>
        <v>2.16</v>
      </c>
      <c r="J474" s="18">
        <f t="shared" si="84"/>
        <v>0</v>
      </c>
      <c r="K474" s="14">
        <v>13.32</v>
      </c>
      <c r="L474" s="18">
        <f t="shared" si="85"/>
        <v>13.32</v>
      </c>
      <c r="M474" s="18">
        <f t="shared" si="86"/>
        <v>0</v>
      </c>
      <c r="N474" s="15">
        <f t="shared" si="87"/>
        <v>15.48</v>
      </c>
      <c r="O474" s="15">
        <f t="shared" si="78"/>
        <v>15.48</v>
      </c>
      <c r="P474" s="15">
        <f t="shared" si="79"/>
        <v>0</v>
      </c>
      <c r="Q474" s="5">
        <f t="shared" si="80"/>
        <v>0</v>
      </c>
    </row>
    <row r="475" spans="1:17" x14ac:dyDescent="0.25">
      <c r="A475" s="7">
        <v>46254.708333333336</v>
      </c>
      <c r="B475" s="6">
        <v>296.10000000000002</v>
      </c>
      <c r="C475" s="13">
        <v>0.12</v>
      </c>
      <c r="D475" s="18">
        <f t="shared" si="77"/>
        <v>296.22000000000003</v>
      </c>
      <c r="E475" s="14">
        <v>0</v>
      </c>
      <c r="F475" s="18">
        <f t="shared" si="81"/>
        <v>0</v>
      </c>
      <c r="G475" s="18">
        <f t="shared" si="82"/>
        <v>0</v>
      </c>
      <c r="H475" s="14">
        <v>39.119999999999997</v>
      </c>
      <c r="I475" s="18">
        <f t="shared" si="83"/>
        <v>39.119999999999997</v>
      </c>
      <c r="J475" s="18">
        <f t="shared" si="84"/>
        <v>0</v>
      </c>
      <c r="K475" s="14">
        <v>14.4</v>
      </c>
      <c r="L475" s="18">
        <f t="shared" si="85"/>
        <v>14.4</v>
      </c>
      <c r="M475" s="18">
        <f t="shared" si="86"/>
        <v>0</v>
      </c>
      <c r="N475" s="15">
        <f t="shared" si="87"/>
        <v>53.519999999999996</v>
      </c>
      <c r="O475" s="15">
        <f t="shared" si="78"/>
        <v>53.519999999999996</v>
      </c>
      <c r="P475" s="15">
        <f t="shared" si="79"/>
        <v>0</v>
      </c>
      <c r="Q475" s="5">
        <f t="shared" si="80"/>
        <v>0</v>
      </c>
    </row>
    <row r="476" spans="1:17" x14ac:dyDescent="0.25">
      <c r="A476" s="7">
        <v>46254.75</v>
      </c>
      <c r="B476" s="6">
        <v>6.3</v>
      </c>
      <c r="C476" s="13">
        <v>0</v>
      </c>
      <c r="D476" s="18">
        <f t="shared" si="77"/>
        <v>6.3</v>
      </c>
      <c r="E476" s="14">
        <v>72.45</v>
      </c>
      <c r="F476" s="18">
        <f t="shared" si="81"/>
        <v>3.4586269606728735</v>
      </c>
      <c r="G476" s="18">
        <f t="shared" si="82"/>
        <v>68.991373039327129</v>
      </c>
      <c r="H476" s="14">
        <v>42.6</v>
      </c>
      <c r="I476" s="18">
        <f t="shared" si="83"/>
        <v>2.0336440100022699</v>
      </c>
      <c r="J476" s="18">
        <f t="shared" si="84"/>
        <v>40.566355989997732</v>
      </c>
      <c r="K476" s="14">
        <v>16.920000000000002</v>
      </c>
      <c r="L476" s="18">
        <f t="shared" si="85"/>
        <v>0.80772902932484669</v>
      </c>
      <c r="M476" s="18">
        <f t="shared" si="86"/>
        <v>16.112270970675155</v>
      </c>
      <c r="N476" s="15">
        <f t="shared" si="87"/>
        <v>131.97000000000003</v>
      </c>
      <c r="O476" s="15">
        <f t="shared" si="78"/>
        <v>6.2999999999999972</v>
      </c>
      <c r="P476" s="15">
        <f t="shared" si="79"/>
        <v>125.67000000000003</v>
      </c>
      <c r="Q476" s="5">
        <f t="shared" si="80"/>
        <v>0.95226187769947723</v>
      </c>
    </row>
    <row r="477" spans="1:17" x14ac:dyDescent="0.25">
      <c r="A477" s="7">
        <v>46254.791666666664</v>
      </c>
      <c r="B477" s="6">
        <v>0</v>
      </c>
      <c r="C477" s="13">
        <v>0</v>
      </c>
      <c r="D477" s="18">
        <f t="shared" si="77"/>
        <v>0</v>
      </c>
      <c r="E477" s="14">
        <v>72.45</v>
      </c>
      <c r="F477" s="18">
        <f t="shared" si="81"/>
        <v>0</v>
      </c>
      <c r="G477" s="18">
        <f t="shared" si="82"/>
        <v>72.45</v>
      </c>
      <c r="H477" s="14">
        <v>43.44</v>
      </c>
      <c r="I477" s="18">
        <f t="shared" si="83"/>
        <v>0</v>
      </c>
      <c r="J477" s="18">
        <f t="shared" si="84"/>
        <v>43.44</v>
      </c>
      <c r="K477" s="14">
        <v>22.92</v>
      </c>
      <c r="L477" s="18">
        <f t="shared" si="85"/>
        <v>0</v>
      </c>
      <c r="M477" s="18">
        <f t="shared" si="86"/>
        <v>22.92</v>
      </c>
      <c r="N477" s="15">
        <f t="shared" si="87"/>
        <v>138.81</v>
      </c>
      <c r="O477" s="15">
        <f t="shared" si="78"/>
        <v>0</v>
      </c>
      <c r="P477" s="15">
        <f t="shared" si="79"/>
        <v>138.81</v>
      </c>
      <c r="Q477" s="5">
        <f t="shared" si="80"/>
        <v>1</v>
      </c>
    </row>
    <row r="478" spans="1:17" x14ac:dyDescent="0.25">
      <c r="A478" s="7">
        <v>46254.833333333336</v>
      </c>
      <c r="B478" s="6">
        <v>0</v>
      </c>
      <c r="C478" s="13">
        <v>0</v>
      </c>
      <c r="D478" s="18">
        <f t="shared" si="77"/>
        <v>0</v>
      </c>
      <c r="E478" s="14">
        <v>223.65</v>
      </c>
      <c r="F478" s="18">
        <f t="shared" si="81"/>
        <v>0</v>
      </c>
      <c r="G478" s="18">
        <f t="shared" si="82"/>
        <v>223.65</v>
      </c>
      <c r="H478" s="14">
        <v>34.44</v>
      </c>
      <c r="I478" s="18">
        <f t="shared" si="83"/>
        <v>0</v>
      </c>
      <c r="J478" s="18">
        <f t="shared" si="84"/>
        <v>34.44</v>
      </c>
      <c r="K478" s="14">
        <v>3.96</v>
      </c>
      <c r="L478" s="18">
        <f t="shared" si="85"/>
        <v>0</v>
      </c>
      <c r="M478" s="18">
        <f t="shared" si="86"/>
        <v>3.96</v>
      </c>
      <c r="N478" s="15">
        <f t="shared" si="87"/>
        <v>262.05</v>
      </c>
      <c r="O478" s="15">
        <f t="shared" si="78"/>
        <v>0</v>
      </c>
      <c r="P478" s="15">
        <f t="shared" si="79"/>
        <v>262.05</v>
      </c>
      <c r="Q478" s="5">
        <f t="shared" si="80"/>
        <v>1</v>
      </c>
    </row>
    <row r="479" spans="1:17" x14ac:dyDescent="0.25">
      <c r="A479" s="7">
        <v>46254.875</v>
      </c>
      <c r="B479" s="6">
        <v>0</v>
      </c>
      <c r="C479" s="13">
        <v>0</v>
      </c>
      <c r="D479" s="18">
        <f t="shared" si="77"/>
        <v>0</v>
      </c>
      <c r="E479" s="14">
        <v>113.4</v>
      </c>
      <c r="F479" s="18">
        <f t="shared" si="81"/>
        <v>0</v>
      </c>
      <c r="G479" s="18">
        <f t="shared" si="82"/>
        <v>113.4</v>
      </c>
      <c r="H479" s="14">
        <v>30.84</v>
      </c>
      <c r="I479" s="18">
        <f t="shared" si="83"/>
        <v>0</v>
      </c>
      <c r="J479" s="18">
        <f t="shared" si="84"/>
        <v>30.84</v>
      </c>
      <c r="K479" s="14">
        <v>1.92</v>
      </c>
      <c r="L479" s="18">
        <f t="shared" si="85"/>
        <v>0</v>
      </c>
      <c r="M479" s="18">
        <f t="shared" si="86"/>
        <v>1.92</v>
      </c>
      <c r="N479" s="15">
        <f t="shared" si="87"/>
        <v>146.16</v>
      </c>
      <c r="O479" s="15">
        <f t="shared" si="78"/>
        <v>0</v>
      </c>
      <c r="P479" s="15">
        <f t="shared" si="79"/>
        <v>146.16</v>
      </c>
      <c r="Q479" s="5">
        <f t="shared" si="80"/>
        <v>1</v>
      </c>
    </row>
    <row r="480" spans="1:17" x14ac:dyDescent="0.25">
      <c r="A480" s="7">
        <v>46254.916666666664</v>
      </c>
      <c r="B480" s="6">
        <v>0</v>
      </c>
      <c r="C480" s="13">
        <v>0</v>
      </c>
      <c r="D480" s="18">
        <f t="shared" si="77"/>
        <v>0</v>
      </c>
      <c r="E480" s="14">
        <v>47.25</v>
      </c>
      <c r="F480" s="18">
        <f t="shared" si="81"/>
        <v>0</v>
      </c>
      <c r="G480" s="18">
        <f t="shared" si="82"/>
        <v>47.25</v>
      </c>
      <c r="H480" s="14">
        <v>35.64</v>
      </c>
      <c r="I480" s="18">
        <f t="shared" si="83"/>
        <v>0</v>
      </c>
      <c r="J480" s="18">
        <f t="shared" si="84"/>
        <v>35.64</v>
      </c>
      <c r="K480" s="14">
        <v>3</v>
      </c>
      <c r="L480" s="18">
        <f t="shared" si="85"/>
        <v>0</v>
      </c>
      <c r="M480" s="18">
        <f t="shared" si="86"/>
        <v>3</v>
      </c>
      <c r="N480" s="15">
        <f t="shared" si="87"/>
        <v>85.89</v>
      </c>
      <c r="O480" s="15">
        <f t="shared" si="78"/>
        <v>0</v>
      </c>
      <c r="P480" s="15">
        <f t="shared" si="79"/>
        <v>85.89</v>
      </c>
      <c r="Q480" s="5">
        <f t="shared" si="80"/>
        <v>1</v>
      </c>
    </row>
    <row r="481" spans="1:17" x14ac:dyDescent="0.25">
      <c r="A481" s="7">
        <v>46254.958333333336</v>
      </c>
      <c r="B481" s="6">
        <v>0</v>
      </c>
      <c r="C481" s="13">
        <v>0</v>
      </c>
      <c r="D481" s="18">
        <f t="shared" si="77"/>
        <v>0</v>
      </c>
      <c r="E481" s="14">
        <v>47.25</v>
      </c>
      <c r="F481" s="18">
        <f t="shared" si="81"/>
        <v>0</v>
      </c>
      <c r="G481" s="18">
        <f t="shared" si="82"/>
        <v>47.25</v>
      </c>
      <c r="H481" s="14">
        <v>35.159999999999997</v>
      </c>
      <c r="I481" s="18">
        <f t="shared" si="83"/>
        <v>0</v>
      </c>
      <c r="J481" s="18">
        <f t="shared" si="84"/>
        <v>35.159999999999997</v>
      </c>
      <c r="K481" s="14">
        <v>1.8</v>
      </c>
      <c r="L481" s="18">
        <f t="shared" si="85"/>
        <v>0</v>
      </c>
      <c r="M481" s="18">
        <f t="shared" si="86"/>
        <v>1.8</v>
      </c>
      <c r="N481" s="15">
        <f t="shared" si="87"/>
        <v>84.21</v>
      </c>
      <c r="O481" s="15">
        <f t="shared" si="78"/>
        <v>0</v>
      </c>
      <c r="P481" s="15">
        <f t="shared" si="79"/>
        <v>84.21</v>
      </c>
      <c r="Q481" s="5">
        <f t="shared" si="80"/>
        <v>1</v>
      </c>
    </row>
    <row r="482" spans="1:17" x14ac:dyDescent="0.25">
      <c r="A482" s="7">
        <v>46255</v>
      </c>
      <c r="B482" s="6">
        <v>0</v>
      </c>
      <c r="C482" s="13">
        <v>0</v>
      </c>
      <c r="D482" s="18">
        <f t="shared" si="77"/>
        <v>0</v>
      </c>
      <c r="E482" s="14">
        <v>50.4</v>
      </c>
      <c r="F482" s="18">
        <f t="shared" si="81"/>
        <v>0</v>
      </c>
      <c r="G482" s="18">
        <f t="shared" si="82"/>
        <v>50.4</v>
      </c>
      <c r="H482" s="14">
        <v>31.92</v>
      </c>
      <c r="I482" s="18">
        <f t="shared" si="83"/>
        <v>0</v>
      </c>
      <c r="J482" s="18">
        <f t="shared" si="84"/>
        <v>31.92</v>
      </c>
      <c r="K482" s="14">
        <v>1.8</v>
      </c>
      <c r="L482" s="18">
        <f t="shared" si="85"/>
        <v>0</v>
      </c>
      <c r="M482" s="18">
        <f t="shared" si="86"/>
        <v>1.8</v>
      </c>
      <c r="N482" s="15">
        <f t="shared" si="87"/>
        <v>84.11999999999999</v>
      </c>
      <c r="O482" s="15">
        <f t="shared" si="78"/>
        <v>0</v>
      </c>
      <c r="P482" s="15">
        <f t="shared" si="79"/>
        <v>84.11999999999999</v>
      </c>
      <c r="Q482" s="5">
        <f t="shared" si="80"/>
        <v>1</v>
      </c>
    </row>
    <row r="483" spans="1:17" x14ac:dyDescent="0.25">
      <c r="A483" s="7">
        <v>46255.041666666664</v>
      </c>
      <c r="B483" s="6">
        <v>0</v>
      </c>
      <c r="C483" s="13">
        <v>0</v>
      </c>
      <c r="D483" s="18">
        <f t="shared" si="77"/>
        <v>0</v>
      </c>
      <c r="E483" s="14">
        <v>47.25</v>
      </c>
      <c r="F483" s="18">
        <f t="shared" si="81"/>
        <v>0</v>
      </c>
      <c r="G483" s="18">
        <f t="shared" si="82"/>
        <v>47.25</v>
      </c>
      <c r="H483" s="14">
        <v>34.92</v>
      </c>
      <c r="I483" s="18">
        <f t="shared" si="83"/>
        <v>0</v>
      </c>
      <c r="J483" s="18">
        <f t="shared" si="84"/>
        <v>34.92</v>
      </c>
      <c r="K483" s="14">
        <v>2.04</v>
      </c>
      <c r="L483" s="18">
        <f t="shared" si="85"/>
        <v>0</v>
      </c>
      <c r="M483" s="18">
        <f t="shared" si="86"/>
        <v>2.04</v>
      </c>
      <c r="N483" s="15">
        <f t="shared" si="87"/>
        <v>84.210000000000008</v>
      </c>
      <c r="O483" s="15">
        <f t="shared" si="78"/>
        <v>0</v>
      </c>
      <c r="P483" s="15">
        <f t="shared" si="79"/>
        <v>84.210000000000008</v>
      </c>
      <c r="Q483" s="5">
        <f t="shared" si="80"/>
        <v>1</v>
      </c>
    </row>
    <row r="484" spans="1:17" x14ac:dyDescent="0.25">
      <c r="A484" s="7">
        <v>46255.083333333336</v>
      </c>
      <c r="B484" s="6">
        <v>0</v>
      </c>
      <c r="C484" s="13">
        <v>0</v>
      </c>
      <c r="D484" s="18">
        <f t="shared" si="77"/>
        <v>0</v>
      </c>
      <c r="E484" s="14">
        <v>59.85</v>
      </c>
      <c r="F484" s="18">
        <f t="shared" si="81"/>
        <v>0</v>
      </c>
      <c r="G484" s="18">
        <f t="shared" si="82"/>
        <v>59.85</v>
      </c>
      <c r="H484" s="14">
        <v>35.76</v>
      </c>
      <c r="I484" s="18">
        <f t="shared" si="83"/>
        <v>0</v>
      </c>
      <c r="J484" s="18">
        <f t="shared" si="84"/>
        <v>35.76</v>
      </c>
      <c r="K484" s="14">
        <v>1.8</v>
      </c>
      <c r="L484" s="18">
        <f t="shared" si="85"/>
        <v>0</v>
      </c>
      <c r="M484" s="18">
        <f t="shared" si="86"/>
        <v>1.8</v>
      </c>
      <c r="N484" s="15">
        <f t="shared" si="87"/>
        <v>97.41</v>
      </c>
      <c r="O484" s="15">
        <f t="shared" si="78"/>
        <v>0</v>
      </c>
      <c r="P484" s="15">
        <f t="shared" si="79"/>
        <v>97.41</v>
      </c>
      <c r="Q484" s="5">
        <f t="shared" si="80"/>
        <v>1</v>
      </c>
    </row>
    <row r="485" spans="1:17" x14ac:dyDescent="0.25">
      <c r="A485" s="7">
        <v>46255.125</v>
      </c>
      <c r="B485" s="6">
        <v>0</v>
      </c>
      <c r="C485" s="13">
        <v>0</v>
      </c>
      <c r="D485" s="18">
        <f t="shared" si="77"/>
        <v>0</v>
      </c>
      <c r="E485" s="14">
        <v>72.45</v>
      </c>
      <c r="F485" s="18">
        <f t="shared" si="81"/>
        <v>0</v>
      </c>
      <c r="G485" s="18">
        <f t="shared" si="82"/>
        <v>72.45</v>
      </c>
      <c r="H485" s="14">
        <v>35.28</v>
      </c>
      <c r="I485" s="18">
        <f t="shared" si="83"/>
        <v>0</v>
      </c>
      <c r="J485" s="18">
        <f t="shared" si="84"/>
        <v>35.28</v>
      </c>
      <c r="K485" s="14">
        <v>1.8</v>
      </c>
      <c r="L485" s="18">
        <f t="shared" si="85"/>
        <v>0</v>
      </c>
      <c r="M485" s="18">
        <f t="shared" si="86"/>
        <v>1.8</v>
      </c>
      <c r="N485" s="15">
        <f t="shared" si="87"/>
        <v>109.53</v>
      </c>
      <c r="O485" s="15">
        <f t="shared" si="78"/>
        <v>0</v>
      </c>
      <c r="P485" s="15">
        <f t="shared" si="79"/>
        <v>109.53</v>
      </c>
      <c r="Q485" s="5">
        <f t="shared" si="80"/>
        <v>1</v>
      </c>
    </row>
    <row r="486" spans="1:17" x14ac:dyDescent="0.25">
      <c r="A486" s="7">
        <v>46255.166666666664</v>
      </c>
      <c r="B486" s="6">
        <v>0</v>
      </c>
      <c r="C486" s="13">
        <v>0</v>
      </c>
      <c r="D486" s="18">
        <f t="shared" si="77"/>
        <v>0</v>
      </c>
      <c r="E486" s="14">
        <v>72.45</v>
      </c>
      <c r="F486" s="18">
        <f t="shared" si="81"/>
        <v>0</v>
      </c>
      <c r="G486" s="18">
        <f t="shared" si="82"/>
        <v>72.45</v>
      </c>
      <c r="H486" s="14">
        <v>32.880000000000003</v>
      </c>
      <c r="I486" s="18">
        <f t="shared" si="83"/>
        <v>0</v>
      </c>
      <c r="J486" s="18">
        <f t="shared" si="84"/>
        <v>32.880000000000003</v>
      </c>
      <c r="K486" s="14">
        <v>1.92</v>
      </c>
      <c r="L486" s="18">
        <f t="shared" si="85"/>
        <v>0</v>
      </c>
      <c r="M486" s="18">
        <f t="shared" si="86"/>
        <v>1.92</v>
      </c>
      <c r="N486" s="15">
        <f t="shared" si="87"/>
        <v>107.25000000000001</v>
      </c>
      <c r="O486" s="15">
        <f t="shared" si="78"/>
        <v>0</v>
      </c>
      <c r="P486" s="15">
        <f t="shared" si="79"/>
        <v>107.25000000000001</v>
      </c>
      <c r="Q486" s="5">
        <f t="shared" si="80"/>
        <v>1</v>
      </c>
    </row>
    <row r="487" spans="1:17" x14ac:dyDescent="0.25">
      <c r="A487" s="7">
        <v>46255.208333333336</v>
      </c>
      <c r="B487" s="6">
        <v>0</v>
      </c>
      <c r="C487" s="13">
        <v>0</v>
      </c>
      <c r="D487" s="18">
        <f t="shared" si="77"/>
        <v>0</v>
      </c>
      <c r="E487" s="14">
        <v>75.599999999999994</v>
      </c>
      <c r="F487" s="18">
        <f t="shared" si="81"/>
        <v>0</v>
      </c>
      <c r="G487" s="18">
        <f t="shared" si="82"/>
        <v>75.599999999999994</v>
      </c>
      <c r="H487" s="14">
        <v>35.880000000000003</v>
      </c>
      <c r="I487" s="18">
        <f t="shared" si="83"/>
        <v>0</v>
      </c>
      <c r="J487" s="18">
        <f t="shared" si="84"/>
        <v>35.880000000000003</v>
      </c>
      <c r="K487" s="14">
        <v>1.8</v>
      </c>
      <c r="L487" s="18">
        <f t="shared" si="85"/>
        <v>0</v>
      </c>
      <c r="M487" s="18">
        <f t="shared" si="86"/>
        <v>1.8</v>
      </c>
      <c r="N487" s="15">
        <f t="shared" si="87"/>
        <v>113.27999999999999</v>
      </c>
      <c r="O487" s="15">
        <f t="shared" si="78"/>
        <v>0</v>
      </c>
      <c r="P487" s="15">
        <f t="shared" si="79"/>
        <v>113.27999999999999</v>
      </c>
      <c r="Q487" s="5">
        <f t="shared" si="80"/>
        <v>1</v>
      </c>
    </row>
    <row r="488" spans="1:17" x14ac:dyDescent="0.25">
      <c r="A488" s="7">
        <v>46255.25</v>
      </c>
      <c r="B488" s="6">
        <v>0</v>
      </c>
      <c r="C488" s="13">
        <v>0</v>
      </c>
      <c r="D488" s="18">
        <f t="shared" si="77"/>
        <v>0</v>
      </c>
      <c r="E488" s="14">
        <v>72.45</v>
      </c>
      <c r="F488" s="18">
        <f t="shared" si="81"/>
        <v>0</v>
      </c>
      <c r="G488" s="18">
        <f t="shared" si="82"/>
        <v>72.45</v>
      </c>
      <c r="H488" s="14">
        <v>43.68</v>
      </c>
      <c r="I488" s="18">
        <f t="shared" si="83"/>
        <v>0</v>
      </c>
      <c r="J488" s="18">
        <f t="shared" si="84"/>
        <v>43.68</v>
      </c>
      <c r="K488" s="14">
        <v>2.64</v>
      </c>
      <c r="L488" s="18">
        <f t="shared" si="85"/>
        <v>0</v>
      </c>
      <c r="M488" s="18">
        <f t="shared" si="86"/>
        <v>2.64</v>
      </c>
      <c r="N488" s="15">
        <f t="shared" si="87"/>
        <v>118.77</v>
      </c>
      <c r="O488" s="15">
        <f t="shared" si="78"/>
        <v>0</v>
      </c>
      <c r="P488" s="15">
        <f t="shared" si="79"/>
        <v>118.77</v>
      </c>
      <c r="Q488" s="5">
        <f t="shared" si="80"/>
        <v>1</v>
      </c>
    </row>
    <row r="489" spans="1:17" x14ac:dyDescent="0.25">
      <c r="A489" s="7">
        <v>46255.291666666664</v>
      </c>
      <c r="B489" s="6">
        <v>189</v>
      </c>
      <c r="C489" s="13">
        <v>0.24</v>
      </c>
      <c r="D489" s="18">
        <f t="shared" si="77"/>
        <v>189.24</v>
      </c>
      <c r="E489" s="14">
        <v>3.15</v>
      </c>
      <c r="F489" s="18">
        <f t="shared" si="81"/>
        <v>3.15</v>
      </c>
      <c r="G489" s="18">
        <f t="shared" si="82"/>
        <v>0</v>
      </c>
      <c r="H489" s="14">
        <v>16.079999999999998</v>
      </c>
      <c r="I489" s="18">
        <f t="shared" si="83"/>
        <v>16.079999999999998</v>
      </c>
      <c r="J489" s="18">
        <f t="shared" si="84"/>
        <v>0</v>
      </c>
      <c r="K489" s="14">
        <v>2.76</v>
      </c>
      <c r="L489" s="18">
        <f t="shared" si="85"/>
        <v>2.76</v>
      </c>
      <c r="M489" s="18">
        <f t="shared" si="86"/>
        <v>0</v>
      </c>
      <c r="N489" s="15">
        <f t="shared" si="87"/>
        <v>21.989999999999995</v>
      </c>
      <c r="O489" s="15">
        <f t="shared" si="78"/>
        <v>21.989999999999995</v>
      </c>
      <c r="P489" s="15">
        <f t="shared" si="79"/>
        <v>0</v>
      </c>
      <c r="Q489" s="5">
        <f t="shared" si="80"/>
        <v>0</v>
      </c>
    </row>
    <row r="490" spans="1:17" x14ac:dyDescent="0.25">
      <c r="A490" s="7">
        <v>46255.333333333336</v>
      </c>
      <c r="B490" s="6">
        <v>522.9</v>
      </c>
      <c r="C490" s="13">
        <v>0</v>
      </c>
      <c r="D490" s="18">
        <f t="shared" si="77"/>
        <v>522.9</v>
      </c>
      <c r="E490" s="14">
        <v>0</v>
      </c>
      <c r="F490" s="18">
        <f t="shared" si="81"/>
        <v>0</v>
      </c>
      <c r="G490" s="18">
        <f t="shared" si="82"/>
        <v>0</v>
      </c>
      <c r="H490" s="14">
        <v>142.19999999999999</v>
      </c>
      <c r="I490" s="18">
        <f t="shared" si="83"/>
        <v>142.19999999999999</v>
      </c>
      <c r="J490" s="18">
        <f t="shared" si="84"/>
        <v>0</v>
      </c>
      <c r="K490" s="14">
        <v>2.76</v>
      </c>
      <c r="L490" s="18">
        <f t="shared" si="85"/>
        <v>2.76</v>
      </c>
      <c r="M490" s="18">
        <f t="shared" si="86"/>
        <v>0</v>
      </c>
      <c r="N490" s="15">
        <f t="shared" si="87"/>
        <v>144.95999999999998</v>
      </c>
      <c r="O490" s="15">
        <f t="shared" si="78"/>
        <v>144.95999999999998</v>
      </c>
      <c r="P490" s="15">
        <f t="shared" si="79"/>
        <v>0</v>
      </c>
      <c r="Q490" s="5">
        <f t="shared" si="80"/>
        <v>0</v>
      </c>
    </row>
    <row r="491" spans="1:17" x14ac:dyDescent="0.25">
      <c r="A491" s="7">
        <v>46255.375</v>
      </c>
      <c r="B491" s="6">
        <v>847.35</v>
      </c>
      <c r="C491" s="13">
        <v>0</v>
      </c>
      <c r="D491" s="18">
        <f t="shared" si="77"/>
        <v>847.35</v>
      </c>
      <c r="E491" s="14">
        <v>0</v>
      </c>
      <c r="F491" s="18">
        <f t="shared" si="81"/>
        <v>0</v>
      </c>
      <c r="G491" s="18">
        <f t="shared" si="82"/>
        <v>0</v>
      </c>
      <c r="H491" s="14">
        <v>102.84</v>
      </c>
      <c r="I491" s="18">
        <f t="shared" si="83"/>
        <v>102.84</v>
      </c>
      <c r="J491" s="18">
        <f t="shared" si="84"/>
        <v>0</v>
      </c>
      <c r="K491" s="14">
        <v>35.04</v>
      </c>
      <c r="L491" s="18">
        <f t="shared" si="85"/>
        <v>35.04</v>
      </c>
      <c r="M491" s="18">
        <f t="shared" si="86"/>
        <v>0</v>
      </c>
      <c r="N491" s="15">
        <f t="shared" si="87"/>
        <v>137.88</v>
      </c>
      <c r="O491" s="15">
        <f t="shared" si="78"/>
        <v>137.88</v>
      </c>
      <c r="P491" s="15">
        <f t="shared" si="79"/>
        <v>0</v>
      </c>
      <c r="Q491" s="5">
        <f t="shared" si="80"/>
        <v>0</v>
      </c>
    </row>
    <row r="492" spans="1:17" x14ac:dyDescent="0.25">
      <c r="A492" s="7">
        <v>46255.416666666664</v>
      </c>
      <c r="B492" s="6">
        <v>1285.2</v>
      </c>
      <c r="C492" s="13">
        <v>2.64</v>
      </c>
      <c r="D492" s="18">
        <f t="shared" si="77"/>
        <v>1287.8400000000001</v>
      </c>
      <c r="E492" s="14">
        <v>0</v>
      </c>
      <c r="F492" s="18">
        <f t="shared" si="81"/>
        <v>0</v>
      </c>
      <c r="G492" s="18">
        <f t="shared" si="82"/>
        <v>0</v>
      </c>
      <c r="H492" s="14">
        <v>34.08</v>
      </c>
      <c r="I492" s="18">
        <f t="shared" si="83"/>
        <v>34.08</v>
      </c>
      <c r="J492" s="18">
        <f t="shared" si="84"/>
        <v>0</v>
      </c>
      <c r="K492" s="14">
        <v>63.36</v>
      </c>
      <c r="L492" s="18">
        <f t="shared" si="85"/>
        <v>63.36</v>
      </c>
      <c r="M492" s="18">
        <f t="shared" si="86"/>
        <v>0</v>
      </c>
      <c r="N492" s="15">
        <f t="shared" si="87"/>
        <v>97.44</v>
      </c>
      <c r="O492" s="15">
        <f t="shared" si="78"/>
        <v>97.44</v>
      </c>
      <c r="P492" s="15">
        <f t="shared" si="79"/>
        <v>0</v>
      </c>
      <c r="Q492" s="5">
        <f t="shared" si="80"/>
        <v>0</v>
      </c>
    </row>
    <row r="493" spans="1:17" x14ac:dyDescent="0.25">
      <c r="A493" s="7">
        <v>46255.458333333336</v>
      </c>
      <c r="B493" s="6">
        <v>2192.4</v>
      </c>
      <c r="C493" s="13">
        <v>18.600000000000001</v>
      </c>
      <c r="D493" s="18">
        <f t="shared" si="77"/>
        <v>2211</v>
      </c>
      <c r="E493" s="14">
        <v>0</v>
      </c>
      <c r="F493" s="18">
        <f t="shared" si="81"/>
        <v>0</v>
      </c>
      <c r="G493" s="18">
        <f t="shared" si="82"/>
        <v>0</v>
      </c>
      <c r="H493" s="14">
        <v>7.92</v>
      </c>
      <c r="I493" s="18">
        <f t="shared" si="83"/>
        <v>7.92</v>
      </c>
      <c r="J493" s="18">
        <f t="shared" si="84"/>
        <v>0</v>
      </c>
      <c r="K493" s="14">
        <v>65.64</v>
      </c>
      <c r="L493" s="18">
        <f t="shared" si="85"/>
        <v>65.64</v>
      </c>
      <c r="M493" s="18">
        <f t="shared" si="86"/>
        <v>0</v>
      </c>
      <c r="N493" s="15">
        <f t="shared" si="87"/>
        <v>73.56</v>
      </c>
      <c r="O493" s="15">
        <f t="shared" si="78"/>
        <v>73.56</v>
      </c>
      <c r="P493" s="15">
        <f t="shared" si="79"/>
        <v>0</v>
      </c>
      <c r="Q493" s="5">
        <f t="shared" si="80"/>
        <v>0</v>
      </c>
    </row>
    <row r="494" spans="1:17" x14ac:dyDescent="0.25">
      <c r="A494" s="7">
        <v>46255.5</v>
      </c>
      <c r="B494" s="6">
        <v>2412.9</v>
      </c>
      <c r="C494" s="13">
        <v>28.32</v>
      </c>
      <c r="D494" s="18">
        <f t="shared" si="77"/>
        <v>2441.2200000000003</v>
      </c>
      <c r="E494" s="14">
        <v>0</v>
      </c>
      <c r="F494" s="18">
        <f t="shared" si="81"/>
        <v>0</v>
      </c>
      <c r="G494" s="18">
        <f t="shared" si="82"/>
        <v>0</v>
      </c>
      <c r="H494" s="14">
        <v>9.48</v>
      </c>
      <c r="I494" s="18">
        <f t="shared" si="83"/>
        <v>9.48</v>
      </c>
      <c r="J494" s="18">
        <f t="shared" si="84"/>
        <v>0</v>
      </c>
      <c r="K494" s="14">
        <v>80.400000000000006</v>
      </c>
      <c r="L494" s="18">
        <f t="shared" si="85"/>
        <v>80.400000000000006</v>
      </c>
      <c r="M494" s="18">
        <f t="shared" si="86"/>
        <v>0</v>
      </c>
      <c r="N494" s="15">
        <f t="shared" si="87"/>
        <v>89.88000000000001</v>
      </c>
      <c r="O494" s="15">
        <f t="shared" si="78"/>
        <v>89.88000000000001</v>
      </c>
      <c r="P494" s="15">
        <f t="shared" si="79"/>
        <v>0</v>
      </c>
      <c r="Q494" s="5">
        <f t="shared" si="80"/>
        <v>0</v>
      </c>
    </row>
    <row r="495" spans="1:17" x14ac:dyDescent="0.25">
      <c r="A495" s="7">
        <v>46255.541666666664</v>
      </c>
      <c r="B495" s="6">
        <v>2293.1999999999998</v>
      </c>
      <c r="C495" s="13">
        <v>12.96</v>
      </c>
      <c r="D495" s="18">
        <f t="shared" si="77"/>
        <v>2306.16</v>
      </c>
      <c r="E495" s="14">
        <v>0</v>
      </c>
      <c r="F495" s="18">
        <f t="shared" si="81"/>
        <v>0</v>
      </c>
      <c r="G495" s="18">
        <f t="shared" si="82"/>
        <v>0</v>
      </c>
      <c r="H495" s="14">
        <v>22.44</v>
      </c>
      <c r="I495" s="18">
        <f t="shared" si="83"/>
        <v>22.44</v>
      </c>
      <c r="J495" s="18">
        <f t="shared" si="84"/>
        <v>0</v>
      </c>
      <c r="K495" s="14">
        <v>91.2</v>
      </c>
      <c r="L495" s="18">
        <f t="shared" si="85"/>
        <v>91.2</v>
      </c>
      <c r="M495" s="18">
        <f t="shared" si="86"/>
        <v>0</v>
      </c>
      <c r="N495" s="15">
        <f t="shared" si="87"/>
        <v>113.64</v>
      </c>
      <c r="O495" s="15">
        <f t="shared" si="78"/>
        <v>113.64</v>
      </c>
      <c r="P495" s="15">
        <f t="shared" si="79"/>
        <v>0</v>
      </c>
      <c r="Q495" s="5">
        <f t="shared" si="80"/>
        <v>0</v>
      </c>
    </row>
    <row r="496" spans="1:17" x14ac:dyDescent="0.25">
      <c r="A496" s="7">
        <v>46255.583333333336</v>
      </c>
      <c r="B496" s="6">
        <v>1571.85</v>
      </c>
      <c r="C496" s="13">
        <v>1.44</v>
      </c>
      <c r="D496" s="18">
        <f t="shared" si="77"/>
        <v>1573.29</v>
      </c>
      <c r="E496" s="14">
        <v>0</v>
      </c>
      <c r="F496" s="18">
        <f t="shared" si="81"/>
        <v>0</v>
      </c>
      <c r="G496" s="18">
        <f t="shared" si="82"/>
        <v>0</v>
      </c>
      <c r="H496" s="14">
        <v>43.68</v>
      </c>
      <c r="I496" s="18">
        <f t="shared" si="83"/>
        <v>43.68</v>
      </c>
      <c r="J496" s="18">
        <f t="shared" si="84"/>
        <v>0</v>
      </c>
      <c r="K496" s="14">
        <v>75.48</v>
      </c>
      <c r="L496" s="18">
        <f t="shared" si="85"/>
        <v>75.48</v>
      </c>
      <c r="M496" s="18">
        <f t="shared" si="86"/>
        <v>0</v>
      </c>
      <c r="N496" s="15">
        <f t="shared" si="87"/>
        <v>119.16</v>
      </c>
      <c r="O496" s="15">
        <f t="shared" si="78"/>
        <v>119.16</v>
      </c>
      <c r="P496" s="15">
        <f t="shared" si="79"/>
        <v>0</v>
      </c>
      <c r="Q496" s="5">
        <f t="shared" si="80"/>
        <v>0</v>
      </c>
    </row>
    <row r="497" spans="1:17" x14ac:dyDescent="0.25">
      <c r="A497" s="7">
        <v>46255.625</v>
      </c>
      <c r="B497" s="6">
        <v>1178.0999999999999</v>
      </c>
      <c r="C497" s="13">
        <v>0.24</v>
      </c>
      <c r="D497" s="18">
        <f t="shared" si="77"/>
        <v>1178.3399999999999</v>
      </c>
      <c r="E497" s="14">
        <v>0</v>
      </c>
      <c r="F497" s="18">
        <f t="shared" si="81"/>
        <v>0</v>
      </c>
      <c r="G497" s="18">
        <f t="shared" si="82"/>
        <v>0</v>
      </c>
      <c r="H497" s="14">
        <v>74.88</v>
      </c>
      <c r="I497" s="18">
        <f t="shared" si="83"/>
        <v>74.88</v>
      </c>
      <c r="J497" s="18">
        <f t="shared" si="84"/>
        <v>0</v>
      </c>
      <c r="K497" s="14">
        <v>65.88</v>
      </c>
      <c r="L497" s="18">
        <f t="shared" si="85"/>
        <v>65.88</v>
      </c>
      <c r="M497" s="18">
        <f t="shared" si="86"/>
        <v>0</v>
      </c>
      <c r="N497" s="15">
        <f t="shared" si="87"/>
        <v>140.76</v>
      </c>
      <c r="O497" s="15">
        <f t="shared" si="78"/>
        <v>140.76</v>
      </c>
      <c r="P497" s="15">
        <f t="shared" si="79"/>
        <v>0</v>
      </c>
      <c r="Q497" s="5">
        <f t="shared" si="80"/>
        <v>0</v>
      </c>
    </row>
    <row r="498" spans="1:17" x14ac:dyDescent="0.25">
      <c r="A498" s="7">
        <v>46255.666666666664</v>
      </c>
      <c r="B498" s="6">
        <v>466.2</v>
      </c>
      <c r="C498" s="13">
        <v>0</v>
      </c>
      <c r="D498" s="18">
        <f t="shared" si="77"/>
        <v>466.2</v>
      </c>
      <c r="E498" s="14">
        <v>40.950000000000003</v>
      </c>
      <c r="F498" s="18">
        <f t="shared" si="81"/>
        <v>40.950000000000003</v>
      </c>
      <c r="G498" s="18">
        <f t="shared" si="82"/>
        <v>0</v>
      </c>
      <c r="H498" s="14">
        <v>97.8</v>
      </c>
      <c r="I498" s="18">
        <f t="shared" si="83"/>
        <v>97.8</v>
      </c>
      <c r="J498" s="18">
        <f t="shared" si="84"/>
        <v>0</v>
      </c>
      <c r="K498" s="14">
        <v>38.4</v>
      </c>
      <c r="L498" s="18">
        <f t="shared" si="85"/>
        <v>38.4</v>
      </c>
      <c r="M498" s="18">
        <f t="shared" si="86"/>
        <v>0</v>
      </c>
      <c r="N498" s="15">
        <f t="shared" si="87"/>
        <v>177.15</v>
      </c>
      <c r="O498" s="15">
        <f t="shared" si="78"/>
        <v>177.15</v>
      </c>
      <c r="P498" s="15">
        <f t="shared" si="79"/>
        <v>0</v>
      </c>
      <c r="Q498" s="5">
        <f t="shared" si="80"/>
        <v>0</v>
      </c>
    </row>
    <row r="499" spans="1:17" x14ac:dyDescent="0.25">
      <c r="A499" s="7">
        <v>46255.708333333336</v>
      </c>
      <c r="B499" s="6">
        <v>50.4</v>
      </c>
      <c r="C499" s="13">
        <v>0</v>
      </c>
      <c r="D499" s="18">
        <f t="shared" si="77"/>
        <v>50.4</v>
      </c>
      <c r="E499" s="14">
        <v>207.9</v>
      </c>
      <c r="F499" s="18">
        <f t="shared" si="81"/>
        <v>32.70949616032965</v>
      </c>
      <c r="G499" s="18">
        <f t="shared" si="82"/>
        <v>175.19050383967036</v>
      </c>
      <c r="H499" s="14">
        <v>66.959999999999994</v>
      </c>
      <c r="I499" s="18">
        <f t="shared" si="83"/>
        <v>10.535006555534736</v>
      </c>
      <c r="J499" s="18">
        <f t="shared" si="84"/>
        <v>56.424993444465258</v>
      </c>
      <c r="K499" s="14">
        <v>45.48</v>
      </c>
      <c r="L499" s="18">
        <f t="shared" si="85"/>
        <v>7.155497284135599</v>
      </c>
      <c r="M499" s="18">
        <f t="shared" si="86"/>
        <v>38.324502715864398</v>
      </c>
      <c r="N499" s="15">
        <f t="shared" si="87"/>
        <v>320.34000000000003</v>
      </c>
      <c r="O499" s="15">
        <f t="shared" si="78"/>
        <v>50.399999999999977</v>
      </c>
      <c r="P499" s="15">
        <f t="shared" si="79"/>
        <v>269.94000000000005</v>
      </c>
      <c r="Q499" s="5">
        <f t="shared" si="80"/>
        <v>0.84266716613598058</v>
      </c>
    </row>
    <row r="500" spans="1:17" x14ac:dyDescent="0.25">
      <c r="A500" s="7">
        <v>46255.75</v>
      </c>
      <c r="B500" s="6">
        <v>3.15</v>
      </c>
      <c r="C500" s="13">
        <v>0</v>
      </c>
      <c r="D500" s="18">
        <f t="shared" si="77"/>
        <v>3.15</v>
      </c>
      <c r="E500" s="14">
        <v>277.2</v>
      </c>
      <c r="F500" s="18">
        <f t="shared" si="81"/>
        <v>2.3151447661470002</v>
      </c>
      <c r="G500" s="18">
        <f t="shared" si="82"/>
        <v>274.88485523385299</v>
      </c>
      <c r="H500" s="14">
        <v>78.599999999999994</v>
      </c>
      <c r="I500" s="18">
        <f t="shared" si="83"/>
        <v>0.65645879732738877</v>
      </c>
      <c r="J500" s="18">
        <f t="shared" si="84"/>
        <v>77.943541202672606</v>
      </c>
      <c r="K500" s="14">
        <v>21.36</v>
      </c>
      <c r="L500" s="18">
        <f t="shared" si="85"/>
        <v>0.17839643652561321</v>
      </c>
      <c r="M500" s="18">
        <f t="shared" si="86"/>
        <v>21.181603563474386</v>
      </c>
      <c r="N500" s="15">
        <f t="shared" si="87"/>
        <v>377.15999999999997</v>
      </c>
      <c r="O500" s="15">
        <f t="shared" si="78"/>
        <v>3.1499999999999773</v>
      </c>
      <c r="P500" s="15">
        <f t="shared" si="79"/>
        <v>374.01</v>
      </c>
      <c r="Q500" s="5">
        <f t="shared" si="80"/>
        <v>0.99164810690423166</v>
      </c>
    </row>
    <row r="501" spans="1:17" x14ac:dyDescent="0.25">
      <c r="A501" s="7">
        <v>46255.791666666664</v>
      </c>
      <c r="B501" s="6">
        <v>0</v>
      </c>
      <c r="C501" s="13">
        <v>0</v>
      </c>
      <c r="D501" s="18">
        <f t="shared" si="77"/>
        <v>0</v>
      </c>
      <c r="E501" s="14">
        <v>91.35</v>
      </c>
      <c r="F501" s="18">
        <f t="shared" si="81"/>
        <v>0</v>
      </c>
      <c r="G501" s="18">
        <f t="shared" si="82"/>
        <v>91.35</v>
      </c>
      <c r="H501" s="14">
        <v>58.8</v>
      </c>
      <c r="I501" s="18">
        <f t="shared" si="83"/>
        <v>0</v>
      </c>
      <c r="J501" s="18">
        <f t="shared" si="84"/>
        <v>58.8</v>
      </c>
      <c r="K501" s="14">
        <v>28.92</v>
      </c>
      <c r="L501" s="18">
        <f t="shared" si="85"/>
        <v>0</v>
      </c>
      <c r="M501" s="18">
        <f t="shared" si="86"/>
        <v>28.92</v>
      </c>
      <c r="N501" s="15">
        <f t="shared" si="87"/>
        <v>179.07</v>
      </c>
      <c r="O501" s="15">
        <f t="shared" si="78"/>
        <v>0</v>
      </c>
      <c r="P501" s="15">
        <f t="shared" si="79"/>
        <v>179.07</v>
      </c>
      <c r="Q501" s="5">
        <f t="shared" si="80"/>
        <v>1</v>
      </c>
    </row>
    <row r="502" spans="1:17" x14ac:dyDescent="0.25">
      <c r="A502" s="7">
        <v>46255.833333333336</v>
      </c>
      <c r="B502" s="6">
        <v>0</v>
      </c>
      <c r="C502" s="13">
        <v>0</v>
      </c>
      <c r="D502" s="18">
        <f t="shared" si="77"/>
        <v>0</v>
      </c>
      <c r="E502" s="14">
        <v>485.1</v>
      </c>
      <c r="F502" s="18">
        <f t="shared" si="81"/>
        <v>0</v>
      </c>
      <c r="G502" s="18">
        <f t="shared" si="82"/>
        <v>485.1</v>
      </c>
      <c r="H502" s="14">
        <v>34.68</v>
      </c>
      <c r="I502" s="18">
        <f t="shared" si="83"/>
        <v>0</v>
      </c>
      <c r="J502" s="18">
        <f t="shared" si="84"/>
        <v>34.68</v>
      </c>
      <c r="K502" s="14">
        <v>13.2</v>
      </c>
      <c r="L502" s="18">
        <f t="shared" si="85"/>
        <v>0</v>
      </c>
      <c r="M502" s="18">
        <f t="shared" si="86"/>
        <v>13.2</v>
      </c>
      <c r="N502" s="15">
        <f t="shared" si="87"/>
        <v>532.98</v>
      </c>
      <c r="O502" s="15">
        <f t="shared" si="78"/>
        <v>0</v>
      </c>
      <c r="P502" s="15">
        <f t="shared" si="79"/>
        <v>532.98</v>
      </c>
      <c r="Q502" s="5">
        <f t="shared" si="80"/>
        <v>1</v>
      </c>
    </row>
    <row r="503" spans="1:17" x14ac:dyDescent="0.25">
      <c r="A503" s="7">
        <v>46255.875</v>
      </c>
      <c r="B503" s="6">
        <v>0</v>
      </c>
      <c r="C503" s="13">
        <v>0</v>
      </c>
      <c r="D503" s="18">
        <f t="shared" si="77"/>
        <v>0</v>
      </c>
      <c r="E503" s="14">
        <v>837.9</v>
      </c>
      <c r="F503" s="18">
        <f t="shared" si="81"/>
        <v>0</v>
      </c>
      <c r="G503" s="18">
        <f t="shared" si="82"/>
        <v>837.9</v>
      </c>
      <c r="H503" s="14">
        <v>35.159999999999997</v>
      </c>
      <c r="I503" s="18">
        <f t="shared" si="83"/>
        <v>0</v>
      </c>
      <c r="J503" s="18">
        <f t="shared" si="84"/>
        <v>35.159999999999997</v>
      </c>
      <c r="K503" s="14">
        <v>23.76</v>
      </c>
      <c r="L503" s="18">
        <f t="shared" si="85"/>
        <v>0</v>
      </c>
      <c r="M503" s="18">
        <f t="shared" si="86"/>
        <v>23.76</v>
      </c>
      <c r="N503" s="15">
        <f t="shared" si="87"/>
        <v>896.81999999999994</v>
      </c>
      <c r="O503" s="15">
        <f t="shared" si="78"/>
        <v>0</v>
      </c>
      <c r="P503" s="15">
        <f t="shared" si="79"/>
        <v>896.81999999999994</v>
      </c>
      <c r="Q503" s="5">
        <f t="shared" si="80"/>
        <v>1</v>
      </c>
    </row>
    <row r="504" spans="1:17" x14ac:dyDescent="0.25">
      <c r="A504" s="7">
        <v>46255.916666666664</v>
      </c>
      <c r="B504" s="6">
        <v>0</v>
      </c>
      <c r="C504" s="13">
        <v>0</v>
      </c>
      <c r="D504" s="18">
        <f t="shared" si="77"/>
        <v>0</v>
      </c>
      <c r="E504" s="14">
        <v>702.45</v>
      </c>
      <c r="F504" s="18">
        <f t="shared" si="81"/>
        <v>0</v>
      </c>
      <c r="G504" s="18">
        <f t="shared" si="82"/>
        <v>702.45</v>
      </c>
      <c r="H504" s="14">
        <v>35.64</v>
      </c>
      <c r="I504" s="18">
        <f t="shared" si="83"/>
        <v>0</v>
      </c>
      <c r="J504" s="18">
        <f t="shared" si="84"/>
        <v>35.64</v>
      </c>
      <c r="K504" s="14">
        <v>16.2</v>
      </c>
      <c r="L504" s="18">
        <f t="shared" si="85"/>
        <v>0</v>
      </c>
      <c r="M504" s="18">
        <f t="shared" si="86"/>
        <v>16.2</v>
      </c>
      <c r="N504" s="15">
        <f t="shared" si="87"/>
        <v>754.29000000000008</v>
      </c>
      <c r="O504" s="15">
        <f t="shared" si="78"/>
        <v>0</v>
      </c>
      <c r="P504" s="15">
        <f t="shared" si="79"/>
        <v>754.29000000000008</v>
      </c>
      <c r="Q504" s="5">
        <f t="shared" si="80"/>
        <v>1</v>
      </c>
    </row>
    <row r="505" spans="1:17" x14ac:dyDescent="0.25">
      <c r="A505" s="7">
        <v>46255.958333333336</v>
      </c>
      <c r="B505" s="6">
        <v>0</v>
      </c>
      <c r="C505" s="13">
        <v>0</v>
      </c>
      <c r="D505" s="18">
        <f t="shared" si="77"/>
        <v>0</v>
      </c>
      <c r="E505" s="14">
        <v>664.65</v>
      </c>
      <c r="F505" s="18">
        <f t="shared" si="81"/>
        <v>0</v>
      </c>
      <c r="G505" s="18">
        <f t="shared" si="82"/>
        <v>664.65</v>
      </c>
      <c r="H505" s="14">
        <v>42.72</v>
      </c>
      <c r="I505" s="18">
        <f t="shared" si="83"/>
        <v>0</v>
      </c>
      <c r="J505" s="18">
        <f t="shared" si="84"/>
        <v>42.72</v>
      </c>
      <c r="K505" s="14">
        <v>2.16</v>
      </c>
      <c r="L505" s="18">
        <f t="shared" si="85"/>
        <v>0</v>
      </c>
      <c r="M505" s="18">
        <f t="shared" si="86"/>
        <v>2.16</v>
      </c>
      <c r="N505" s="15">
        <f t="shared" si="87"/>
        <v>709.53</v>
      </c>
      <c r="O505" s="15">
        <f t="shared" si="78"/>
        <v>0</v>
      </c>
      <c r="P505" s="15">
        <f t="shared" si="79"/>
        <v>709.53</v>
      </c>
      <c r="Q505" s="5">
        <f t="shared" si="80"/>
        <v>1</v>
      </c>
    </row>
    <row r="506" spans="1:17" x14ac:dyDescent="0.25">
      <c r="A506" s="7">
        <v>46256</v>
      </c>
      <c r="B506" s="6">
        <v>0</v>
      </c>
      <c r="C506" s="13">
        <v>0</v>
      </c>
      <c r="D506" s="18">
        <f t="shared" si="77"/>
        <v>0</v>
      </c>
      <c r="E506" s="14">
        <v>661.5</v>
      </c>
      <c r="F506" s="18">
        <f t="shared" si="81"/>
        <v>0</v>
      </c>
      <c r="G506" s="18">
        <f t="shared" si="82"/>
        <v>661.5</v>
      </c>
      <c r="H506" s="14">
        <v>42.12</v>
      </c>
      <c r="I506" s="18">
        <f t="shared" si="83"/>
        <v>0</v>
      </c>
      <c r="J506" s="18">
        <f t="shared" si="84"/>
        <v>42.12</v>
      </c>
      <c r="K506" s="14">
        <v>2.2799999999999998</v>
      </c>
      <c r="L506" s="18">
        <f t="shared" si="85"/>
        <v>0</v>
      </c>
      <c r="M506" s="18">
        <f t="shared" si="86"/>
        <v>2.2799999999999998</v>
      </c>
      <c r="N506" s="15">
        <f t="shared" si="87"/>
        <v>705.9</v>
      </c>
      <c r="O506" s="15">
        <f t="shared" si="78"/>
        <v>0</v>
      </c>
      <c r="P506" s="15">
        <f t="shared" si="79"/>
        <v>705.9</v>
      </c>
      <c r="Q506" s="5">
        <f t="shared" si="80"/>
        <v>1</v>
      </c>
    </row>
    <row r="507" spans="1:17" x14ac:dyDescent="0.25">
      <c r="A507" s="7">
        <v>46256.041666666664</v>
      </c>
      <c r="B507" s="6">
        <v>0</v>
      </c>
      <c r="C507" s="13">
        <v>0</v>
      </c>
      <c r="D507" s="18">
        <f t="shared" si="77"/>
        <v>0</v>
      </c>
      <c r="E507" s="14">
        <v>166.95</v>
      </c>
      <c r="F507" s="18">
        <f t="shared" si="81"/>
        <v>0</v>
      </c>
      <c r="G507" s="18">
        <f t="shared" si="82"/>
        <v>166.95</v>
      </c>
      <c r="H507" s="14">
        <v>35.4</v>
      </c>
      <c r="I507" s="18">
        <f t="shared" si="83"/>
        <v>0</v>
      </c>
      <c r="J507" s="18">
        <f t="shared" si="84"/>
        <v>35.4</v>
      </c>
      <c r="K507" s="14">
        <v>3.24</v>
      </c>
      <c r="L507" s="18">
        <f t="shared" si="85"/>
        <v>0</v>
      </c>
      <c r="M507" s="18">
        <f t="shared" si="86"/>
        <v>3.24</v>
      </c>
      <c r="N507" s="15">
        <f t="shared" si="87"/>
        <v>205.59</v>
      </c>
      <c r="O507" s="15">
        <f t="shared" si="78"/>
        <v>0</v>
      </c>
      <c r="P507" s="15">
        <f t="shared" si="79"/>
        <v>205.59</v>
      </c>
      <c r="Q507" s="5">
        <f t="shared" si="80"/>
        <v>1</v>
      </c>
    </row>
    <row r="508" spans="1:17" x14ac:dyDescent="0.25">
      <c r="A508" s="7">
        <v>46256.083333333336</v>
      </c>
      <c r="B508" s="6">
        <v>0</v>
      </c>
      <c r="C508" s="13">
        <v>0</v>
      </c>
      <c r="D508" s="18">
        <f t="shared" si="77"/>
        <v>0</v>
      </c>
      <c r="E508" s="14">
        <v>737.1</v>
      </c>
      <c r="F508" s="18">
        <f t="shared" si="81"/>
        <v>0</v>
      </c>
      <c r="G508" s="18">
        <f t="shared" si="82"/>
        <v>737.1</v>
      </c>
      <c r="H508" s="14">
        <v>36.119999999999997</v>
      </c>
      <c r="I508" s="18">
        <f t="shared" si="83"/>
        <v>0</v>
      </c>
      <c r="J508" s="18">
        <f t="shared" si="84"/>
        <v>36.119999999999997</v>
      </c>
      <c r="K508" s="14">
        <v>2.16</v>
      </c>
      <c r="L508" s="18">
        <f t="shared" si="85"/>
        <v>0</v>
      </c>
      <c r="M508" s="18">
        <f t="shared" si="86"/>
        <v>2.16</v>
      </c>
      <c r="N508" s="15">
        <f t="shared" si="87"/>
        <v>775.38</v>
      </c>
      <c r="O508" s="15">
        <f t="shared" si="78"/>
        <v>0</v>
      </c>
      <c r="P508" s="15">
        <f t="shared" si="79"/>
        <v>775.38</v>
      </c>
      <c r="Q508" s="5">
        <f t="shared" si="80"/>
        <v>1</v>
      </c>
    </row>
    <row r="509" spans="1:17" x14ac:dyDescent="0.25">
      <c r="A509" s="7">
        <v>46256.125</v>
      </c>
      <c r="B509" s="6">
        <v>0</v>
      </c>
      <c r="C509" s="13">
        <v>0</v>
      </c>
      <c r="D509" s="18">
        <f t="shared" si="77"/>
        <v>0</v>
      </c>
      <c r="E509" s="14">
        <v>970.2</v>
      </c>
      <c r="F509" s="18">
        <f t="shared" si="81"/>
        <v>0</v>
      </c>
      <c r="G509" s="18">
        <f t="shared" si="82"/>
        <v>970.2</v>
      </c>
      <c r="H509" s="14">
        <v>36</v>
      </c>
      <c r="I509" s="18">
        <f t="shared" si="83"/>
        <v>0</v>
      </c>
      <c r="J509" s="18">
        <f t="shared" si="84"/>
        <v>36</v>
      </c>
      <c r="K509" s="14">
        <v>2.04</v>
      </c>
      <c r="L509" s="18">
        <f t="shared" si="85"/>
        <v>0</v>
      </c>
      <c r="M509" s="18">
        <f t="shared" si="86"/>
        <v>2.04</v>
      </c>
      <c r="N509" s="15">
        <f t="shared" si="87"/>
        <v>1008.24</v>
      </c>
      <c r="O509" s="15">
        <f t="shared" si="78"/>
        <v>0</v>
      </c>
      <c r="P509" s="15">
        <f t="shared" si="79"/>
        <v>1008.24</v>
      </c>
      <c r="Q509" s="5">
        <f t="shared" si="80"/>
        <v>1</v>
      </c>
    </row>
    <row r="510" spans="1:17" x14ac:dyDescent="0.25">
      <c r="A510" s="7">
        <v>46256.166666666664</v>
      </c>
      <c r="B510" s="6">
        <v>0</v>
      </c>
      <c r="C510" s="13">
        <v>0</v>
      </c>
      <c r="D510" s="18">
        <f t="shared" si="77"/>
        <v>0</v>
      </c>
      <c r="E510" s="14">
        <v>844.2</v>
      </c>
      <c r="F510" s="18">
        <f t="shared" si="81"/>
        <v>0</v>
      </c>
      <c r="G510" s="18">
        <f t="shared" si="82"/>
        <v>844.2</v>
      </c>
      <c r="H510" s="14">
        <v>36.72</v>
      </c>
      <c r="I510" s="18">
        <f t="shared" si="83"/>
        <v>0</v>
      </c>
      <c r="J510" s="18">
        <f t="shared" si="84"/>
        <v>36.72</v>
      </c>
      <c r="K510" s="14">
        <v>2.04</v>
      </c>
      <c r="L510" s="18">
        <f t="shared" si="85"/>
        <v>0</v>
      </c>
      <c r="M510" s="18">
        <f t="shared" si="86"/>
        <v>2.04</v>
      </c>
      <c r="N510" s="15">
        <f t="shared" si="87"/>
        <v>882.96</v>
      </c>
      <c r="O510" s="15">
        <f t="shared" si="78"/>
        <v>0</v>
      </c>
      <c r="P510" s="15">
        <f t="shared" si="79"/>
        <v>882.96</v>
      </c>
      <c r="Q510" s="5">
        <f t="shared" si="80"/>
        <v>1</v>
      </c>
    </row>
    <row r="511" spans="1:17" x14ac:dyDescent="0.25">
      <c r="A511" s="7">
        <v>46256.208333333336</v>
      </c>
      <c r="B511" s="6">
        <v>0</v>
      </c>
      <c r="C511" s="13">
        <v>0</v>
      </c>
      <c r="D511" s="18">
        <f t="shared" si="77"/>
        <v>0</v>
      </c>
      <c r="E511" s="14">
        <v>809.55</v>
      </c>
      <c r="F511" s="18">
        <f t="shared" si="81"/>
        <v>0</v>
      </c>
      <c r="G511" s="18">
        <f t="shared" si="82"/>
        <v>809.55</v>
      </c>
      <c r="H511" s="14">
        <v>36.840000000000003</v>
      </c>
      <c r="I511" s="18">
        <f t="shared" si="83"/>
        <v>0</v>
      </c>
      <c r="J511" s="18">
        <f t="shared" si="84"/>
        <v>36.840000000000003</v>
      </c>
      <c r="K511" s="14">
        <v>2.16</v>
      </c>
      <c r="L511" s="18">
        <f t="shared" si="85"/>
        <v>0</v>
      </c>
      <c r="M511" s="18">
        <f t="shared" si="86"/>
        <v>2.16</v>
      </c>
      <c r="N511" s="15">
        <f t="shared" si="87"/>
        <v>848.55</v>
      </c>
      <c r="O511" s="15">
        <f t="shared" si="78"/>
        <v>0</v>
      </c>
      <c r="P511" s="15">
        <f t="shared" si="79"/>
        <v>848.55</v>
      </c>
      <c r="Q511" s="5">
        <f t="shared" si="80"/>
        <v>1</v>
      </c>
    </row>
    <row r="512" spans="1:17" x14ac:dyDescent="0.25">
      <c r="A512" s="7">
        <v>46256.25</v>
      </c>
      <c r="B512" s="6">
        <v>0</v>
      </c>
      <c r="C512" s="13">
        <v>0</v>
      </c>
      <c r="D512" s="18">
        <f t="shared" si="77"/>
        <v>0</v>
      </c>
      <c r="E512" s="14">
        <v>245.7</v>
      </c>
      <c r="F512" s="18">
        <f t="shared" si="81"/>
        <v>0</v>
      </c>
      <c r="G512" s="18">
        <f t="shared" si="82"/>
        <v>245.7</v>
      </c>
      <c r="H512" s="14">
        <v>40.44</v>
      </c>
      <c r="I512" s="18">
        <f t="shared" si="83"/>
        <v>0</v>
      </c>
      <c r="J512" s="18">
        <f t="shared" si="84"/>
        <v>40.44</v>
      </c>
      <c r="K512" s="14">
        <v>3.24</v>
      </c>
      <c r="L512" s="18">
        <f t="shared" si="85"/>
        <v>0</v>
      </c>
      <c r="M512" s="18">
        <f t="shared" si="86"/>
        <v>3.24</v>
      </c>
      <c r="N512" s="15">
        <f t="shared" si="87"/>
        <v>289.38</v>
      </c>
      <c r="O512" s="15">
        <f t="shared" si="78"/>
        <v>0</v>
      </c>
      <c r="P512" s="15">
        <f t="shared" si="79"/>
        <v>289.38</v>
      </c>
      <c r="Q512" s="5">
        <f t="shared" si="80"/>
        <v>1</v>
      </c>
    </row>
    <row r="513" spans="1:17" x14ac:dyDescent="0.25">
      <c r="A513" s="7">
        <v>46256.291666666664</v>
      </c>
      <c r="B513" s="6">
        <v>173.25</v>
      </c>
      <c r="C513" s="13">
        <v>0.12</v>
      </c>
      <c r="D513" s="18">
        <f t="shared" si="77"/>
        <v>173.37</v>
      </c>
      <c r="E513" s="14">
        <v>9.4499999999999993</v>
      </c>
      <c r="F513" s="18">
        <f t="shared" si="81"/>
        <v>9.4499999999999993</v>
      </c>
      <c r="G513" s="18">
        <f t="shared" si="82"/>
        <v>0</v>
      </c>
      <c r="H513" s="14">
        <v>21.24</v>
      </c>
      <c r="I513" s="18">
        <f t="shared" si="83"/>
        <v>21.24</v>
      </c>
      <c r="J513" s="18">
        <f t="shared" si="84"/>
        <v>0</v>
      </c>
      <c r="K513" s="14">
        <v>2.64</v>
      </c>
      <c r="L513" s="18">
        <f t="shared" si="85"/>
        <v>2.64</v>
      </c>
      <c r="M513" s="18">
        <f t="shared" si="86"/>
        <v>0</v>
      </c>
      <c r="N513" s="15">
        <f t="shared" si="87"/>
        <v>33.33</v>
      </c>
      <c r="O513" s="15">
        <f t="shared" si="78"/>
        <v>33.33</v>
      </c>
      <c r="P513" s="15">
        <f t="shared" si="79"/>
        <v>0</v>
      </c>
      <c r="Q513" s="5">
        <f t="shared" si="80"/>
        <v>0</v>
      </c>
    </row>
    <row r="514" spans="1:17" x14ac:dyDescent="0.25">
      <c r="A514" s="7">
        <v>46256.333333333336</v>
      </c>
      <c r="B514" s="6">
        <v>324.45</v>
      </c>
      <c r="C514" s="13">
        <v>0</v>
      </c>
      <c r="D514" s="18">
        <f t="shared" ref="D514:D577" si="88">+B514+C514</f>
        <v>324.45</v>
      </c>
      <c r="E514" s="14">
        <v>0</v>
      </c>
      <c r="F514" s="18">
        <f t="shared" si="81"/>
        <v>0</v>
      </c>
      <c r="G514" s="18">
        <f t="shared" si="82"/>
        <v>0</v>
      </c>
      <c r="H514" s="14">
        <v>116.04</v>
      </c>
      <c r="I514" s="18">
        <f t="shared" si="83"/>
        <v>116.04</v>
      </c>
      <c r="J514" s="18">
        <f t="shared" si="84"/>
        <v>0</v>
      </c>
      <c r="K514" s="14">
        <v>2.88</v>
      </c>
      <c r="L514" s="18">
        <f t="shared" si="85"/>
        <v>2.88</v>
      </c>
      <c r="M514" s="18">
        <f t="shared" si="86"/>
        <v>0</v>
      </c>
      <c r="N514" s="15">
        <f t="shared" si="87"/>
        <v>118.92</v>
      </c>
      <c r="O514" s="15">
        <f t="shared" ref="O514:O577" si="89">+N514-P514</f>
        <v>118.92</v>
      </c>
      <c r="P514" s="15">
        <f t="shared" ref="P514:P577" si="90">+IF(N514&gt;D514,N514-D514,0)</f>
        <v>0</v>
      </c>
      <c r="Q514" s="5">
        <f t="shared" ref="Q514:Q577" si="91">+IF(P514=0,P514,P514/N514)</f>
        <v>0</v>
      </c>
    </row>
    <row r="515" spans="1:17" x14ac:dyDescent="0.25">
      <c r="A515" s="7">
        <v>46256.375</v>
      </c>
      <c r="B515" s="6">
        <v>1045.8</v>
      </c>
      <c r="C515" s="13">
        <v>0</v>
      </c>
      <c r="D515" s="18">
        <f t="shared" si="88"/>
        <v>1045.8</v>
      </c>
      <c r="E515" s="14">
        <v>0</v>
      </c>
      <c r="F515" s="18">
        <f t="shared" ref="F515:F578" si="92">+E515-G515</f>
        <v>0</v>
      </c>
      <c r="G515" s="18">
        <f t="shared" ref="G515:G578" si="93">+E515*Q515</f>
        <v>0</v>
      </c>
      <c r="H515" s="14">
        <v>81.84</v>
      </c>
      <c r="I515" s="18">
        <f t="shared" ref="I515:I578" si="94">+H515-J515</f>
        <v>81.84</v>
      </c>
      <c r="J515" s="18">
        <f t="shared" ref="J515:J578" si="95">+H515*Q515</f>
        <v>0</v>
      </c>
      <c r="K515" s="14">
        <v>31.8</v>
      </c>
      <c r="L515" s="18">
        <f t="shared" ref="L515:L578" si="96">+K515-M515</f>
        <v>31.8</v>
      </c>
      <c r="M515" s="18">
        <f t="shared" ref="M515:M578" si="97">+K515*Q515</f>
        <v>0</v>
      </c>
      <c r="N515" s="15">
        <f t="shared" ref="N515:N578" si="98">+E515+H515+K515</f>
        <v>113.64</v>
      </c>
      <c r="O515" s="15">
        <f t="shared" si="89"/>
        <v>113.64</v>
      </c>
      <c r="P515" s="15">
        <f t="shared" si="90"/>
        <v>0</v>
      </c>
      <c r="Q515" s="5">
        <f t="shared" si="91"/>
        <v>0</v>
      </c>
    </row>
    <row r="516" spans="1:17" x14ac:dyDescent="0.25">
      <c r="A516" s="7">
        <v>46256.416666666664</v>
      </c>
      <c r="B516" s="6">
        <v>1401.75</v>
      </c>
      <c r="C516" s="13">
        <v>0.72</v>
      </c>
      <c r="D516" s="18">
        <f t="shared" si="88"/>
        <v>1402.47</v>
      </c>
      <c r="E516" s="14">
        <v>0</v>
      </c>
      <c r="F516" s="18">
        <f t="shared" si="92"/>
        <v>0</v>
      </c>
      <c r="G516" s="18">
        <f t="shared" si="93"/>
        <v>0</v>
      </c>
      <c r="H516" s="14">
        <v>50.64</v>
      </c>
      <c r="I516" s="18">
        <f t="shared" si="94"/>
        <v>50.64</v>
      </c>
      <c r="J516" s="18">
        <f t="shared" si="95"/>
        <v>0</v>
      </c>
      <c r="K516" s="14">
        <v>25.92</v>
      </c>
      <c r="L516" s="18">
        <f t="shared" si="96"/>
        <v>25.92</v>
      </c>
      <c r="M516" s="18">
        <f t="shared" si="97"/>
        <v>0</v>
      </c>
      <c r="N516" s="15">
        <f t="shared" si="98"/>
        <v>76.56</v>
      </c>
      <c r="O516" s="15">
        <f t="shared" si="89"/>
        <v>76.56</v>
      </c>
      <c r="P516" s="15">
        <f t="shared" si="90"/>
        <v>0</v>
      </c>
      <c r="Q516" s="5">
        <f t="shared" si="91"/>
        <v>0</v>
      </c>
    </row>
    <row r="517" spans="1:17" x14ac:dyDescent="0.25">
      <c r="A517" s="7">
        <v>46256.458333333336</v>
      </c>
      <c r="B517" s="6">
        <v>1880.55</v>
      </c>
      <c r="C517" s="13">
        <v>21.72</v>
      </c>
      <c r="D517" s="18">
        <f t="shared" si="88"/>
        <v>1902.27</v>
      </c>
      <c r="E517" s="14">
        <v>0</v>
      </c>
      <c r="F517" s="18">
        <f t="shared" si="92"/>
        <v>0</v>
      </c>
      <c r="G517" s="18">
        <f t="shared" si="93"/>
        <v>0</v>
      </c>
      <c r="H517" s="14">
        <v>15</v>
      </c>
      <c r="I517" s="18">
        <f t="shared" si="94"/>
        <v>15</v>
      </c>
      <c r="J517" s="18">
        <f t="shared" si="95"/>
        <v>0</v>
      </c>
      <c r="K517" s="14">
        <v>31.56</v>
      </c>
      <c r="L517" s="18">
        <f t="shared" si="96"/>
        <v>31.56</v>
      </c>
      <c r="M517" s="18">
        <f t="shared" si="97"/>
        <v>0</v>
      </c>
      <c r="N517" s="15">
        <f t="shared" si="98"/>
        <v>46.56</v>
      </c>
      <c r="O517" s="15">
        <f t="shared" si="89"/>
        <v>46.56</v>
      </c>
      <c r="P517" s="15">
        <f t="shared" si="90"/>
        <v>0</v>
      </c>
      <c r="Q517" s="5">
        <f t="shared" si="91"/>
        <v>0</v>
      </c>
    </row>
    <row r="518" spans="1:17" x14ac:dyDescent="0.25">
      <c r="A518" s="7">
        <v>46256.5</v>
      </c>
      <c r="B518" s="6">
        <v>1971.9</v>
      </c>
      <c r="C518" s="13">
        <v>26.28</v>
      </c>
      <c r="D518" s="18">
        <f t="shared" si="88"/>
        <v>1998.18</v>
      </c>
      <c r="E518" s="14">
        <v>0</v>
      </c>
      <c r="F518" s="18">
        <f t="shared" si="92"/>
        <v>0</v>
      </c>
      <c r="G518" s="18">
        <f t="shared" si="93"/>
        <v>0</v>
      </c>
      <c r="H518" s="14">
        <v>8.64</v>
      </c>
      <c r="I518" s="18">
        <f t="shared" si="94"/>
        <v>8.64</v>
      </c>
      <c r="J518" s="18">
        <f t="shared" si="95"/>
        <v>0</v>
      </c>
      <c r="K518" s="14">
        <v>17.760000000000002</v>
      </c>
      <c r="L518" s="18">
        <f t="shared" si="96"/>
        <v>17.760000000000002</v>
      </c>
      <c r="M518" s="18">
        <f t="shared" si="97"/>
        <v>0</v>
      </c>
      <c r="N518" s="15">
        <f t="shared" si="98"/>
        <v>26.400000000000002</v>
      </c>
      <c r="O518" s="15">
        <f t="shared" si="89"/>
        <v>26.400000000000002</v>
      </c>
      <c r="P518" s="15">
        <f t="shared" si="90"/>
        <v>0</v>
      </c>
      <c r="Q518" s="5">
        <f t="shared" si="91"/>
        <v>0</v>
      </c>
    </row>
    <row r="519" spans="1:17" x14ac:dyDescent="0.25">
      <c r="A519" s="7">
        <v>46256.541666666664</v>
      </c>
      <c r="B519" s="6">
        <v>2570.4</v>
      </c>
      <c r="C519" s="13">
        <v>6.36</v>
      </c>
      <c r="D519" s="18">
        <f t="shared" si="88"/>
        <v>2576.7600000000002</v>
      </c>
      <c r="E519" s="14">
        <v>0</v>
      </c>
      <c r="F519" s="18">
        <f t="shared" si="92"/>
        <v>0</v>
      </c>
      <c r="G519" s="18">
        <f t="shared" si="93"/>
        <v>0</v>
      </c>
      <c r="H519" s="14">
        <v>33.36</v>
      </c>
      <c r="I519" s="18">
        <f t="shared" si="94"/>
        <v>33.36</v>
      </c>
      <c r="J519" s="18">
        <f t="shared" si="95"/>
        <v>0</v>
      </c>
      <c r="K519" s="14">
        <v>31.92</v>
      </c>
      <c r="L519" s="18">
        <f t="shared" si="96"/>
        <v>31.92</v>
      </c>
      <c r="M519" s="18">
        <f t="shared" si="97"/>
        <v>0</v>
      </c>
      <c r="N519" s="15">
        <f t="shared" si="98"/>
        <v>65.28</v>
      </c>
      <c r="O519" s="15">
        <f t="shared" si="89"/>
        <v>65.28</v>
      </c>
      <c r="P519" s="15">
        <f t="shared" si="90"/>
        <v>0</v>
      </c>
      <c r="Q519" s="5">
        <f t="shared" si="91"/>
        <v>0</v>
      </c>
    </row>
    <row r="520" spans="1:17" x14ac:dyDescent="0.25">
      <c r="A520" s="7">
        <v>46256.583333333336</v>
      </c>
      <c r="B520" s="6">
        <v>1890</v>
      </c>
      <c r="C520" s="13">
        <v>4.8</v>
      </c>
      <c r="D520" s="18">
        <f t="shared" si="88"/>
        <v>1894.8</v>
      </c>
      <c r="E520" s="14">
        <v>0</v>
      </c>
      <c r="F520" s="18">
        <f t="shared" si="92"/>
        <v>0</v>
      </c>
      <c r="G520" s="18">
        <f t="shared" si="93"/>
        <v>0</v>
      </c>
      <c r="H520" s="14">
        <v>22.2</v>
      </c>
      <c r="I520" s="18">
        <f t="shared" si="94"/>
        <v>22.2</v>
      </c>
      <c r="J520" s="18">
        <f t="shared" si="95"/>
        <v>0</v>
      </c>
      <c r="K520" s="14">
        <v>30</v>
      </c>
      <c r="L520" s="18">
        <f t="shared" si="96"/>
        <v>30</v>
      </c>
      <c r="M520" s="18">
        <f t="shared" si="97"/>
        <v>0</v>
      </c>
      <c r="N520" s="15">
        <f t="shared" si="98"/>
        <v>52.2</v>
      </c>
      <c r="O520" s="15">
        <f t="shared" si="89"/>
        <v>52.2</v>
      </c>
      <c r="P520" s="15">
        <f t="shared" si="90"/>
        <v>0</v>
      </c>
      <c r="Q520" s="5">
        <f t="shared" si="91"/>
        <v>0</v>
      </c>
    </row>
    <row r="521" spans="1:17" x14ac:dyDescent="0.25">
      <c r="A521" s="7">
        <v>46256.625</v>
      </c>
      <c r="B521" s="6">
        <v>1231.6500000000001</v>
      </c>
      <c r="C521" s="13">
        <v>5.88</v>
      </c>
      <c r="D521" s="18">
        <f t="shared" si="88"/>
        <v>1237.5300000000002</v>
      </c>
      <c r="E521" s="14">
        <v>0</v>
      </c>
      <c r="F521" s="18">
        <f t="shared" si="92"/>
        <v>0</v>
      </c>
      <c r="G521" s="18">
        <f t="shared" si="93"/>
        <v>0</v>
      </c>
      <c r="H521" s="14">
        <v>18.12</v>
      </c>
      <c r="I521" s="18">
        <f t="shared" si="94"/>
        <v>18.12</v>
      </c>
      <c r="J521" s="18">
        <f t="shared" si="95"/>
        <v>0</v>
      </c>
      <c r="K521" s="14">
        <v>27.6</v>
      </c>
      <c r="L521" s="18">
        <f t="shared" si="96"/>
        <v>27.6</v>
      </c>
      <c r="M521" s="18">
        <f t="shared" si="97"/>
        <v>0</v>
      </c>
      <c r="N521" s="15">
        <f t="shared" si="98"/>
        <v>45.72</v>
      </c>
      <c r="O521" s="15">
        <f t="shared" si="89"/>
        <v>45.72</v>
      </c>
      <c r="P521" s="15">
        <f t="shared" si="90"/>
        <v>0</v>
      </c>
      <c r="Q521" s="5">
        <f t="shared" si="91"/>
        <v>0</v>
      </c>
    </row>
    <row r="522" spans="1:17" x14ac:dyDescent="0.25">
      <c r="A522" s="7">
        <v>46256.666666666664</v>
      </c>
      <c r="B522" s="6">
        <v>815.85</v>
      </c>
      <c r="C522" s="13">
        <v>0.36</v>
      </c>
      <c r="D522" s="18">
        <f t="shared" si="88"/>
        <v>816.21</v>
      </c>
      <c r="E522" s="14">
        <v>0</v>
      </c>
      <c r="F522" s="18">
        <f t="shared" si="92"/>
        <v>0</v>
      </c>
      <c r="G522" s="18">
        <f t="shared" si="93"/>
        <v>0</v>
      </c>
      <c r="H522" s="14">
        <v>58.2</v>
      </c>
      <c r="I522" s="18">
        <f t="shared" si="94"/>
        <v>58.2</v>
      </c>
      <c r="J522" s="18">
        <f t="shared" si="95"/>
        <v>0</v>
      </c>
      <c r="K522" s="14">
        <v>34.799999999999997</v>
      </c>
      <c r="L522" s="18">
        <f t="shared" si="96"/>
        <v>34.799999999999997</v>
      </c>
      <c r="M522" s="18">
        <f t="shared" si="97"/>
        <v>0</v>
      </c>
      <c r="N522" s="15">
        <f t="shared" si="98"/>
        <v>93</v>
      </c>
      <c r="O522" s="15">
        <f t="shared" si="89"/>
        <v>93</v>
      </c>
      <c r="P522" s="15">
        <f t="shared" si="90"/>
        <v>0</v>
      </c>
      <c r="Q522" s="5">
        <f t="shared" si="91"/>
        <v>0</v>
      </c>
    </row>
    <row r="523" spans="1:17" x14ac:dyDescent="0.25">
      <c r="A523" s="7">
        <v>46256.708333333336</v>
      </c>
      <c r="B523" s="6">
        <v>12.6</v>
      </c>
      <c r="C523" s="13">
        <v>0</v>
      </c>
      <c r="D523" s="18">
        <f t="shared" si="88"/>
        <v>12.6</v>
      </c>
      <c r="E523" s="14">
        <v>318.14999999999998</v>
      </c>
      <c r="F523" s="18">
        <f t="shared" si="92"/>
        <v>8.8509637676359603</v>
      </c>
      <c r="G523" s="18">
        <f t="shared" si="93"/>
        <v>309.29903623236402</v>
      </c>
      <c r="H523" s="14">
        <v>94.2</v>
      </c>
      <c r="I523" s="18">
        <f t="shared" si="94"/>
        <v>2.620653109889389</v>
      </c>
      <c r="J523" s="18">
        <f t="shared" si="95"/>
        <v>91.579346890110614</v>
      </c>
      <c r="K523" s="14">
        <v>40.56</v>
      </c>
      <c r="L523" s="18">
        <f t="shared" si="96"/>
        <v>1.1283831224746663</v>
      </c>
      <c r="M523" s="18">
        <f t="shared" si="97"/>
        <v>39.431616877525336</v>
      </c>
      <c r="N523" s="15">
        <f t="shared" si="98"/>
        <v>452.90999999999997</v>
      </c>
      <c r="O523" s="15">
        <f t="shared" si="89"/>
        <v>12.600000000000023</v>
      </c>
      <c r="P523" s="15">
        <f t="shared" si="90"/>
        <v>440.30999999999995</v>
      </c>
      <c r="Q523" s="5">
        <f t="shared" si="91"/>
        <v>0.97217990329204473</v>
      </c>
    </row>
    <row r="524" spans="1:17" x14ac:dyDescent="0.25">
      <c r="A524" s="7">
        <v>46256.75</v>
      </c>
      <c r="B524" s="6">
        <v>3.15</v>
      </c>
      <c r="C524" s="13">
        <v>0</v>
      </c>
      <c r="D524" s="18">
        <f t="shared" si="88"/>
        <v>3.15</v>
      </c>
      <c r="E524" s="14">
        <v>333.9</v>
      </c>
      <c r="F524" s="18">
        <f t="shared" si="92"/>
        <v>2.3074568908779725</v>
      </c>
      <c r="G524" s="18">
        <f t="shared" si="93"/>
        <v>331.592543109122</v>
      </c>
      <c r="H524" s="14">
        <v>101.16</v>
      </c>
      <c r="I524" s="18">
        <f t="shared" si="94"/>
        <v>0.69907858365142772</v>
      </c>
      <c r="J524" s="18">
        <f t="shared" si="95"/>
        <v>100.46092141634857</v>
      </c>
      <c r="K524" s="14">
        <v>20.76</v>
      </c>
      <c r="L524" s="18">
        <f t="shared" si="96"/>
        <v>0.14346452547057709</v>
      </c>
      <c r="M524" s="18">
        <f t="shared" si="97"/>
        <v>20.616535474529424</v>
      </c>
      <c r="N524" s="15">
        <f t="shared" si="98"/>
        <v>455.81999999999994</v>
      </c>
      <c r="O524" s="15">
        <f t="shared" si="89"/>
        <v>3.1499999999999773</v>
      </c>
      <c r="P524" s="15">
        <f t="shared" si="90"/>
        <v>452.66999999999996</v>
      </c>
      <c r="Q524" s="5">
        <f t="shared" si="91"/>
        <v>0.99308937738581027</v>
      </c>
    </row>
    <row r="525" spans="1:17" x14ac:dyDescent="0.25">
      <c r="A525" s="7">
        <v>46256.791666666664</v>
      </c>
      <c r="B525" s="6">
        <v>0</v>
      </c>
      <c r="C525" s="13">
        <v>0</v>
      </c>
      <c r="D525" s="18">
        <f t="shared" si="88"/>
        <v>0</v>
      </c>
      <c r="E525" s="14">
        <v>97.65</v>
      </c>
      <c r="F525" s="18">
        <f t="shared" si="92"/>
        <v>0</v>
      </c>
      <c r="G525" s="18">
        <f t="shared" si="93"/>
        <v>97.65</v>
      </c>
      <c r="H525" s="14">
        <v>64.2</v>
      </c>
      <c r="I525" s="18">
        <f t="shared" si="94"/>
        <v>0</v>
      </c>
      <c r="J525" s="18">
        <f t="shared" si="95"/>
        <v>64.2</v>
      </c>
      <c r="K525" s="14">
        <v>21.48</v>
      </c>
      <c r="L525" s="18">
        <f t="shared" si="96"/>
        <v>0</v>
      </c>
      <c r="M525" s="18">
        <f t="shared" si="97"/>
        <v>21.48</v>
      </c>
      <c r="N525" s="15">
        <f t="shared" si="98"/>
        <v>183.33</v>
      </c>
      <c r="O525" s="15">
        <f t="shared" si="89"/>
        <v>0</v>
      </c>
      <c r="P525" s="15">
        <f t="shared" si="90"/>
        <v>183.33</v>
      </c>
      <c r="Q525" s="5">
        <f t="shared" si="91"/>
        <v>1</v>
      </c>
    </row>
    <row r="526" spans="1:17" x14ac:dyDescent="0.25">
      <c r="A526" s="7">
        <v>46256.833333333336</v>
      </c>
      <c r="B526" s="6">
        <v>0</v>
      </c>
      <c r="C526" s="13">
        <v>0</v>
      </c>
      <c r="D526" s="18">
        <f t="shared" si="88"/>
        <v>0</v>
      </c>
      <c r="E526" s="14">
        <v>207.9</v>
      </c>
      <c r="F526" s="18">
        <f t="shared" si="92"/>
        <v>0</v>
      </c>
      <c r="G526" s="18">
        <f t="shared" si="93"/>
        <v>207.9</v>
      </c>
      <c r="H526" s="14">
        <v>45.84</v>
      </c>
      <c r="I526" s="18">
        <f t="shared" si="94"/>
        <v>0</v>
      </c>
      <c r="J526" s="18">
        <f t="shared" si="95"/>
        <v>45.84</v>
      </c>
      <c r="K526" s="14">
        <v>1.8</v>
      </c>
      <c r="L526" s="18">
        <f t="shared" si="96"/>
        <v>0</v>
      </c>
      <c r="M526" s="18">
        <f t="shared" si="97"/>
        <v>1.8</v>
      </c>
      <c r="N526" s="15">
        <f t="shared" si="98"/>
        <v>255.54000000000002</v>
      </c>
      <c r="O526" s="15">
        <f t="shared" si="89"/>
        <v>0</v>
      </c>
      <c r="P526" s="15">
        <f t="shared" si="90"/>
        <v>255.54000000000002</v>
      </c>
      <c r="Q526" s="5">
        <f t="shared" si="91"/>
        <v>1</v>
      </c>
    </row>
    <row r="527" spans="1:17" x14ac:dyDescent="0.25">
      <c r="A527" s="7">
        <v>46256.875</v>
      </c>
      <c r="B527" s="6">
        <v>0</v>
      </c>
      <c r="C527" s="13">
        <v>0</v>
      </c>
      <c r="D527" s="18">
        <f t="shared" si="88"/>
        <v>0</v>
      </c>
      <c r="E527" s="14">
        <v>796.95</v>
      </c>
      <c r="F527" s="18">
        <f t="shared" si="92"/>
        <v>0</v>
      </c>
      <c r="G527" s="18">
        <f t="shared" si="93"/>
        <v>796.95</v>
      </c>
      <c r="H527" s="14">
        <v>38.28</v>
      </c>
      <c r="I527" s="18">
        <f t="shared" si="94"/>
        <v>0</v>
      </c>
      <c r="J527" s="18">
        <f t="shared" si="95"/>
        <v>38.28</v>
      </c>
      <c r="K527" s="14">
        <v>1.92</v>
      </c>
      <c r="L527" s="18">
        <f t="shared" si="96"/>
        <v>0</v>
      </c>
      <c r="M527" s="18">
        <f t="shared" si="97"/>
        <v>1.92</v>
      </c>
      <c r="N527" s="15">
        <f t="shared" si="98"/>
        <v>837.15</v>
      </c>
      <c r="O527" s="15">
        <f t="shared" si="89"/>
        <v>0</v>
      </c>
      <c r="P527" s="15">
        <f t="shared" si="90"/>
        <v>837.15</v>
      </c>
      <c r="Q527" s="5">
        <f t="shared" si="91"/>
        <v>1</v>
      </c>
    </row>
    <row r="528" spans="1:17" x14ac:dyDescent="0.25">
      <c r="A528" s="7">
        <v>46256.916666666664</v>
      </c>
      <c r="B528" s="6">
        <v>0</v>
      </c>
      <c r="C528" s="13">
        <v>0</v>
      </c>
      <c r="D528" s="18">
        <f t="shared" si="88"/>
        <v>0</v>
      </c>
      <c r="E528" s="14">
        <v>970.2</v>
      </c>
      <c r="F528" s="18">
        <f t="shared" si="92"/>
        <v>0</v>
      </c>
      <c r="G528" s="18">
        <f t="shared" si="93"/>
        <v>970.2</v>
      </c>
      <c r="H528" s="14">
        <v>39.840000000000003</v>
      </c>
      <c r="I528" s="18">
        <f t="shared" si="94"/>
        <v>0</v>
      </c>
      <c r="J528" s="18">
        <f t="shared" si="95"/>
        <v>39.840000000000003</v>
      </c>
      <c r="K528" s="14">
        <v>3.12</v>
      </c>
      <c r="L528" s="18">
        <f t="shared" si="96"/>
        <v>0</v>
      </c>
      <c r="M528" s="18">
        <f t="shared" si="97"/>
        <v>3.12</v>
      </c>
      <c r="N528" s="15">
        <f t="shared" si="98"/>
        <v>1013.1600000000001</v>
      </c>
      <c r="O528" s="15">
        <f t="shared" si="89"/>
        <v>0</v>
      </c>
      <c r="P528" s="15">
        <f t="shared" si="90"/>
        <v>1013.1600000000001</v>
      </c>
      <c r="Q528" s="5">
        <f t="shared" si="91"/>
        <v>1</v>
      </c>
    </row>
    <row r="529" spans="1:17" x14ac:dyDescent="0.25">
      <c r="A529" s="7">
        <v>46256.958333333336</v>
      </c>
      <c r="B529" s="6">
        <v>0</v>
      </c>
      <c r="C529" s="13">
        <v>0</v>
      </c>
      <c r="D529" s="18">
        <f t="shared" si="88"/>
        <v>0</v>
      </c>
      <c r="E529" s="14">
        <v>1001.7</v>
      </c>
      <c r="F529" s="18">
        <f t="shared" si="92"/>
        <v>0</v>
      </c>
      <c r="G529" s="18">
        <f t="shared" si="93"/>
        <v>1001.7</v>
      </c>
      <c r="H529" s="14">
        <v>40.56</v>
      </c>
      <c r="I529" s="18">
        <f t="shared" si="94"/>
        <v>0</v>
      </c>
      <c r="J529" s="18">
        <f t="shared" si="95"/>
        <v>40.56</v>
      </c>
      <c r="K529" s="14">
        <v>2.04</v>
      </c>
      <c r="L529" s="18">
        <f t="shared" si="96"/>
        <v>0</v>
      </c>
      <c r="M529" s="18">
        <f t="shared" si="97"/>
        <v>2.04</v>
      </c>
      <c r="N529" s="15">
        <f t="shared" si="98"/>
        <v>1044.3</v>
      </c>
      <c r="O529" s="15">
        <f t="shared" si="89"/>
        <v>0</v>
      </c>
      <c r="P529" s="15">
        <f t="shared" si="90"/>
        <v>1044.3</v>
      </c>
      <c r="Q529" s="5">
        <f t="shared" si="91"/>
        <v>1</v>
      </c>
    </row>
    <row r="530" spans="1:17" x14ac:dyDescent="0.25">
      <c r="A530" s="7">
        <v>46257</v>
      </c>
      <c r="B530" s="6">
        <v>0</v>
      </c>
      <c r="C530" s="13">
        <v>0</v>
      </c>
      <c r="D530" s="18">
        <f t="shared" si="88"/>
        <v>0</v>
      </c>
      <c r="E530" s="14">
        <v>1014.3</v>
      </c>
      <c r="F530" s="18">
        <f t="shared" si="92"/>
        <v>0</v>
      </c>
      <c r="G530" s="18">
        <f t="shared" si="93"/>
        <v>1014.3</v>
      </c>
      <c r="H530" s="14">
        <v>38.04</v>
      </c>
      <c r="I530" s="18">
        <f t="shared" si="94"/>
        <v>0</v>
      </c>
      <c r="J530" s="18">
        <f t="shared" si="95"/>
        <v>38.04</v>
      </c>
      <c r="K530" s="14">
        <v>2.04</v>
      </c>
      <c r="L530" s="18">
        <f t="shared" si="96"/>
        <v>0</v>
      </c>
      <c r="M530" s="18">
        <f t="shared" si="97"/>
        <v>2.04</v>
      </c>
      <c r="N530" s="15">
        <f t="shared" si="98"/>
        <v>1054.3799999999999</v>
      </c>
      <c r="O530" s="15">
        <f t="shared" si="89"/>
        <v>0</v>
      </c>
      <c r="P530" s="15">
        <f t="shared" si="90"/>
        <v>1054.3799999999999</v>
      </c>
      <c r="Q530" s="5">
        <f t="shared" si="91"/>
        <v>1</v>
      </c>
    </row>
    <row r="531" spans="1:17" x14ac:dyDescent="0.25">
      <c r="A531" s="7">
        <v>46257.041666666664</v>
      </c>
      <c r="B531" s="6">
        <v>0</v>
      </c>
      <c r="C531" s="13">
        <v>0</v>
      </c>
      <c r="D531" s="18">
        <f t="shared" si="88"/>
        <v>0</v>
      </c>
      <c r="E531" s="14">
        <v>223.65</v>
      </c>
      <c r="F531" s="18">
        <f t="shared" si="92"/>
        <v>0</v>
      </c>
      <c r="G531" s="18">
        <f t="shared" si="93"/>
        <v>223.65</v>
      </c>
      <c r="H531" s="14">
        <v>37.799999999999997</v>
      </c>
      <c r="I531" s="18">
        <f t="shared" si="94"/>
        <v>0</v>
      </c>
      <c r="J531" s="18">
        <f t="shared" si="95"/>
        <v>37.799999999999997</v>
      </c>
      <c r="K531" s="14">
        <v>1.92</v>
      </c>
      <c r="L531" s="18">
        <f t="shared" si="96"/>
        <v>0</v>
      </c>
      <c r="M531" s="18">
        <f t="shared" si="97"/>
        <v>1.92</v>
      </c>
      <c r="N531" s="15">
        <f t="shared" si="98"/>
        <v>263.37</v>
      </c>
      <c r="O531" s="15">
        <f t="shared" si="89"/>
        <v>0</v>
      </c>
      <c r="P531" s="15">
        <f t="shared" si="90"/>
        <v>263.37</v>
      </c>
      <c r="Q531" s="5">
        <f t="shared" si="91"/>
        <v>1</v>
      </c>
    </row>
    <row r="532" spans="1:17" x14ac:dyDescent="0.25">
      <c r="A532" s="7">
        <v>46257.083333333336</v>
      </c>
      <c r="B532" s="6">
        <v>0</v>
      </c>
      <c r="C532" s="13">
        <v>0</v>
      </c>
      <c r="D532" s="18">
        <f t="shared" si="88"/>
        <v>0</v>
      </c>
      <c r="E532" s="14">
        <v>563.85</v>
      </c>
      <c r="F532" s="18">
        <f t="shared" si="92"/>
        <v>0</v>
      </c>
      <c r="G532" s="18">
        <f t="shared" si="93"/>
        <v>563.85</v>
      </c>
      <c r="H532" s="14">
        <v>38.04</v>
      </c>
      <c r="I532" s="18">
        <f t="shared" si="94"/>
        <v>0</v>
      </c>
      <c r="J532" s="18">
        <f t="shared" si="95"/>
        <v>38.04</v>
      </c>
      <c r="K532" s="14">
        <v>2.04</v>
      </c>
      <c r="L532" s="18">
        <f t="shared" si="96"/>
        <v>0</v>
      </c>
      <c r="M532" s="18">
        <f t="shared" si="97"/>
        <v>2.04</v>
      </c>
      <c r="N532" s="15">
        <f t="shared" si="98"/>
        <v>603.92999999999995</v>
      </c>
      <c r="O532" s="15">
        <f t="shared" si="89"/>
        <v>0</v>
      </c>
      <c r="P532" s="15">
        <f t="shared" si="90"/>
        <v>603.92999999999995</v>
      </c>
      <c r="Q532" s="5">
        <f t="shared" si="91"/>
        <v>1</v>
      </c>
    </row>
    <row r="533" spans="1:17" x14ac:dyDescent="0.25">
      <c r="A533" s="7">
        <v>46257.125</v>
      </c>
      <c r="B533" s="6">
        <v>0</v>
      </c>
      <c r="C533" s="13">
        <v>0</v>
      </c>
      <c r="D533" s="18">
        <f t="shared" si="88"/>
        <v>0</v>
      </c>
      <c r="E533" s="14">
        <v>938.7</v>
      </c>
      <c r="F533" s="18">
        <f t="shared" si="92"/>
        <v>0</v>
      </c>
      <c r="G533" s="18">
        <f t="shared" si="93"/>
        <v>938.7</v>
      </c>
      <c r="H533" s="14">
        <v>38.76</v>
      </c>
      <c r="I533" s="18">
        <f t="shared" si="94"/>
        <v>0</v>
      </c>
      <c r="J533" s="18">
        <f t="shared" si="95"/>
        <v>38.76</v>
      </c>
      <c r="K533" s="14">
        <v>1.92</v>
      </c>
      <c r="L533" s="18">
        <f t="shared" si="96"/>
        <v>0</v>
      </c>
      <c r="M533" s="18">
        <f t="shared" si="97"/>
        <v>1.92</v>
      </c>
      <c r="N533" s="15">
        <f t="shared" si="98"/>
        <v>979.38</v>
      </c>
      <c r="O533" s="15">
        <f t="shared" si="89"/>
        <v>0</v>
      </c>
      <c r="P533" s="15">
        <f t="shared" si="90"/>
        <v>979.38</v>
      </c>
      <c r="Q533" s="5">
        <f t="shared" si="91"/>
        <v>1</v>
      </c>
    </row>
    <row r="534" spans="1:17" x14ac:dyDescent="0.25">
      <c r="A534" s="7">
        <v>46257.166666666664</v>
      </c>
      <c r="B534" s="6">
        <v>0</v>
      </c>
      <c r="C534" s="13">
        <v>0</v>
      </c>
      <c r="D534" s="18">
        <f t="shared" si="88"/>
        <v>0</v>
      </c>
      <c r="E534" s="14">
        <v>989.1</v>
      </c>
      <c r="F534" s="18">
        <f t="shared" si="92"/>
        <v>0</v>
      </c>
      <c r="G534" s="18">
        <f t="shared" si="93"/>
        <v>989.1</v>
      </c>
      <c r="H534" s="14">
        <v>38.520000000000003</v>
      </c>
      <c r="I534" s="18">
        <f t="shared" si="94"/>
        <v>0</v>
      </c>
      <c r="J534" s="18">
        <f t="shared" si="95"/>
        <v>38.520000000000003</v>
      </c>
      <c r="K534" s="14">
        <v>1.92</v>
      </c>
      <c r="L534" s="18">
        <f t="shared" si="96"/>
        <v>0</v>
      </c>
      <c r="M534" s="18">
        <f t="shared" si="97"/>
        <v>1.92</v>
      </c>
      <c r="N534" s="15">
        <f t="shared" si="98"/>
        <v>1029.5400000000002</v>
      </c>
      <c r="O534" s="15">
        <f t="shared" si="89"/>
        <v>0</v>
      </c>
      <c r="P534" s="15">
        <f t="shared" si="90"/>
        <v>1029.5400000000002</v>
      </c>
      <c r="Q534" s="5">
        <f t="shared" si="91"/>
        <v>1</v>
      </c>
    </row>
    <row r="535" spans="1:17" x14ac:dyDescent="0.25">
      <c r="A535" s="7">
        <v>46257.208333333336</v>
      </c>
      <c r="B535" s="6">
        <v>0</v>
      </c>
      <c r="C535" s="13">
        <v>0</v>
      </c>
      <c r="D535" s="18">
        <f t="shared" si="88"/>
        <v>0</v>
      </c>
      <c r="E535" s="14">
        <v>1001.7</v>
      </c>
      <c r="F535" s="18">
        <f t="shared" si="92"/>
        <v>0</v>
      </c>
      <c r="G535" s="18">
        <f t="shared" si="93"/>
        <v>1001.7</v>
      </c>
      <c r="H535" s="14">
        <v>38.04</v>
      </c>
      <c r="I535" s="18">
        <f t="shared" si="94"/>
        <v>0</v>
      </c>
      <c r="J535" s="18">
        <f t="shared" si="95"/>
        <v>38.04</v>
      </c>
      <c r="K535" s="14">
        <v>3</v>
      </c>
      <c r="L535" s="18">
        <f t="shared" si="96"/>
        <v>0</v>
      </c>
      <c r="M535" s="18">
        <f t="shared" si="97"/>
        <v>3</v>
      </c>
      <c r="N535" s="15">
        <f t="shared" si="98"/>
        <v>1042.74</v>
      </c>
      <c r="O535" s="15">
        <f t="shared" si="89"/>
        <v>0</v>
      </c>
      <c r="P535" s="15">
        <f t="shared" si="90"/>
        <v>1042.74</v>
      </c>
      <c r="Q535" s="5">
        <f t="shared" si="91"/>
        <v>1</v>
      </c>
    </row>
    <row r="536" spans="1:17" x14ac:dyDescent="0.25">
      <c r="A536" s="7">
        <v>46257.25</v>
      </c>
      <c r="B536" s="6">
        <v>0</v>
      </c>
      <c r="C536" s="13">
        <v>0</v>
      </c>
      <c r="D536" s="18">
        <f t="shared" si="88"/>
        <v>0</v>
      </c>
      <c r="E536" s="14">
        <v>233.1</v>
      </c>
      <c r="F536" s="18">
        <f t="shared" si="92"/>
        <v>0</v>
      </c>
      <c r="G536" s="18">
        <f t="shared" si="93"/>
        <v>233.1</v>
      </c>
      <c r="H536" s="14">
        <v>44.64</v>
      </c>
      <c r="I536" s="18">
        <f t="shared" si="94"/>
        <v>0</v>
      </c>
      <c r="J536" s="18">
        <f t="shared" si="95"/>
        <v>44.64</v>
      </c>
      <c r="K536" s="14">
        <v>3.24</v>
      </c>
      <c r="L536" s="18">
        <f t="shared" si="96"/>
        <v>0</v>
      </c>
      <c r="M536" s="18">
        <f t="shared" si="97"/>
        <v>3.24</v>
      </c>
      <c r="N536" s="15">
        <f t="shared" si="98"/>
        <v>280.98</v>
      </c>
      <c r="O536" s="15">
        <f t="shared" si="89"/>
        <v>0</v>
      </c>
      <c r="P536" s="15">
        <f t="shared" si="90"/>
        <v>280.98</v>
      </c>
      <c r="Q536" s="5">
        <f t="shared" si="91"/>
        <v>1</v>
      </c>
    </row>
    <row r="537" spans="1:17" x14ac:dyDescent="0.25">
      <c r="A537" s="7">
        <v>46257.291666666664</v>
      </c>
      <c r="B537" s="6">
        <v>173.25</v>
      </c>
      <c r="C537" s="13">
        <v>0</v>
      </c>
      <c r="D537" s="18">
        <f t="shared" si="88"/>
        <v>173.25</v>
      </c>
      <c r="E537" s="14">
        <v>3.15</v>
      </c>
      <c r="F537" s="18">
        <f t="shared" si="92"/>
        <v>3.15</v>
      </c>
      <c r="G537" s="18">
        <f t="shared" si="93"/>
        <v>0</v>
      </c>
      <c r="H537" s="14">
        <v>26.76</v>
      </c>
      <c r="I537" s="18">
        <f t="shared" si="94"/>
        <v>26.76</v>
      </c>
      <c r="J537" s="18">
        <f t="shared" si="95"/>
        <v>0</v>
      </c>
      <c r="K537" s="14">
        <v>2.4</v>
      </c>
      <c r="L537" s="18">
        <f t="shared" si="96"/>
        <v>2.4</v>
      </c>
      <c r="M537" s="18">
        <f t="shared" si="97"/>
        <v>0</v>
      </c>
      <c r="N537" s="15">
        <f t="shared" si="98"/>
        <v>32.31</v>
      </c>
      <c r="O537" s="15">
        <f t="shared" si="89"/>
        <v>32.31</v>
      </c>
      <c r="P537" s="15">
        <f t="shared" si="90"/>
        <v>0</v>
      </c>
      <c r="Q537" s="5">
        <f t="shared" si="91"/>
        <v>0</v>
      </c>
    </row>
    <row r="538" spans="1:17" x14ac:dyDescent="0.25">
      <c r="A538" s="7">
        <v>46257.333333333336</v>
      </c>
      <c r="B538" s="6">
        <v>418.95</v>
      </c>
      <c r="C538" s="13">
        <v>0</v>
      </c>
      <c r="D538" s="18">
        <f t="shared" si="88"/>
        <v>418.95</v>
      </c>
      <c r="E538" s="14">
        <v>0</v>
      </c>
      <c r="F538" s="18">
        <f t="shared" si="92"/>
        <v>0</v>
      </c>
      <c r="G538" s="18">
        <f t="shared" si="93"/>
        <v>0</v>
      </c>
      <c r="H538" s="14">
        <v>120.96</v>
      </c>
      <c r="I538" s="18">
        <f t="shared" si="94"/>
        <v>120.96</v>
      </c>
      <c r="J538" s="18">
        <f t="shared" si="95"/>
        <v>0</v>
      </c>
      <c r="K538" s="14">
        <v>1.56</v>
      </c>
      <c r="L538" s="18">
        <f t="shared" si="96"/>
        <v>1.56</v>
      </c>
      <c r="M538" s="18">
        <f t="shared" si="97"/>
        <v>0</v>
      </c>
      <c r="N538" s="15">
        <f t="shared" si="98"/>
        <v>122.52</v>
      </c>
      <c r="O538" s="15">
        <f t="shared" si="89"/>
        <v>122.52</v>
      </c>
      <c r="P538" s="15">
        <f t="shared" si="90"/>
        <v>0</v>
      </c>
      <c r="Q538" s="5">
        <f t="shared" si="91"/>
        <v>0</v>
      </c>
    </row>
    <row r="539" spans="1:17" x14ac:dyDescent="0.25">
      <c r="A539" s="7">
        <v>46257.375</v>
      </c>
      <c r="B539" s="6">
        <v>1389.15</v>
      </c>
      <c r="C539" s="13">
        <v>0.24</v>
      </c>
      <c r="D539" s="18">
        <f t="shared" si="88"/>
        <v>1389.39</v>
      </c>
      <c r="E539" s="14">
        <v>0</v>
      </c>
      <c r="F539" s="18">
        <f t="shared" si="92"/>
        <v>0</v>
      </c>
      <c r="G539" s="18">
        <f t="shared" si="93"/>
        <v>0</v>
      </c>
      <c r="H539" s="14">
        <v>78.959999999999994</v>
      </c>
      <c r="I539" s="18">
        <f t="shared" si="94"/>
        <v>78.959999999999994</v>
      </c>
      <c r="J539" s="18">
        <f t="shared" si="95"/>
        <v>0</v>
      </c>
      <c r="K539" s="14">
        <v>38.76</v>
      </c>
      <c r="L539" s="18">
        <f t="shared" si="96"/>
        <v>38.76</v>
      </c>
      <c r="M539" s="18">
        <f t="shared" si="97"/>
        <v>0</v>
      </c>
      <c r="N539" s="15">
        <f t="shared" si="98"/>
        <v>117.72</v>
      </c>
      <c r="O539" s="15">
        <f t="shared" si="89"/>
        <v>117.72</v>
      </c>
      <c r="P539" s="15">
        <f t="shared" si="90"/>
        <v>0</v>
      </c>
      <c r="Q539" s="5">
        <f t="shared" si="91"/>
        <v>0</v>
      </c>
    </row>
    <row r="540" spans="1:17" x14ac:dyDescent="0.25">
      <c r="A540" s="7">
        <v>46257.416666666664</v>
      </c>
      <c r="B540" s="6">
        <v>1871.1</v>
      </c>
      <c r="C540" s="13">
        <v>0.24</v>
      </c>
      <c r="D540" s="18">
        <f t="shared" si="88"/>
        <v>1871.34</v>
      </c>
      <c r="E540" s="14">
        <v>0</v>
      </c>
      <c r="F540" s="18">
        <f t="shared" si="92"/>
        <v>0</v>
      </c>
      <c r="G540" s="18">
        <f t="shared" si="93"/>
        <v>0</v>
      </c>
      <c r="H540" s="14">
        <v>67.56</v>
      </c>
      <c r="I540" s="18">
        <f t="shared" si="94"/>
        <v>67.56</v>
      </c>
      <c r="J540" s="18">
        <f t="shared" si="95"/>
        <v>0</v>
      </c>
      <c r="K540" s="14">
        <v>26.64</v>
      </c>
      <c r="L540" s="18">
        <f t="shared" si="96"/>
        <v>26.64</v>
      </c>
      <c r="M540" s="18">
        <f t="shared" si="97"/>
        <v>0</v>
      </c>
      <c r="N540" s="15">
        <f t="shared" si="98"/>
        <v>94.2</v>
      </c>
      <c r="O540" s="15">
        <f t="shared" si="89"/>
        <v>94.2</v>
      </c>
      <c r="P540" s="15">
        <f t="shared" si="90"/>
        <v>0</v>
      </c>
      <c r="Q540" s="5">
        <f t="shared" si="91"/>
        <v>0</v>
      </c>
    </row>
    <row r="541" spans="1:17" x14ac:dyDescent="0.25">
      <c r="A541" s="7">
        <v>46257.458333333336</v>
      </c>
      <c r="B541" s="6">
        <v>2198.6999999999998</v>
      </c>
      <c r="C541" s="13">
        <v>0.72</v>
      </c>
      <c r="D541" s="18">
        <f t="shared" si="88"/>
        <v>2199.4199999999996</v>
      </c>
      <c r="E541" s="14">
        <v>0</v>
      </c>
      <c r="F541" s="18">
        <f t="shared" si="92"/>
        <v>0</v>
      </c>
      <c r="G541" s="18">
        <f t="shared" si="93"/>
        <v>0</v>
      </c>
      <c r="H541" s="14">
        <v>69.599999999999994</v>
      </c>
      <c r="I541" s="18">
        <f t="shared" si="94"/>
        <v>69.599999999999994</v>
      </c>
      <c r="J541" s="18">
        <f t="shared" si="95"/>
        <v>0</v>
      </c>
      <c r="K541" s="14">
        <v>48.72</v>
      </c>
      <c r="L541" s="18">
        <f t="shared" si="96"/>
        <v>48.72</v>
      </c>
      <c r="M541" s="18">
        <f t="shared" si="97"/>
        <v>0</v>
      </c>
      <c r="N541" s="15">
        <f t="shared" si="98"/>
        <v>118.32</v>
      </c>
      <c r="O541" s="15">
        <f t="shared" si="89"/>
        <v>118.32</v>
      </c>
      <c r="P541" s="15">
        <f t="shared" si="90"/>
        <v>0</v>
      </c>
      <c r="Q541" s="5">
        <f t="shared" si="91"/>
        <v>0</v>
      </c>
    </row>
    <row r="542" spans="1:17" x14ac:dyDescent="0.25">
      <c r="A542" s="7">
        <v>46257.5</v>
      </c>
      <c r="B542" s="6">
        <v>2705.85</v>
      </c>
      <c r="C542" s="13">
        <v>5.16</v>
      </c>
      <c r="D542" s="18">
        <f t="shared" si="88"/>
        <v>2711.0099999999998</v>
      </c>
      <c r="E542" s="14">
        <v>0</v>
      </c>
      <c r="F542" s="18">
        <f t="shared" si="92"/>
        <v>0</v>
      </c>
      <c r="G542" s="18">
        <f t="shared" si="93"/>
        <v>0</v>
      </c>
      <c r="H542" s="14">
        <v>51.84</v>
      </c>
      <c r="I542" s="18">
        <f t="shared" si="94"/>
        <v>51.84</v>
      </c>
      <c r="J542" s="18">
        <f t="shared" si="95"/>
        <v>0</v>
      </c>
      <c r="K542" s="14">
        <v>17.28</v>
      </c>
      <c r="L542" s="18">
        <f t="shared" si="96"/>
        <v>17.28</v>
      </c>
      <c r="M542" s="18">
        <f t="shared" si="97"/>
        <v>0</v>
      </c>
      <c r="N542" s="15">
        <f t="shared" si="98"/>
        <v>69.12</v>
      </c>
      <c r="O542" s="15">
        <f t="shared" si="89"/>
        <v>69.12</v>
      </c>
      <c r="P542" s="15">
        <f t="shared" si="90"/>
        <v>0</v>
      </c>
      <c r="Q542" s="5">
        <f t="shared" si="91"/>
        <v>0</v>
      </c>
    </row>
    <row r="543" spans="1:17" x14ac:dyDescent="0.25">
      <c r="A543" s="7">
        <v>46257.541666666664</v>
      </c>
      <c r="B543" s="6">
        <v>2072.6999999999998</v>
      </c>
      <c r="C543" s="13">
        <v>14.64</v>
      </c>
      <c r="D543" s="18">
        <f t="shared" si="88"/>
        <v>2087.3399999999997</v>
      </c>
      <c r="E543" s="14">
        <v>0</v>
      </c>
      <c r="F543" s="18">
        <f t="shared" si="92"/>
        <v>0</v>
      </c>
      <c r="G543" s="18">
        <f t="shared" si="93"/>
        <v>0</v>
      </c>
      <c r="H543" s="14">
        <v>50.04</v>
      </c>
      <c r="I543" s="18">
        <f t="shared" si="94"/>
        <v>50.04</v>
      </c>
      <c r="J543" s="18">
        <f t="shared" si="95"/>
        <v>0</v>
      </c>
      <c r="K543" s="14">
        <v>20.04</v>
      </c>
      <c r="L543" s="18">
        <f t="shared" si="96"/>
        <v>20.04</v>
      </c>
      <c r="M543" s="18">
        <f t="shared" si="97"/>
        <v>0</v>
      </c>
      <c r="N543" s="15">
        <f t="shared" si="98"/>
        <v>70.08</v>
      </c>
      <c r="O543" s="15">
        <f t="shared" si="89"/>
        <v>70.08</v>
      </c>
      <c r="P543" s="15">
        <f t="shared" si="90"/>
        <v>0</v>
      </c>
      <c r="Q543" s="5">
        <f t="shared" si="91"/>
        <v>0</v>
      </c>
    </row>
    <row r="544" spans="1:17" x14ac:dyDescent="0.25">
      <c r="A544" s="7">
        <v>46257.583333333336</v>
      </c>
      <c r="B544" s="6">
        <v>2142</v>
      </c>
      <c r="C544" s="13">
        <v>7.56</v>
      </c>
      <c r="D544" s="18">
        <f t="shared" si="88"/>
        <v>2149.56</v>
      </c>
      <c r="E544" s="14">
        <v>0</v>
      </c>
      <c r="F544" s="18">
        <f t="shared" si="92"/>
        <v>0</v>
      </c>
      <c r="G544" s="18">
        <f t="shared" si="93"/>
        <v>0</v>
      </c>
      <c r="H544" s="14">
        <v>74.64</v>
      </c>
      <c r="I544" s="18">
        <f t="shared" si="94"/>
        <v>74.64</v>
      </c>
      <c r="J544" s="18">
        <f t="shared" si="95"/>
        <v>0</v>
      </c>
      <c r="K544" s="14">
        <v>19.2</v>
      </c>
      <c r="L544" s="18">
        <f t="shared" si="96"/>
        <v>19.2</v>
      </c>
      <c r="M544" s="18">
        <f t="shared" si="97"/>
        <v>0</v>
      </c>
      <c r="N544" s="15">
        <f t="shared" si="98"/>
        <v>93.84</v>
      </c>
      <c r="O544" s="15">
        <f t="shared" si="89"/>
        <v>93.84</v>
      </c>
      <c r="P544" s="15">
        <f t="shared" si="90"/>
        <v>0</v>
      </c>
      <c r="Q544" s="5">
        <f t="shared" si="91"/>
        <v>0</v>
      </c>
    </row>
    <row r="545" spans="1:17" x14ac:dyDescent="0.25">
      <c r="A545" s="7">
        <v>46257.625</v>
      </c>
      <c r="B545" s="6">
        <v>897.75</v>
      </c>
      <c r="C545" s="13">
        <v>0.12</v>
      </c>
      <c r="D545" s="18">
        <f t="shared" si="88"/>
        <v>897.87</v>
      </c>
      <c r="E545" s="14">
        <v>6.3</v>
      </c>
      <c r="F545" s="18">
        <f t="shared" si="92"/>
        <v>6.3</v>
      </c>
      <c r="G545" s="18">
        <f t="shared" si="93"/>
        <v>0</v>
      </c>
      <c r="H545" s="14">
        <v>108.24</v>
      </c>
      <c r="I545" s="18">
        <f t="shared" si="94"/>
        <v>108.24</v>
      </c>
      <c r="J545" s="18">
        <f t="shared" si="95"/>
        <v>0</v>
      </c>
      <c r="K545" s="14">
        <v>47.52</v>
      </c>
      <c r="L545" s="18">
        <f t="shared" si="96"/>
        <v>47.52</v>
      </c>
      <c r="M545" s="18">
        <f t="shared" si="97"/>
        <v>0</v>
      </c>
      <c r="N545" s="15">
        <f t="shared" si="98"/>
        <v>162.06</v>
      </c>
      <c r="O545" s="15">
        <f t="shared" si="89"/>
        <v>162.06</v>
      </c>
      <c r="P545" s="15">
        <f t="shared" si="90"/>
        <v>0</v>
      </c>
      <c r="Q545" s="5">
        <f t="shared" si="91"/>
        <v>0</v>
      </c>
    </row>
    <row r="546" spans="1:17" x14ac:dyDescent="0.25">
      <c r="A546" s="7">
        <v>46257.666666666664</v>
      </c>
      <c r="B546" s="6">
        <v>75.599999999999994</v>
      </c>
      <c r="C546" s="13">
        <v>0</v>
      </c>
      <c r="D546" s="18">
        <f t="shared" si="88"/>
        <v>75.599999999999994</v>
      </c>
      <c r="E546" s="14">
        <v>264.60000000000002</v>
      </c>
      <c r="F546" s="18">
        <f t="shared" si="92"/>
        <v>40.658048780487803</v>
      </c>
      <c r="G546" s="18">
        <f t="shared" si="93"/>
        <v>223.94195121951222</v>
      </c>
      <c r="H546" s="14">
        <v>212.28</v>
      </c>
      <c r="I546" s="18">
        <f t="shared" si="94"/>
        <v>32.618634146341464</v>
      </c>
      <c r="J546" s="18">
        <f t="shared" si="95"/>
        <v>179.66136585365854</v>
      </c>
      <c r="K546" s="14">
        <v>15.12</v>
      </c>
      <c r="L546" s="18">
        <f t="shared" si="96"/>
        <v>2.3233170731707311</v>
      </c>
      <c r="M546" s="18">
        <f t="shared" si="97"/>
        <v>12.796682926829268</v>
      </c>
      <c r="N546" s="15">
        <f t="shared" si="98"/>
        <v>492</v>
      </c>
      <c r="O546" s="15">
        <f t="shared" si="89"/>
        <v>75.600000000000023</v>
      </c>
      <c r="P546" s="15">
        <f t="shared" si="90"/>
        <v>416.4</v>
      </c>
      <c r="Q546" s="5">
        <f t="shared" si="91"/>
        <v>0.84634146341463412</v>
      </c>
    </row>
    <row r="547" spans="1:17" x14ac:dyDescent="0.25">
      <c r="A547" s="7">
        <v>46257.708333333336</v>
      </c>
      <c r="B547" s="6">
        <v>44.1</v>
      </c>
      <c r="C547" s="13">
        <v>0</v>
      </c>
      <c r="D547" s="18">
        <f t="shared" si="88"/>
        <v>44.1</v>
      </c>
      <c r="E547" s="14">
        <v>592.20000000000005</v>
      </c>
      <c r="F547" s="18">
        <f t="shared" si="92"/>
        <v>34.278390297684723</v>
      </c>
      <c r="G547" s="18">
        <f t="shared" si="93"/>
        <v>557.92160970231532</v>
      </c>
      <c r="H547" s="14">
        <v>140.63999999999999</v>
      </c>
      <c r="I547" s="18">
        <f t="shared" si="94"/>
        <v>8.140683572216119</v>
      </c>
      <c r="J547" s="18">
        <f t="shared" si="95"/>
        <v>132.49931642778387</v>
      </c>
      <c r="K547" s="14">
        <v>29.04</v>
      </c>
      <c r="L547" s="18">
        <f t="shared" si="96"/>
        <v>1.6809261300992304</v>
      </c>
      <c r="M547" s="18">
        <f t="shared" si="97"/>
        <v>27.359073869900769</v>
      </c>
      <c r="N547" s="15">
        <f t="shared" si="98"/>
        <v>761.88</v>
      </c>
      <c r="O547" s="15">
        <f t="shared" si="89"/>
        <v>44.100000000000023</v>
      </c>
      <c r="P547" s="15">
        <f t="shared" si="90"/>
        <v>717.78</v>
      </c>
      <c r="Q547" s="5">
        <f t="shared" si="91"/>
        <v>0.94211686879823586</v>
      </c>
    </row>
    <row r="548" spans="1:17" x14ac:dyDescent="0.25">
      <c r="A548" s="7">
        <v>46257.75</v>
      </c>
      <c r="B548" s="6">
        <v>0</v>
      </c>
      <c r="C548" s="13">
        <v>0</v>
      </c>
      <c r="D548" s="18">
        <f t="shared" si="88"/>
        <v>0</v>
      </c>
      <c r="E548" s="14">
        <v>277.2</v>
      </c>
      <c r="F548" s="18">
        <f t="shared" si="92"/>
        <v>0</v>
      </c>
      <c r="G548" s="18">
        <f t="shared" si="93"/>
        <v>277.2</v>
      </c>
      <c r="H548" s="14">
        <v>59.16</v>
      </c>
      <c r="I548" s="18">
        <f t="shared" si="94"/>
        <v>0</v>
      </c>
      <c r="J548" s="18">
        <f t="shared" si="95"/>
        <v>59.16</v>
      </c>
      <c r="K548" s="14">
        <v>19.440000000000001</v>
      </c>
      <c r="L548" s="18">
        <f t="shared" si="96"/>
        <v>0</v>
      </c>
      <c r="M548" s="18">
        <f t="shared" si="97"/>
        <v>19.440000000000001</v>
      </c>
      <c r="N548" s="15">
        <f t="shared" si="98"/>
        <v>355.8</v>
      </c>
      <c r="O548" s="15">
        <f t="shared" si="89"/>
        <v>0</v>
      </c>
      <c r="P548" s="15">
        <f t="shared" si="90"/>
        <v>355.8</v>
      </c>
      <c r="Q548" s="5">
        <f t="shared" si="91"/>
        <v>1</v>
      </c>
    </row>
    <row r="549" spans="1:17" x14ac:dyDescent="0.25">
      <c r="A549" s="7">
        <v>46257.791666666664</v>
      </c>
      <c r="B549" s="6">
        <v>0</v>
      </c>
      <c r="C549" s="13">
        <v>0</v>
      </c>
      <c r="D549" s="18">
        <f t="shared" si="88"/>
        <v>0</v>
      </c>
      <c r="E549" s="14">
        <v>163.80000000000001</v>
      </c>
      <c r="F549" s="18">
        <f t="shared" si="92"/>
        <v>0</v>
      </c>
      <c r="G549" s="18">
        <f t="shared" si="93"/>
        <v>163.80000000000001</v>
      </c>
      <c r="H549" s="14">
        <v>46.68</v>
      </c>
      <c r="I549" s="18">
        <f t="shared" si="94"/>
        <v>0</v>
      </c>
      <c r="J549" s="18">
        <f t="shared" si="95"/>
        <v>46.68</v>
      </c>
      <c r="K549" s="14">
        <v>6.24</v>
      </c>
      <c r="L549" s="18">
        <f t="shared" si="96"/>
        <v>0</v>
      </c>
      <c r="M549" s="18">
        <f t="shared" si="97"/>
        <v>6.24</v>
      </c>
      <c r="N549" s="15">
        <f t="shared" si="98"/>
        <v>216.72000000000003</v>
      </c>
      <c r="O549" s="15">
        <f t="shared" si="89"/>
        <v>0</v>
      </c>
      <c r="P549" s="15">
        <f t="shared" si="90"/>
        <v>216.72000000000003</v>
      </c>
      <c r="Q549" s="5">
        <f t="shared" si="91"/>
        <v>1</v>
      </c>
    </row>
    <row r="550" spans="1:17" x14ac:dyDescent="0.25">
      <c r="A550" s="7">
        <v>46257.833333333336</v>
      </c>
      <c r="B550" s="6">
        <v>0</v>
      </c>
      <c r="C550" s="13">
        <v>0</v>
      </c>
      <c r="D550" s="18">
        <f t="shared" si="88"/>
        <v>0</v>
      </c>
      <c r="E550" s="14">
        <v>182.7</v>
      </c>
      <c r="F550" s="18">
        <f t="shared" si="92"/>
        <v>0</v>
      </c>
      <c r="G550" s="18">
        <f t="shared" si="93"/>
        <v>182.7</v>
      </c>
      <c r="H550" s="14">
        <v>40.799999999999997</v>
      </c>
      <c r="I550" s="18">
        <f t="shared" si="94"/>
        <v>0</v>
      </c>
      <c r="J550" s="18">
        <f t="shared" si="95"/>
        <v>40.799999999999997</v>
      </c>
      <c r="K550" s="14">
        <v>18.48</v>
      </c>
      <c r="L550" s="18">
        <f t="shared" si="96"/>
        <v>0</v>
      </c>
      <c r="M550" s="18">
        <f t="shared" si="97"/>
        <v>18.48</v>
      </c>
      <c r="N550" s="15">
        <f t="shared" si="98"/>
        <v>241.98</v>
      </c>
      <c r="O550" s="15">
        <f t="shared" si="89"/>
        <v>0</v>
      </c>
      <c r="P550" s="15">
        <f t="shared" si="90"/>
        <v>241.98</v>
      </c>
      <c r="Q550" s="5">
        <f t="shared" si="91"/>
        <v>1</v>
      </c>
    </row>
    <row r="551" spans="1:17" x14ac:dyDescent="0.25">
      <c r="A551" s="7">
        <v>46257.875</v>
      </c>
      <c r="B551" s="6">
        <v>0</v>
      </c>
      <c r="C551" s="13">
        <v>0</v>
      </c>
      <c r="D551" s="18">
        <f t="shared" si="88"/>
        <v>0</v>
      </c>
      <c r="E551" s="14">
        <v>217.35</v>
      </c>
      <c r="F551" s="18">
        <f t="shared" si="92"/>
        <v>0</v>
      </c>
      <c r="G551" s="18">
        <f t="shared" si="93"/>
        <v>217.35</v>
      </c>
      <c r="H551" s="14">
        <v>41.4</v>
      </c>
      <c r="I551" s="18">
        <f t="shared" si="94"/>
        <v>0</v>
      </c>
      <c r="J551" s="18">
        <f t="shared" si="95"/>
        <v>41.4</v>
      </c>
      <c r="K551" s="14">
        <v>2.64</v>
      </c>
      <c r="L551" s="18">
        <f t="shared" si="96"/>
        <v>0</v>
      </c>
      <c r="M551" s="18">
        <f t="shared" si="97"/>
        <v>2.64</v>
      </c>
      <c r="N551" s="15">
        <f t="shared" si="98"/>
        <v>261.39</v>
      </c>
      <c r="O551" s="15">
        <f t="shared" si="89"/>
        <v>0</v>
      </c>
      <c r="P551" s="15">
        <f t="shared" si="90"/>
        <v>261.39</v>
      </c>
      <c r="Q551" s="5">
        <f t="shared" si="91"/>
        <v>1</v>
      </c>
    </row>
    <row r="552" spans="1:17" x14ac:dyDescent="0.25">
      <c r="A552" s="7">
        <v>46257.916666666664</v>
      </c>
      <c r="B552" s="6">
        <v>0</v>
      </c>
      <c r="C552" s="13">
        <v>0</v>
      </c>
      <c r="D552" s="18">
        <f t="shared" si="88"/>
        <v>0</v>
      </c>
      <c r="E552" s="14">
        <v>834.75</v>
      </c>
      <c r="F552" s="18">
        <f t="shared" si="92"/>
        <v>0</v>
      </c>
      <c r="G552" s="18">
        <f t="shared" si="93"/>
        <v>834.75</v>
      </c>
      <c r="H552" s="14">
        <v>36.96</v>
      </c>
      <c r="I552" s="18">
        <f t="shared" si="94"/>
        <v>0</v>
      </c>
      <c r="J552" s="18">
        <f t="shared" si="95"/>
        <v>36.96</v>
      </c>
      <c r="K552" s="14">
        <v>2.04</v>
      </c>
      <c r="L552" s="18">
        <f t="shared" si="96"/>
        <v>0</v>
      </c>
      <c r="M552" s="18">
        <f t="shared" si="97"/>
        <v>2.04</v>
      </c>
      <c r="N552" s="15">
        <f t="shared" si="98"/>
        <v>873.75</v>
      </c>
      <c r="O552" s="15">
        <f t="shared" si="89"/>
        <v>0</v>
      </c>
      <c r="P552" s="15">
        <f t="shared" si="90"/>
        <v>873.75</v>
      </c>
      <c r="Q552" s="5">
        <f t="shared" si="91"/>
        <v>1</v>
      </c>
    </row>
    <row r="553" spans="1:17" x14ac:dyDescent="0.25">
      <c r="A553" s="7">
        <v>46257.958333333336</v>
      </c>
      <c r="B553" s="6">
        <v>0</v>
      </c>
      <c r="C553" s="13">
        <v>0</v>
      </c>
      <c r="D553" s="18">
        <f t="shared" si="88"/>
        <v>0</v>
      </c>
      <c r="E553" s="14">
        <v>730.8</v>
      </c>
      <c r="F553" s="18">
        <f t="shared" si="92"/>
        <v>0</v>
      </c>
      <c r="G553" s="18">
        <f t="shared" si="93"/>
        <v>730.8</v>
      </c>
      <c r="H553" s="14">
        <v>37.08</v>
      </c>
      <c r="I553" s="18">
        <f t="shared" si="94"/>
        <v>0</v>
      </c>
      <c r="J553" s="18">
        <f t="shared" si="95"/>
        <v>37.08</v>
      </c>
      <c r="K553" s="14">
        <v>1.92</v>
      </c>
      <c r="L553" s="18">
        <f t="shared" si="96"/>
        <v>0</v>
      </c>
      <c r="M553" s="18">
        <f t="shared" si="97"/>
        <v>1.92</v>
      </c>
      <c r="N553" s="15">
        <f t="shared" si="98"/>
        <v>769.8</v>
      </c>
      <c r="O553" s="15">
        <f t="shared" si="89"/>
        <v>0</v>
      </c>
      <c r="P553" s="15">
        <f t="shared" si="90"/>
        <v>769.8</v>
      </c>
      <c r="Q553" s="5">
        <f t="shared" si="91"/>
        <v>1</v>
      </c>
    </row>
    <row r="554" spans="1:17" x14ac:dyDescent="0.25">
      <c r="A554" s="7">
        <v>46258</v>
      </c>
      <c r="B554" s="6">
        <v>0</v>
      </c>
      <c r="C554" s="13">
        <v>0</v>
      </c>
      <c r="D554" s="18">
        <f t="shared" si="88"/>
        <v>0</v>
      </c>
      <c r="E554" s="14">
        <v>743.4</v>
      </c>
      <c r="F554" s="18">
        <f t="shared" si="92"/>
        <v>0</v>
      </c>
      <c r="G554" s="18">
        <f t="shared" si="93"/>
        <v>743.4</v>
      </c>
      <c r="H554" s="14">
        <v>38.4</v>
      </c>
      <c r="I554" s="18">
        <f t="shared" si="94"/>
        <v>0</v>
      </c>
      <c r="J554" s="18">
        <f t="shared" si="95"/>
        <v>38.4</v>
      </c>
      <c r="K554" s="14">
        <v>1.8</v>
      </c>
      <c r="L554" s="18">
        <f t="shared" si="96"/>
        <v>0</v>
      </c>
      <c r="M554" s="18">
        <f t="shared" si="97"/>
        <v>1.8</v>
      </c>
      <c r="N554" s="15">
        <f t="shared" si="98"/>
        <v>783.59999999999991</v>
      </c>
      <c r="O554" s="15">
        <f t="shared" si="89"/>
        <v>0</v>
      </c>
      <c r="P554" s="15">
        <f t="shared" si="90"/>
        <v>783.59999999999991</v>
      </c>
      <c r="Q554" s="5">
        <f t="shared" si="91"/>
        <v>1</v>
      </c>
    </row>
    <row r="555" spans="1:17" x14ac:dyDescent="0.25">
      <c r="A555" s="7">
        <v>46258.041666666664</v>
      </c>
      <c r="B555" s="6">
        <v>0</v>
      </c>
      <c r="C555" s="13">
        <v>0</v>
      </c>
      <c r="D555" s="18">
        <f t="shared" si="88"/>
        <v>0</v>
      </c>
      <c r="E555" s="14">
        <v>248.85</v>
      </c>
      <c r="F555" s="18">
        <f t="shared" si="92"/>
        <v>0</v>
      </c>
      <c r="G555" s="18">
        <f t="shared" si="93"/>
        <v>248.85</v>
      </c>
      <c r="H555" s="14">
        <v>38.159999999999997</v>
      </c>
      <c r="I555" s="18">
        <f t="shared" si="94"/>
        <v>0</v>
      </c>
      <c r="J555" s="18">
        <f t="shared" si="95"/>
        <v>38.159999999999997</v>
      </c>
      <c r="K555" s="14">
        <v>2.04</v>
      </c>
      <c r="L555" s="18">
        <f t="shared" si="96"/>
        <v>0</v>
      </c>
      <c r="M555" s="18">
        <f t="shared" si="97"/>
        <v>2.04</v>
      </c>
      <c r="N555" s="15">
        <f t="shared" si="98"/>
        <v>289.05</v>
      </c>
      <c r="O555" s="15">
        <f t="shared" si="89"/>
        <v>0</v>
      </c>
      <c r="P555" s="15">
        <f t="shared" si="90"/>
        <v>289.05</v>
      </c>
      <c r="Q555" s="5">
        <f t="shared" si="91"/>
        <v>1</v>
      </c>
    </row>
    <row r="556" spans="1:17" x14ac:dyDescent="0.25">
      <c r="A556" s="7">
        <v>46258.083333333336</v>
      </c>
      <c r="B556" s="6">
        <v>0</v>
      </c>
      <c r="C556" s="13">
        <v>0</v>
      </c>
      <c r="D556" s="18">
        <f t="shared" si="88"/>
        <v>0</v>
      </c>
      <c r="E556" s="14">
        <v>387.45</v>
      </c>
      <c r="F556" s="18">
        <f t="shared" si="92"/>
        <v>0</v>
      </c>
      <c r="G556" s="18">
        <f t="shared" si="93"/>
        <v>387.45</v>
      </c>
      <c r="H556" s="14">
        <v>38.520000000000003</v>
      </c>
      <c r="I556" s="18">
        <f t="shared" si="94"/>
        <v>0</v>
      </c>
      <c r="J556" s="18">
        <f t="shared" si="95"/>
        <v>38.520000000000003</v>
      </c>
      <c r="K556" s="14">
        <v>3</v>
      </c>
      <c r="L556" s="18">
        <f t="shared" si="96"/>
        <v>0</v>
      </c>
      <c r="M556" s="18">
        <f t="shared" si="97"/>
        <v>3</v>
      </c>
      <c r="N556" s="15">
        <f t="shared" si="98"/>
        <v>428.96999999999997</v>
      </c>
      <c r="O556" s="15">
        <f t="shared" si="89"/>
        <v>0</v>
      </c>
      <c r="P556" s="15">
        <f t="shared" si="90"/>
        <v>428.96999999999997</v>
      </c>
      <c r="Q556" s="5">
        <f t="shared" si="91"/>
        <v>1</v>
      </c>
    </row>
    <row r="557" spans="1:17" x14ac:dyDescent="0.25">
      <c r="A557" s="7">
        <v>46258.125</v>
      </c>
      <c r="B557" s="6">
        <v>0</v>
      </c>
      <c r="C557" s="13">
        <v>0</v>
      </c>
      <c r="D557" s="18">
        <f t="shared" si="88"/>
        <v>0</v>
      </c>
      <c r="E557" s="14">
        <v>894.6</v>
      </c>
      <c r="F557" s="18">
        <f t="shared" si="92"/>
        <v>0</v>
      </c>
      <c r="G557" s="18">
        <f t="shared" si="93"/>
        <v>894.6</v>
      </c>
      <c r="H557" s="14">
        <v>38.76</v>
      </c>
      <c r="I557" s="18">
        <f t="shared" si="94"/>
        <v>0</v>
      </c>
      <c r="J557" s="18">
        <f t="shared" si="95"/>
        <v>38.76</v>
      </c>
      <c r="K557" s="14">
        <v>1.92</v>
      </c>
      <c r="L557" s="18">
        <f t="shared" si="96"/>
        <v>0</v>
      </c>
      <c r="M557" s="18">
        <f t="shared" si="97"/>
        <v>1.92</v>
      </c>
      <c r="N557" s="15">
        <f t="shared" si="98"/>
        <v>935.28</v>
      </c>
      <c r="O557" s="15">
        <f t="shared" si="89"/>
        <v>0</v>
      </c>
      <c r="P557" s="15">
        <f t="shared" si="90"/>
        <v>935.28</v>
      </c>
      <c r="Q557" s="5">
        <f t="shared" si="91"/>
        <v>1</v>
      </c>
    </row>
    <row r="558" spans="1:17" x14ac:dyDescent="0.25">
      <c r="A558" s="7">
        <v>46258.166666666664</v>
      </c>
      <c r="B558" s="6">
        <v>0</v>
      </c>
      <c r="C558" s="13">
        <v>0</v>
      </c>
      <c r="D558" s="18">
        <f t="shared" si="88"/>
        <v>0</v>
      </c>
      <c r="E558" s="14">
        <v>885.15</v>
      </c>
      <c r="F558" s="18">
        <f t="shared" si="92"/>
        <v>0</v>
      </c>
      <c r="G558" s="18">
        <f t="shared" si="93"/>
        <v>885.15</v>
      </c>
      <c r="H558" s="14">
        <v>39</v>
      </c>
      <c r="I558" s="18">
        <f t="shared" si="94"/>
        <v>0</v>
      </c>
      <c r="J558" s="18">
        <f t="shared" si="95"/>
        <v>39</v>
      </c>
      <c r="K558" s="14">
        <v>9.84</v>
      </c>
      <c r="L558" s="18">
        <f t="shared" si="96"/>
        <v>0</v>
      </c>
      <c r="M558" s="18">
        <f t="shared" si="97"/>
        <v>9.84</v>
      </c>
      <c r="N558" s="15">
        <f t="shared" si="98"/>
        <v>933.99</v>
      </c>
      <c r="O558" s="15">
        <f t="shared" si="89"/>
        <v>0</v>
      </c>
      <c r="P558" s="15">
        <f t="shared" si="90"/>
        <v>933.99</v>
      </c>
      <c r="Q558" s="5">
        <f t="shared" si="91"/>
        <v>1</v>
      </c>
    </row>
    <row r="559" spans="1:17" x14ac:dyDescent="0.25">
      <c r="A559" s="7">
        <v>46258.208333333336</v>
      </c>
      <c r="B559" s="6">
        <v>0</v>
      </c>
      <c r="C559" s="13">
        <v>0</v>
      </c>
      <c r="D559" s="18">
        <f t="shared" si="88"/>
        <v>0</v>
      </c>
      <c r="E559" s="14">
        <v>882</v>
      </c>
      <c r="F559" s="18">
        <f t="shared" si="92"/>
        <v>0</v>
      </c>
      <c r="G559" s="18">
        <f t="shared" si="93"/>
        <v>882</v>
      </c>
      <c r="H559" s="14">
        <v>37.32</v>
      </c>
      <c r="I559" s="18">
        <f t="shared" si="94"/>
        <v>0</v>
      </c>
      <c r="J559" s="18">
        <f t="shared" si="95"/>
        <v>37.32</v>
      </c>
      <c r="K559" s="14">
        <v>4.92</v>
      </c>
      <c r="L559" s="18">
        <f t="shared" si="96"/>
        <v>0</v>
      </c>
      <c r="M559" s="18">
        <f t="shared" si="97"/>
        <v>4.92</v>
      </c>
      <c r="N559" s="15">
        <f t="shared" si="98"/>
        <v>924.24</v>
      </c>
      <c r="O559" s="15">
        <f t="shared" si="89"/>
        <v>0</v>
      </c>
      <c r="P559" s="15">
        <f t="shared" si="90"/>
        <v>924.24</v>
      </c>
      <c r="Q559" s="5">
        <f t="shared" si="91"/>
        <v>1</v>
      </c>
    </row>
    <row r="560" spans="1:17" x14ac:dyDescent="0.25">
      <c r="A560" s="7">
        <v>46258.25</v>
      </c>
      <c r="B560" s="6">
        <v>0</v>
      </c>
      <c r="C560" s="13">
        <v>0</v>
      </c>
      <c r="D560" s="18">
        <f t="shared" si="88"/>
        <v>0</v>
      </c>
      <c r="E560" s="14">
        <v>223.65</v>
      </c>
      <c r="F560" s="18">
        <f t="shared" si="92"/>
        <v>0</v>
      </c>
      <c r="G560" s="18">
        <f t="shared" si="93"/>
        <v>223.65</v>
      </c>
      <c r="H560" s="14">
        <v>44.4</v>
      </c>
      <c r="I560" s="18">
        <f t="shared" si="94"/>
        <v>0</v>
      </c>
      <c r="J560" s="18">
        <f t="shared" si="95"/>
        <v>44.4</v>
      </c>
      <c r="K560" s="14">
        <v>2.64</v>
      </c>
      <c r="L560" s="18">
        <f t="shared" si="96"/>
        <v>0</v>
      </c>
      <c r="M560" s="18">
        <f t="shared" si="97"/>
        <v>2.64</v>
      </c>
      <c r="N560" s="15">
        <f t="shared" si="98"/>
        <v>270.69</v>
      </c>
      <c r="O560" s="15">
        <f t="shared" si="89"/>
        <v>0</v>
      </c>
      <c r="P560" s="15">
        <f t="shared" si="90"/>
        <v>270.69</v>
      </c>
      <c r="Q560" s="5">
        <f t="shared" si="91"/>
        <v>1</v>
      </c>
    </row>
    <row r="561" spans="1:17" x14ac:dyDescent="0.25">
      <c r="A561" s="7">
        <v>46258.291666666664</v>
      </c>
      <c r="B561" s="6">
        <v>37.799999999999997</v>
      </c>
      <c r="C561" s="13">
        <v>0</v>
      </c>
      <c r="D561" s="18">
        <f t="shared" si="88"/>
        <v>37.799999999999997</v>
      </c>
      <c r="E561" s="14">
        <v>9.4499999999999993</v>
      </c>
      <c r="F561" s="18">
        <f t="shared" si="92"/>
        <v>8.5847152126892574</v>
      </c>
      <c r="G561" s="18">
        <f t="shared" si="93"/>
        <v>0.86528478731074154</v>
      </c>
      <c r="H561" s="14">
        <v>28.68</v>
      </c>
      <c r="I561" s="18">
        <f t="shared" si="94"/>
        <v>26.053929343907718</v>
      </c>
      <c r="J561" s="18">
        <f t="shared" si="95"/>
        <v>2.6260706560922826</v>
      </c>
      <c r="K561" s="14">
        <v>3.48</v>
      </c>
      <c r="L561" s="18">
        <f t="shared" si="96"/>
        <v>3.1613554434030284</v>
      </c>
      <c r="M561" s="18">
        <f t="shared" si="97"/>
        <v>0.31864455659697155</v>
      </c>
      <c r="N561" s="15">
        <f t="shared" si="98"/>
        <v>41.609999999999992</v>
      </c>
      <c r="O561" s="15">
        <f t="shared" si="89"/>
        <v>37.799999999999997</v>
      </c>
      <c r="P561" s="15">
        <f t="shared" si="90"/>
        <v>3.8099999999999952</v>
      </c>
      <c r="Q561" s="5">
        <f t="shared" si="91"/>
        <v>9.1564527757750439E-2</v>
      </c>
    </row>
    <row r="562" spans="1:17" x14ac:dyDescent="0.25">
      <c r="A562" s="7">
        <v>46258.333333333336</v>
      </c>
      <c r="B562" s="6">
        <v>69.3</v>
      </c>
      <c r="C562" s="13">
        <v>0</v>
      </c>
      <c r="D562" s="18">
        <f t="shared" si="88"/>
        <v>69.3</v>
      </c>
      <c r="E562" s="14">
        <v>223.65</v>
      </c>
      <c r="F562" s="18">
        <f t="shared" si="92"/>
        <v>41.54656212303982</v>
      </c>
      <c r="G562" s="18">
        <f t="shared" si="93"/>
        <v>182.10343787696019</v>
      </c>
      <c r="H562" s="14">
        <v>147.47999999999999</v>
      </c>
      <c r="I562" s="18">
        <f t="shared" si="94"/>
        <v>27.396767189384803</v>
      </c>
      <c r="J562" s="18">
        <f t="shared" si="95"/>
        <v>120.08323281061519</v>
      </c>
      <c r="K562" s="14">
        <v>1.92</v>
      </c>
      <c r="L562" s="18">
        <f t="shared" si="96"/>
        <v>0.35667068757539222</v>
      </c>
      <c r="M562" s="18">
        <f t="shared" si="97"/>
        <v>1.5633293124246077</v>
      </c>
      <c r="N562" s="15">
        <f t="shared" si="98"/>
        <v>373.05</v>
      </c>
      <c r="O562" s="15">
        <f t="shared" si="89"/>
        <v>69.300000000000011</v>
      </c>
      <c r="P562" s="15">
        <f t="shared" si="90"/>
        <v>303.75</v>
      </c>
      <c r="Q562" s="5">
        <f t="shared" si="91"/>
        <v>0.8142340168878166</v>
      </c>
    </row>
    <row r="563" spans="1:17" x14ac:dyDescent="0.25">
      <c r="A563" s="7">
        <v>46258.375</v>
      </c>
      <c r="B563" s="6">
        <v>44.1</v>
      </c>
      <c r="C563" s="13">
        <v>0</v>
      </c>
      <c r="D563" s="18">
        <f t="shared" si="88"/>
        <v>44.1</v>
      </c>
      <c r="E563" s="14">
        <v>154.35</v>
      </c>
      <c r="F563" s="18">
        <f t="shared" si="92"/>
        <v>18.781102557735295</v>
      </c>
      <c r="G563" s="18">
        <f t="shared" si="93"/>
        <v>135.5688974422647</v>
      </c>
      <c r="H563" s="14">
        <v>188.76</v>
      </c>
      <c r="I563" s="18">
        <f t="shared" si="94"/>
        <v>22.968065557486966</v>
      </c>
      <c r="J563" s="18">
        <f t="shared" si="95"/>
        <v>165.79193444251302</v>
      </c>
      <c r="K563" s="14">
        <v>19.32</v>
      </c>
      <c r="L563" s="18">
        <f t="shared" si="96"/>
        <v>2.350831884777751</v>
      </c>
      <c r="M563" s="18">
        <f t="shared" si="97"/>
        <v>16.969168115222249</v>
      </c>
      <c r="N563" s="15">
        <f t="shared" si="98"/>
        <v>362.43</v>
      </c>
      <c r="O563" s="15">
        <f t="shared" si="89"/>
        <v>44.100000000000023</v>
      </c>
      <c r="P563" s="15">
        <f t="shared" si="90"/>
        <v>318.33</v>
      </c>
      <c r="Q563" s="5">
        <f t="shared" si="91"/>
        <v>0.87832133101564436</v>
      </c>
    </row>
    <row r="564" spans="1:17" x14ac:dyDescent="0.25">
      <c r="A564" s="7">
        <v>46258.416666666664</v>
      </c>
      <c r="B564" s="6">
        <v>261.45</v>
      </c>
      <c r="C564" s="13">
        <v>0</v>
      </c>
      <c r="D564" s="18">
        <f t="shared" si="88"/>
        <v>261.45</v>
      </c>
      <c r="E564" s="14">
        <v>0</v>
      </c>
      <c r="F564" s="18">
        <f t="shared" si="92"/>
        <v>0</v>
      </c>
      <c r="G564" s="18">
        <f t="shared" si="93"/>
        <v>0</v>
      </c>
      <c r="H564" s="14">
        <v>165.36</v>
      </c>
      <c r="I564" s="18">
        <f t="shared" si="94"/>
        <v>165.36</v>
      </c>
      <c r="J564" s="18">
        <f t="shared" si="95"/>
        <v>0</v>
      </c>
      <c r="K564" s="14">
        <v>24.96</v>
      </c>
      <c r="L564" s="18">
        <f t="shared" si="96"/>
        <v>24.96</v>
      </c>
      <c r="M564" s="18">
        <f t="shared" si="97"/>
        <v>0</v>
      </c>
      <c r="N564" s="15">
        <f t="shared" si="98"/>
        <v>190.32000000000002</v>
      </c>
      <c r="O564" s="15">
        <f t="shared" si="89"/>
        <v>190.32000000000002</v>
      </c>
      <c r="P564" s="15">
        <f t="shared" si="90"/>
        <v>0</v>
      </c>
      <c r="Q564" s="5">
        <f t="shared" si="91"/>
        <v>0</v>
      </c>
    </row>
    <row r="565" spans="1:17" x14ac:dyDescent="0.25">
      <c r="A565" s="7">
        <v>46258.458333333336</v>
      </c>
      <c r="B565" s="6">
        <v>428.4</v>
      </c>
      <c r="C565" s="13">
        <v>0.48</v>
      </c>
      <c r="D565" s="18">
        <f t="shared" si="88"/>
        <v>428.88</v>
      </c>
      <c r="E565" s="14">
        <v>12.6</v>
      </c>
      <c r="F565" s="18">
        <f t="shared" si="92"/>
        <v>12.6</v>
      </c>
      <c r="G565" s="18">
        <f t="shared" si="93"/>
        <v>0</v>
      </c>
      <c r="H565" s="14">
        <v>98.76</v>
      </c>
      <c r="I565" s="18">
        <f t="shared" si="94"/>
        <v>98.76</v>
      </c>
      <c r="J565" s="18">
        <f t="shared" si="95"/>
        <v>0</v>
      </c>
      <c r="K565" s="14">
        <v>37.200000000000003</v>
      </c>
      <c r="L565" s="18">
        <f t="shared" si="96"/>
        <v>37.200000000000003</v>
      </c>
      <c r="M565" s="18">
        <f t="shared" si="97"/>
        <v>0</v>
      </c>
      <c r="N565" s="15">
        <f t="shared" si="98"/>
        <v>148.56</v>
      </c>
      <c r="O565" s="15">
        <f t="shared" si="89"/>
        <v>148.56</v>
      </c>
      <c r="P565" s="15">
        <f t="shared" si="90"/>
        <v>0</v>
      </c>
      <c r="Q565" s="5">
        <f t="shared" si="91"/>
        <v>0</v>
      </c>
    </row>
    <row r="566" spans="1:17" x14ac:dyDescent="0.25">
      <c r="A566" s="7">
        <v>46258.5</v>
      </c>
      <c r="B566" s="6">
        <v>1026.9000000000001</v>
      </c>
      <c r="C566" s="13">
        <v>0.36</v>
      </c>
      <c r="D566" s="18">
        <f t="shared" si="88"/>
        <v>1027.26</v>
      </c>
      <c r="E566" s="14">
        <v>0</v>
      </c>
      <c r="F566" s="18">
        <f t="shared" si="92"/>
        <v>0</v>
      </c>
      <c r="G566" s="18">
        <f t="shared" si="93"/>
        <v>0</v>
      </c>
      <c r="H566" s="14">
        <v>98.64</v>
      </c>
      <c r="I566" s="18">
        <f t="shared" si="94"/>
        <v>98.64</v>
      </c>
      <c r="J566" s="18">
        <f t="shared" si="95"/>
        <v>0</v>
      </c>
      <c r="K566" s="14">
        <v>46.56</v>
      </c>
      <c r="L566" s="18">
        <f t="shared" si="96"/>
        <v>46.56</v>
      </c>
      <c r="M566" s="18">
        <f t="shared" si="97"/>
        <v>0</v>
      </c>
      <c r="N566" s="15">
        <f t="shared" si="98"/>
        <v>145.19999999999999</v>
      </c>
      <c r="O566" s="15">
        <f t="shared" si="89"/>
        <v>145.19999999999999</v>
      </c>
      <c r="P566" s="15">
        <f t="shared" si="90"/>
        <v>0</v>
      </c>
      <c r="Q566" s="5">
        <f t="shared" si="91"/>
        <v>0</v>
      </c>
    </row>
    <row r="567" spans="1:17" x14ac:dyDescent="0.25">
      <c r="A567" s="7">
        <v>46258.541666666664</v>
      </c>
      <c r="B567" s="6">
        <v>2186.1</v>
      </c>
      <c r="C567" s="13">
        <v>16.559999999999999</v>
      </c>
      <c r="D567" s="18">
        <f t="shared" si="88"/>
        <v>2202.66</v>
      </c>
      <c r="E567" s="14">
        <v>0</v>
      </c>
      <c r="F567" s="18">
        <f t="shared" si="92"/>
        <v>0</v>
      </c>
      <c r="G567" s="18">
        <f t="shared" si="93"/>
        <v>0</v>
      </c>
      <c r="H567" s="14">
        <v>41.04</v>
      </c>
      <c r="I567" s="18">
        <f t="shared" si="94"/>
        <v>41.04</v>
      </c>
      <c r="J567" s="18">
        <f t="shared" si="95"/>
        <v>0</v>
      </c>
      <c r="K567" s="14">
        <v>30.36</v>
      </c>
      <c r="L567" s="18">
        <f t="shared" si="96"/>
        <v>30.36</v>
      </c>
      <c r="M567" s="18">
        <f t="shared" si="97"/>
        <v>0</v>
      </c>
      <c r="N567" s="15">
        <f t="shared" si="98"/>
        <v>71.400000000000006</v>
      </c>
      <c r="O567" s="15">
        <f t="shared" si="89"/>
        <v>71.400000000000006</v>
      </c>
      <c r="P567" s="15">
        <f t="shared" si="90"/>
        <v>0</v>
      </c>
      <c r="Q567" s="5">
        <f t="shared" si="91"/>
        <v>0</v>
      </c>
    </row>
    <row r="568" spans="1:17" x14ac:dyDescent="0.25">
      <c r="A568" s="7">
        <v>46258.583333333336</v>
      </c>
      <c r="B568" s="6">
        <v>1546.65</v>
      </c>
      <c r="C568" s="13">
        <v>4.4400000000000004</v>
      </c>
      <c r="D568" s="18">
        <f t="shared" si="88"/>
        <v>1551.0900000000001</v>
      </c>
      <c r="E568" s="14">
        <v>0</v>
      </c>
      <c r="F568" s="18">
        <f t="shared" si="92"/>
        <v>0</v>
      </c>
      <c r="G568" s="18">
        <f t="shared" si="93"/>
        <v>0</v>
      </c>
      <c r="H568" s="14">
        <v>60.84</v>
      </c>
      <c r="I568" s="18">
        <f t="shared" si="94"/>
        <v>60.84</v>
      </c>
      <c r="J568" s="18">
        <f t="shared" si="95"/>
        <v>0</v>
      </c>
      <c r="K568" s="14">
        <v>44.64</v>
      </c>
      <c r="L568" s="18">
        <f t="shared" si="96"/>
        <v>44.64</v>
      </c>
      <c r="M568" s="18">
        <f t="shared" si="97"/>
        <v>0</v>
      </c>
      <c r="N568" s="15">
        <f t="shared" si="98"/>
        <v>105.48</v>
      </c>
      <c r="O568" s="15">
        <f t="shared" si="89"/>
        <v>105.48</v>
      </c>
      <c r="P568" s="15">
        <f t="shared" si="90"/>
        <v>0</v>
      </c>
      <c r="Q568" s="5">
        <f t="shared" si="91"/>
        <v>0</v>
      </c>
    </row>
    <row r="569" spans="1:17" x14ac:dyDescent="0.25">
      <c r="A569" s="7">
        <v>46258.625</v>
      </c>
      <c r="B569" s="6">
        <v>1215.9000000000001</v>
      </c>
      <c r="C569" s="13">
        <v>4.4400000000000004</v>
      </c>
      <c r="D569" s="18">
        <f t="shared" si="88"/>
        <v>1220.3400000000001</v>
      </c>
      <c r="E569" s="14">
        <v>0</v>
      </c>
      <c r="F569" s="18">
        <f t="shared" si="92"/>
        <v>0</v>
      </c>
      <c r="G569" s="18">
        <f t="shared" si="93"/>
        <v>0</v>
      </c>
      <c r="H569" s="14">
        <v>43.2</v>
      </c>
      <c r="I569" s="18">
        <f t="shared" si="94"/>
        <v>43.2</v>
      </c>
      <c r="J569" s="18">
        <f t="shared" si="95"/>
        <v>0</v>
      </c>
      <c r="K569" s="14">
        <v>39.840000000000003</v>
      </c>
      <c r="L569" s="18">
        <f t="shared" si="96"/>
        <v>39.840000000000003</v>
      </c>
      <c r="M569" s="18">
        <f t="shared" si="97"/>
        <v>0</v>
      </c>
      <c r="N569" s="15">
        <f t="shared" si="98"/>
        <v>83.04</v>
      </c>
      <c r="O569" s="15">
        <f t="shared" si="89"/>
        <v>83.04</v>
      </c>
      <c r="P569" s="15">
        <f t="shared" si="90"/>
        <v>0</v>
      </c>
      <c r="Q569" s="5">
        <f t="shared" si="91"/>
        <v>0</v>
      </c>
    </row>
    <row r="570" spans="1:17" x14ac:dyDescent="0.25">
      <c r="A570" s="7">
        <v>46258.666666666664</v>
      </c>
      <c r="B570" s="6">
        <v>822.15</v>
      </c>
      <c r="C570" s="13">
        <v>0.12</v>
      </c>
      <c r="D570" s="18">
        <f t="shared" si="88"/>
        <v>822.27</v>
      </c>
      <c r="E570" s="14">
        <v>0</v>
      </c>
      <c r="F570" s="18">
        <f t="shared" si="92"/>
        <v>0</v>
      </c>
      <c r="G570" s="18">
        <f t="shared" si="93"/>
        <v>0</v>
      </c>
      <c r="H570" s="14">
        <v>90.36</v>
      </c>
      <c r="I570" s="18">
        <f t="shared" si="94"/>
        <v>90.36</v>
      </c>
      <c r="J570" s="18">
        <f t="shared" si="95"/>
        <v>0</v>
      </c>
      <c r="K570" s="14">
        <v>19.68</v>
      </c>
      <c r="L570" s="18">
        <f t="shared" si="96"/>
        <v>19.68</v>
      </c>
      <c r="M570" s="18">
        <f t="shared" si="97"/>
        <v>0</v>
      </c>
      <c r="N570" s="15">
        <f t="shared" si="98"/>
        <v>110.03999999999999</v>
      </c>
      <c r="O570" s="15">
        <f t="shared" si="89"/>
        <v>110.03999999999999</v>
      </c>
      <c r="P570" s="15">
        <f t="shared" si="90"/>
        <v>0</v>
      </c>
      <c r="Q570" s="5">
        <f t="shared" si="91"/>
        <v>0</v>
      </c>
    </row>
    <row r="571" spans="1:17" x14ac:dyDescent="0.25">
      <c r="A571" s="7">
        <v>46258.708333333336</v>
      </c>
      <c r="B571" s="6">
        <v>66.150000000000006</v>
      </c>
      <c r="C571" s="13">
        <v>0</v>
      </c>
      <c r="D571" s="18">
        <f t="shared" si="88"/>
        <v>66.150000000000006</v>
      </c>
      <c r="E571" s="14">
        <v>78.75</v>
      </c>
      <c r="F571" s="18">
        <f t="shared" si="92"/>
        <v>26.595765048246292</v>
      </c>
      <c r="G571" s="18">
        <f t="shared" si="93"/>
        <v>52.154234951753708</v>
      </c>
      <c r="H571" s="14">
        <v>92.76</v>
      </c>
      <c r="I571" s="18">
        <f t="shared" si="94"/>
        <v>31.327278296829533</v>
      </c>
      <c r="J571" s="18">
        <f t="shared" si="95"/>
        <v>61.432721703170472</v>
      </c>
      <c r="K571" s="14">
        <v>24.36</v>
      </c>
      <c r="L571" s="18">
        <f t="shared" si="96"/>
        <v>8.2269566549241837</v>
      </c>
      <c r="M571" s="18">
        <f t="shared" si="97"/>
        <v>16.133043345075816</v>
      </c>
      <c r="N571" s="15">
        <f t="shared" si="98"/>
        <v>195.87</v>
      </c>
      <c r="O571" s="15">
        <f t="shared" si="89"/>
        <v>66.150000000000006</v>
      </c>
      <c r="P571" s="15">
        <f t="shared" si="90"/>
        <v>129.72</v>
      </c>
      <c r="Q571" s="5">
        <f t="shared" si="91"/>
        <v>0.66227599938734871</v>
      </c>
    </row>
    <row r="572" spans="1:17" x14ac:dyDescent="0.25">
      <c r="A572" s="7">
        <v>46258.75</v>
      </c>
      <c r="B572" s="6">
        <v>3.15</v>
      </c>
      <c r="C572" s="13">
        <v>0</v>
      </c>
      <c r="D572" s="18">
        <f t="shared" si="88"/>
        <v>3.15</v>
      </c>
      <c r="E572" s="14">
        <v>204.75</v>
      </c>
      <c r="F572" s="18">
        <f t="shared" si="92"/>
        <v>2.4505585318590875</v>
      </c>
      <c r="G572" s="18">
        <f t="shared" si="93"/>
        <v>202.29944146814091</v>
      </c>
      <c r="H572" s="14">
        <v>40.08</v>
      </c>
      <c r="I572" s="18">
        <f t="shared" si="94"/>
        <v>0.47969907671263456</v>
      </c>
      <c r="J572" s="18">
        <f t="shared" si="95"/>
        <v>39.600300923287364</v>
      </c>
      <c r="K572" s="14">
        <v>18.36</v>
      </c>
      <c r="L572" s="18">
        <f t="shared" si="96"/>
        <v>0.21974239142824459</v>
      </c>
      <c r="M572" s="18">
        <f t="shared" si="97"/>
        <v>18.140257608571755</v>
      </c>
      <c r="N572" s="15">
        <f t="shared" si="98"/>
        <v>263.19</v>
      </c>
      <c r="O572" s="15">
        <f t="shared" si="89"/>
        <v>3.1499999999999773</v>
      </c>
      <c r="P572" s="15">
        <f t="shared" si="90"/>
        <v>260.04000000000002</v>
      </c>
      <c r="Q572" s="5">
        <f t="shared" si="91"/>
        <v>0.98803146016186039</v>
      </c>
    </row>
    <row r="573" spans="1:17" x14ac:dyDescent="0.25">
      <c r="A573" s="7">
        <v>46258.791666666664</v>
      </c>
      <c r="B573" s="6">
        <v>0</v>
      </c>
      <c r="C573" s="13">
        <v>0</v>
      </c>
      <c r="D573" s="18">
        <f t="shared" si="88"/>
        <v>0</v>
      </c>
      <c r="E573" s="14">
        <v>107.1</v>
      </c>
      <c r="F573" s="18">
        <f t="shared" si="92"/>
        <v>0</v>
      </c>
      <c r="G573" s="18">
        <f t="shared" si="93"/>
        <v>107.1</v>
      </c>
      <c r="H573" s="14">
        <v>57.48</v>
      </c>
      <c r="I573" s="18">
        <f t="shared" si="94"/>
        <v>0</v>
      </c>
      <c r="J573" s="18">
        <f t="shared" si="95"/>
        <v>57.48</v>
      </c>
      <c r="K573" s="14">
        <v>14.16</v>
      </c>
      <c r="L573" s="18">
        <f t="shared" si="96"/>
        <v>0</v>
      </c>
      <c r="M573" s="18">
        <f t="shared" si="97"/>
        <v>14.16</v>
      </c>
      <c r="N573" s="15">
        <f t="shared" si="98"/>
        <v>178.73999999999998</v>
      </c>
      <c r="O573" s="15">
        <f t="shared" si="89"/>
        <v>0</v>
      </c>
      <c r="P573" s="15">
        <f t="shared" si="90"/>
        <v>178.73999999999998</v>
      </c>
      <c r="Q573" s="5">
        <f t="shared" si="91"/>
        <v>1</v>
      </c>
    </row>
    <row r="574" spans="1:17" x14ac:dyDescent="0.25">
      <c r="A574" s="7">
        <v>46258.833333333336</v>
      </c>
      <c r="B574" s="6">
        <v>0</v>
      </c>
      <c r="C574" s="13">
        <v>0</v>
      </c>
      <c r="D574" s="18">
        <f t="shared" si="88"/>
        <v>0</v>
      </c>
      <c r="E574" s="14">
        <v>485.1</v>
      </c>
      <c r="F574" s="18">
        <f t="shared" si="92"/>
        <v>0</v>
      </c>
      <c r="G574" s="18">
        <f t="shared" si="93"/>
        <v>485.1</v>
      </c>
      <c r="H574" s="14">
        <v>37.200000000000003</v>
      </c>
      <c r="I574" s="18">
        <f t="shared" si="94"/>
        <v>0</v>
      </c>
      <c r="J574" s="18">
        <f t="shared" si="95"/>
        <v>37.200000000000003</v>
      </c>
      <c r="K574" s="14">
        <v>5.04</v>
      </c>
      <c r="L574" s="18">
        <f t="shared" si="96"/>
        <v>0</v>
      </c>
      <c r="M574" s="18">
        <f t="shared" si="97"/>
        <v>5.04</v>
      </c>
      <c r="N574" s="15">
        <f t="shared" si="98"/>
        <v>527.34</v>
      </c>
      <c r="O574" s="15">
        <f t="shared" si="89"/>
        <v>0</v>
      </c>
      <c r="P574" s="15">
        <f t="shared" si="90"/>
        <v>527.34</v>
      </c>
      <c r="Q574" s="5">
        <f t="shared" si="91"/>
        <v>1</v>
      </c>
    </row>
    <row r="575" spans="1:17" x14ac:dyDescent="0.25">
      <c r="A575" s="7">
        <v>46258.875</v>
      </c>
      <c r="B575" s="6">
        <v>0</v>
      </c>
      <c r="C575" s="13">
        <v>0</v>
      </c>
      <c r="D575" s="18">
        <f t="shared" si="88"/>
        <v>0</v>
      </c>
      <c r="E575" s="14">
        <v>563.85</v>
      </c>
      <c r="F575" s="18">
        <f t="shared" si="92"/>
        <v>0</v>
      </c>
      <c r="G575" s="18">
        <f t="shared" si="93"/>
        <v>563.85</v>
      </c>
      <c r="H575" s="14">
        <v>37.56</v>
      </c>
      <c r="I575" s="18">
        <f t="shared" si="94"/>
        <v>0</v>
      </c>
      <c r="J575" s="18">
        <f t="shared" si="95"/>
        <v>37.56</v>
      </c>
      <c r="K575" s="14">
        <v>8.52</v>
      </c>
      <c r="L575" s="18">
        <f t="shared" si="96"/>
        <v>0</v>
      </c>
      <c r="M575" s="18">
        <f t="shared" si="97"/>
        <v>8.52</v>
      </c>
      <c r="N575" s="15">
        <f t="shared" si="98"/>
        <v>609.93000000000006</v>
      </c>
      <c r="O575" s="15">
        <f t="shared" si="89"/>
        <v>0</v>
      </c>
      <c r="P575" s="15">
        <f t="shared" si="90"/>
        <v>609.93000000000006</v>
      </c>
      <c r="Q575" s="5">
        <f t="shared" si="91"/>
        <v>1</v>
      </c>
    </row>
    <row r="576" spans="1:17" x14ac:dyDescent="0.25">
      <c r="A576" s="7">
        <v>46258.916666666664</v>
      </c>
      <c r="B576" s="6">
        <v>0</v>
      </c>
      <c r="C576" s="13">
        <v>0</v>
      </c>
      <c r="D576" s="18">
        <f t="shared" si="88"/>
        <v>0</v>
      </c>
      <c r="E576" s="14">
        <v>560.70000000000005</v>
      </c>
      <c r="F576" s="18">
        <f t="shared" si="92"/>
        <v>0</v>
      </c>
      <c r="G576" s="18">
        <f t="shared" si="93"/>
        <v>560.70000000000005</v>
      </c>
      <c r="H576" s="14">
        <v>37.68</v>
      </c>
      <c r="I576" s="18">
        <f t="shared" si="94"/>
        <v>0</v>
      </c>
      <c r="J576" s="18">
        <f t="shared" si="95"/>
        <v>37.68</v>
      </c>
      <c r="K576" s="14">
        <v>12.72</v>
      </c>
      <c r="L576" s="18">
        <f t="shared" si="96"/>
        <v>0</v>
      </c>
      <c r="M576" s="18">
        <f t="shared" si="97"/>
        <v>12.72</v>
      </c>
      <c r="N576" s="15">
        <f t="shared" si="98"/>
        <v>611.1</v>
      </c>
      <c r="O576" s="15">
        <f t="shared" si="89"/>
        <v>0</v>
      </c>
      <c r="P576" s="15">
        <f t="shared" si="90"/>
        <v>611.1</v>
      </c>
      <c r="Q576" s="5">
        <f t="shared" si="91"/>
        <v>1</v>
      </c>
    </row>
    <row r="577" spans="1:17" x14ac:dyDescent="0.25">
      <c r="A577" s="7">
        <v>46258.958333333336</v>
      </c>
      <c r="B577" s="6">
        <v>0</v>
      </c>
      <c r="C577" s="13">
        <v>0</v>
      </c>
      <c r="D577" s="18">
        <f t="shared" si="88"/>
        <v>0</v>
      </c>
      <c r="E577" s="14">
        <v>620.54999999999995</v>
      </c>
      <c r="F577" s="18">
        <f t="shared" si="92"/>
        <v>0</v>
      </c>
      <c r="G577" s="18">
        <f t="shared" si="93"/>
        <v>620.54999999999995</v>
      </c>
      <c r="H577" s="14">
        <v>36.840000000000003</v>
      </c>
      <c r="I577" s="18">
        <f t="shared" si="94"/>
        <v>0</v>
      </c>
      <c r="J577" s="18">
        <f t="shared" si="95"/>
        <v>36.840000000000003</v>
      </c>
      <c r="K577" s="14">
        <v>1.92</v>
      </c>
      <c r="L577" s="18">
        <f t="shared" si="96"/>
        <v>0</v>
      </c>
      <c r="M577" s="18">
        <f t="shared" si="97"/>
        <v>1.92</v>
      </c>
      <c r="N577" s="15">
        <f t="shared" si="98"/>
        <v>659.31</v>
      </c>
      <c r="O577" s="15">
        <f t="shared" si="89"/>
        <v>0</v>
      </c>
      <c r="P577" s="15">
        <f t="shared" si="90"/>
        <v>659.31</v>
      </c>
      <c r="Q577" s="5">
        <f t="shared" si="91"/>
        <v>1</v>
      </c>
    </row>
    <row r="578" spans="1:17" x14ac:dyDescent="0.25">
      <c r="A578" s="7">
        <v>46259</v>
      </c>
      <c r="B578" s="6">
        <v>0</v>
      </c>
      <c r="C578" s="13">
        <v>0</v>
      </c>
      <c r="D578" s="18">
        <f t="shared" ref="D578:D641" si="99">+B578+C578</f>
        <v>0</v>
      </c>
      <c r="E578" s="14">
        <v>872.55</v>
      </c>
      <c r="F578" s="18">
        <f t="shared" si="92"/>
        <v>0</v>
      </c>
      <c r="G578" s="18">
        <f t="shared" si="93"/>
        <v>872.55</v>
      </c>
      <c r="H578" s="14">
        <v>37.92</v>
      </c>
      <c r="I578" s="18">
        <f t="shared" si="94"/>
        <v>0</v>
      </c>
      <c r="J578" s="18">
        <f t="shared" si="95"/>
        <v>37.92</v>
      </c>
      <c r="K578" s="14">
        <v>2.4</v>
      </c>
      <c r="L578" s="18">
        <f t="shared" si="96"/>
        <v>0</v>
      </c>
      <c r="M578" s="18">
        <f t="shared" si="97"/>
        <v>2.4</v>
      </c>
      <c r="N578" s="15">
        <f t="shared" si="98"/>
        <v>912.86999999999989</v>
      </c>
      <c r="O578" s="15">
        <f t="shared" ref="O578:O641" si="100">+N578-P578</f>
        <v>0</v>
      </c>
      <c r="P578" s="15">
        <f t="shared" ref="P578:P641" si="101">+IF(N578&gt;D578,N578-D578,0)</f>
        <v>912.86999999999989</v>
      </c>
      <c r="Q578" s="5">
        <f t="shared" ref="Q578:Q641" si="102">+IF(P578=0,P578,P578/N578)</f>
        <v>1</v>
      </c>
    </row>
    <row r="579" spans="1:17" x14ac:dyDescent="0.25">
      <c r="A579" s="7">
        <v>46259.041666666664</v>
      </c>
      <c r="B579" s="6">
        <v>0</v>
      </c>
      <c r="C579" s="13">
        <v>0</v>
      </c>
      <c r="D579" s="18">
        <f t="shared" si="99"/>
        <v>0</v>
      </c>
      <c r="E579" s="14">
        <v>195.3</v>
      </c>
      <c r="F579" s="18">
        <f t="shared" ref="F579:F642" si="103">+E579-G579</f>
        <v>0</v>
      </c>
      <c r="G579" s="18">
        <f t="shared" ref="G579:G642" si="104">+E579*Q579</f>
        <v>195.3</v>
      </c>
      <c r="H579" s="14">
        <v>34.32</v>
      </c>
      <c r="I579" s="18">
        <f t="shared" ref="I579:I642" si="105">+H579-J579</f>
        <v>0</v>
      </c>
      <c r="J579" s="18">
        <f t="shared" ref="J579:J642" si="106">+H579*Q579</f>
        <v>34.32</v>
      </c>
      <c r="K579" s="14">
        <v>3.84</v>
      </c>
      <c r="L579" s="18">
        <f t="shared" ref="L579:L642" si="107">+K579-M579</f>
        <v>0</v>
      </c>
      <c r="M579" s="18">
        <f t="shared" ref="M579:M642" si="108">+K579*Q579</f>
        <v>3.84</v>
      </c>
      <c r="N579" s="15">
        <f t="shared" ref="N579:N642" si="109">+E579+H579+K579</f>
        <v>233.46</v>
      </c>
      <c r="O579" s="15">
        <f t="shared" si="100"/>
        <v>0</v>
      </c>
      <c r="P579" s="15">
        <f t="shared" si="101"/>
        <v>233.46</v>
      </c>
      <c r="Q579" s="5">
        <f t="shared" si="102"/>
        <v>1</v>
      </c>
    </row>
    <row r="580" spans="1:17" x14ac:dyDescent="0.25">
      <c r="A580" s="7">
        <v>46259.083333333336</v>
      </c>
      <c r="B580" s="6">
        <v>0</v>
      </c>
      <c r="C580" s="13">
        <v>0</v>
      </c>
      <c r="D580" s="18">
        <f t="shared" si="99"/>
        <v>0</v>
      </c>
      <c r="E580" s="14">
        <v>674.1</v>
      </c>
      <c r="F580" s="18">
        <f t="shared" si="103"/>
        <v>0</v>
      </c>
      <c r="G580" s="18">
        <f t="shared" si="104"/>
        <v>674.1</v>
      </c>
      <c r="H580" s="14">
        <v>38.76</v>
      </c>
      <c r="I580" s="18">
        <f t="shared" si="105"/>
        <v>0</v>
      </c>
      <c r="J580" s="18">
        <f t="shared" si="106"/>
        <v>38.76</v>
      </c>
      <c r="K580" s="14">
        <v>3.72</v>
      </c>
      <c r="L580" s="18">
        <f t="shared" si="107"/>
        <v>0</v>
      </c>
      <c r="M580" s="18">
        <f t="shared" si="108"/>
        <v>3.72</v>
      </c>
      <c r="N580" s="15">
        <f t="shared" si="109"/>
        <v>716.58</v>
      </c>
      <c r="O580" s="15">
        <f t="shared" si="100"/>
        <v>0</v>
      </c>
      <c r="P580" s="15">
        <f t="shared" si="101"/>
        <v>716.58</v>
      </c>
      <c r="Q580" s="5">
        <f t="shared" si="102"/>
        <v>1</v>
      </c>
    </row>
    <row r="581" spans="1:17" x14ac:dyDescent="0.25">
      <c r="A581" s="7">
        <v>46259.125</v>
      </c>
      <c r="B581" s="6">
        <v>0</v>
      </c>
      <c r="C581" s="13">
        <v>0</v>
      </c>
      <c r="D581" s="18">
        <f t="shared" si="99"/>
        <v>0</v>
      </c>
      <c r="E581" s="14">
        <v>664.65</v>
      </c>
      <c r="F581" s="18">
        <f t="shared" si="103"/>
        <v>0</v>
      </c>
      <c r="G581" s="18">
        <f t="shared" si="104"/>
        <v>664.65</v>
      </c>
      <c r="H581" s="14">
        <v>39.24</v>
      </c>
      <c r="I581" s="18">
        <f t="shared" si="105"/>
        <v>0</v>
      </c>
      <c r="J581" s="18">
        <f t="shared" si="106"/>
        <v>39.24</v>
      </c>
      <c r="K581" s="14">
        <v>3.72</v>
      </c>
      <c r="L581" s="18">
        <f t="shared" si="107"/>
        <v>0</v>
      </c>
      <c r="M581" s="18">
        <f t="shared" si="108"/>
        <v>3.72</v>
      </c>
      <c r="N581" s="15">
        <f t="shared" si="109"/>
        <v>707.61</v>
      </c>
      <c r="O581" s="15">
        <f t="shared" si="100"/>
        <v>0</v>
      </c>
      <c r="P581" s="15">
        <f t="shared" si="101"/>
        <v>707.61</v>
      </c>
      <c r="Q581" s="5">
        <f t="shared" si="102"/>
        <v>1</v>
      </c>
    </row>
    <row r="582" spans="1:17" x14ac:dyDescent="0.25">
      <c r="A582" s="7">
        <v>46259.166666666664</v>
      </c>
      <c r="B582" s="6">
        <v>0</v>
      </c>
      <c r="C582" s="13">
        <v>0</v>
      </c>
      <c r="D582" s="18">
        <f t="shared" si="99"/>
        <v>0</v>
      </c>
      <c r="E582" s="14">
        <v>900.9</v>
      </c>
      <c r="F582" s="18">
        <f t="shared" si="103"/>
        <v>0</v>
      </c>
      <c r="G582" s="18">
        <f t="shared" si="104"/>
        <v>900.9</v>
      </c>
      <c r="H582" s="14">
        <v>37.68</v>
      </c>
      <c r="I582" s="18">
        <f t="shared" si="105"/>
        <v>0</v>
      </c>
      <c r="J582" s="18">
        <f t="shared" si="106"/>
        <v>37.68</v>
      </c>
      <c r="K582" s="14">
        <v>3.84</v>
      </c>
      <c r="L582" s="18">
        <f t="shared" si="107"/>
        <v>0</v>
      </c>
      <c r="M582" s="18">
        <f t="shared" si="108"/>
        <v>3.84</v>
      </c>
      <c r="N582" s="15">
        <f t="shared" si="109"/>
        <v>942.42</v>
      </c>
      <c r="O582" s="15">
        <f t="shared" si="100"/>
        <v>0</v>
      </c>
      <c r="P582" s="15">
        <f t="shared" si="101"/>
        <v>942.42</v>
      </c>
      <c r="Q582" s="5">
        <f t="shared" si="102"/>
        <v>1</v>
      </c>
    </row>
    <row r="583" spans="1:17" x14ac:dyDescent="0.25">
      <c r="A583" s="7">
        <v>46259.208333333336</v>
      </c>
      <c r="B583" s="6">
        <v>0</v>
      </c>
      <c r="C583" s="13">
        <v>0</v>
      </c>
      <c r="D583" s="18">
        <f t="shared" si="99"/>
        <v>0</v>
      </c>
      <c r="E583" s="14">
        <v>863.1</v>
      </c>
      <c r="F583" s="18">
        <f t="shared" si="103"/>
        <v>0</v>
      </c>
      <c r="G583" s="18">
        <f t="shared" si="104"/>
        <v>863.1</v>
      </c>
      <c r="H583" s="14">
        <v>37.56</v>
      </c>
      <c r="I583" s="18">
        <f t="shared" si="105"/>
        <v>0</v>
      </c>
      <c r="J583" s="18">
        <f t="shared" si="106"/>
        <v>37.56</v>
      </c>
      <c r="K583" s="14">
        <v>3.72</v>
      </c>
      <c r="L583" s="18">
        <f t="shared" si="107"/>
        <v>0</v>
      </c>
      <c r="M583" s="18">
        <f t="shared" si="108"/>
        <v>3.72</v>
      </c>
      <c r="N583" s="15">
        <f t="shared" si="109"/>
        <v>904.38000000000011</v>
      </c>
      <c r="O583" s="15">
        <f t="shared" si="100"/>
        <v>0</v>
      </c>
      <c r="P583" s="15">
        <f t="shared" si="101"/>
        <v>904.38000000000011</v>
      </c>
      <c r="Q583" s="5">
        <f t="shared" si="102"/>
        <v>1</v>
      </c>
    </row>
    <row r="584" spans="1:17" x14ac:dyDescent="0.25">
      <c r="A584" s="7">
        <v>46259.25</v>
      </c>
      <c r="B584" s="6">
        <v>0</v>
      </c>
      <c r="C584" s="13">
        <v>0</v>
      </c>
      <c r="D584" s="18">
        <f t="shared" si="99"/>
        <v>0</v>
      </c>
      <c r="E584" s="14">
        <v>211.05</v>
      </c>
      <c r="F584" s="18">
        <f t="shared" si="103"/>
        <v>0</v>
      </c>
      <c r="G584" s="18">
        <f t="shared" si="104"/>
        <v>211.05</v>
      </c>
      <c r="H584" s="14">
        <v>56.88</v>
      </c>
      <c r="I584" s="18">
        <f t="shared" si="105"/>
        <v>0</v>
      </c>
      <c r="J584" s="18">
        <f t="shared" si="106"/>
        <v>56.88</v>
      </c>
      <c r="K584" s="14">
        <v>6</v>
      </c>
      <c r="L584" s="18">
        <f t="shared" si="107"/>
        <v>0</v>
      </c>
      <c r="M584" s="18">
        <f t="shared" si="108"/>
        <v>6</v>
      </c>
      <c r="N584" s="15">
        <f t="shared" si="109"/>
        <v>273.93</v>
      </c>
      <c r="O584" s="15">
        <f t="shared" si="100"/>
        <v>0</v>
      </c>
      <c r="P584" s="15">
        <f t="shared" si="101"/>
        <v>273.93</v>
      </c>
      <c r="Q584" s="5">
        <f t="shared" si="102"/>
        <v>1</v>
      </c>
    </row>
    <row r="585" spans="1:17" x14ac:dyDescent="0.25">
      <c r="A585" s="7">
        <v>46259.291666666664</v>
      </c>
      <c r="B585" s="6">
        <v>192.15</v>
      </c>
      <c r="C585" s="13">
        <v>0</v>
      </c>
      <c r="D585" s="18">
        <f t="shared" si="99"/>
        <v>192.15</v>
      </c>
      <c r="E585" s="14">
        <v>0</v>
      </c>
      <c r="F585" s="18">
        <f t="shared" si="103"/>
        <v>0</v>
      </c>
      <c r="G585" s="18">
        <f t="shared" si="104"/>
        <v>0</v>
      </c>
      <c r="H585" s="14">
        <v>33.479999999999997</v>
      </c>
      <c r="I585" s="18">
        <f t="shared" si="105"/>
        <v>33.479999999999997</v>
      </c>
      <c r="J585" s="18">
        <f t="shared" si="106"/>
        <v>0</v>
      </c>
      <c r="K585" s="14">
        <v>2.52</v>
      </c>
      <c r="L585" s="18">
        <f t="shared" si="107"/>
        <v>2.52</v>
      </c>
      <c r="M585" s="18">
        <f t="shared" si="108"/>
        <v>0</v>
      </c>
      <c r="N585" s="15">
        <f t="shared" si="109"/>
        <v>36</v>
      </c>
      <c r="O585" s="15">
        <f t="shared" si="100"/>
        <v>36</v>
      </c>
      <c r="P585" s="15">
        <f t="shared" si="101"/>
        <v>0</v>
      </c>
      <c r="Q585" s="5">
        <f t="shared" si="102"/>
        <v>0</v>
      </c>
    </row>
    <row r="586" spans="1:17" x14ac:dyDescent="0.25">
      <c r="A586" s="7">
        <v>46259.333333333336</v>
      </c>
      <c r="B586" s="6">
        <v>604.79999999999995</v>
      </c>
      <c r="C586" s="13">
        <v>0</v>
      </c>
      <c r="D586" s="18">
        <f t="shared" si="99"/>
        <v>604.79999999999995</v>
      </c>
      <c r="E586" s="14">
        <v>0</v>
      </c>
      <c r="F586" s="18">
        <f t="shared" si="103"/>
        <v>0</v>
      </c>
      <c r="G586" s="18">
        <f t="shared" si="104"/>
        <v>0</v>
      </c>
      <c r="H586" s="14">
        <v>150.6</v>
      </c>
      <c r="I586" s="18">
        <f t="shared" si="105"/>
        <v>150.6</v>
      </c>
      <c r="J586" s="18">
        <f t="shared" si="106"/>
        <v>0</v>
      </c>
      <c r="K586" s="14">
        <v>1.68</v>
      </c>
      <c r="L586" s="18">
        <f t="shared" si="107"/>
        <v>1.68</v>
      </c>
      <c r="M586" s="18">
        <f t="shared" si="108"/>
        <v>0</v>
      </c>
      <c r="N586" s="15">
        <f t="shared" si="109"/>
        <v>152.28</v>
      </c>
      <c r="O586" s="15">
        <f t="shared" si="100"/>
        <v>152.28</v>
      </c>
      <c r="P586" s="15">
        <f t="shared" si="101"/>
        <v>0</v>
      </c>
      <c r="Q586" s="5">
        <f t="shared" si="102"/>
        <v>0</v>
      </c>
    </row>
    <row r="587" spans="1:17" x14ac:dyDescent="0.25">
      <c r="A587" s="7">
        <v>46259.375</v>
      </c>
      <c r="B587" s="6">
        <v>973.35</v>
      </c>
      <c r="C587" s="13">
        <v>0</v>
      </c>
      <c r="D587" s="18">
        <f t="shared" si="99"/>
        <v>973.35</v>
      </c>
      <c r="E587" s="14">
        <v>0</v>
      </c>
      <c r="F587" s="18">
        <f t="shared" si="103"/>
        <v>0</v>
      </c>
      <c r="G587" s="18">
        <f t="shared" si="104"/>
        <v>0</v>
      </c>
      <c r="H587" s="14">
        <v>134.16</v>
      </c>
      <c r="I587" s="18">
        <f t="shared" si="105"/>
        <v>134.16</v>
      </c>
      <c r="J587" s="18">
        <f t="shared" si="106"/>
        <v>0</v>
      </c>
      <c r="K587" s="14">
        <v>30.84</v>
      </c>
      <c r="L587" s="18">
        <f t="shared" si="107"/>
        <v>30.84</v>
      </c>
      <c r="M587" s="18">
        <f t="shared" si="108"/>
        <v>0</v>
      </c>
      <c r="N587" s="15">
        <f t="shared" si="109"/>
        <v>165</v>
      </c>
      <c r="O587" s="15">
        <f t="shared" si="100"/>
        <v>165</v>
      </c>
      <c r="P587" s="15">
        <f t="shared" si="101"/>
        <v>0</v>
      </c>
      <c r="Q587" s="5">
        <f t="shared" si="102"/>
        <v>0</v>
      </c>
    </row>
    <row r="588" spans="1:17" x14ac:dyDescent="0.25">
      <c r="A588" s="7">
        <v>46259.416666666664</v>
      </c>
      <c r="B588" s="6">
        <v>1786.05</v>
      </c>
      <c r="C588" s="13">
        <v>2.2799999999999998</v>
      </c>
      <c r="D588" s="18">
        <f t="shared" si="99"/>
        <v>1788.33</v>
      </c>
      <c r="E588" s="14">
        <v>0</v>
      </c>
      <c r="F588" s="18">
        <f t="shared" si="103"/>
        <v>0</v>
      </c>
      <c r="G588" s="18">
        <f t="shared" si="104"/>
        <v>0</v>
      </c>
      <c r="H588" s="14">
        <v>59.4</v>
      </c>
      <c r="I588" s="18">
        <f t="shared" si="105"/>
        <v>59.4</v>
      </c>
      <c r="J588" s="18">
        <f t="shared" si="106"/>
        <v>0</v>
      </c>
      <c r="K588" s="14">
        <v>44.64</v>
      </c>
      <c r="L588" s="18">
        <f t="shared" si="107"/>
        <v>44.64</v>
      </c>
      <c r="M588" s="18">
        <f t="shared" si="108"/>
        <v>0</v>
      </c>
      <c r="N588" s="15">
        <f t="shared" si="109"/>
        <v>104.03999999999999</v>
      </c>
      <c r="O588" s="15">
        <f t="shared" si="100"/>
        <v>104.03999999999999</v>
      </c>
      <c r="P588" s="15">
        <f t="shared" si="101"/>
        <v>0</v>
      </c>
      <c r="Q588" s="5">
        <f t="shared" si="102"/>
        <v>0</v>
      </c>
    </row>
    <row r="589" spans="1:17" x14ac:dyDescent="0.25">
      <c r="A589" s="7">
        <v>46259.458333333336</v>
      </c>
      <c r="B589" s="6">
        <v>1990.8</v>
      </c>
      <c r="C589" s="13">
        <v>13.8</v>
      </c>
      <c r="D589" s="18">
        <f t="shared" si="99"/>
        <v>2004.6</v>
      </c>
      <c r="E589" s="14">
        <v>0</v>
      </c>
      <c r="F589" s="18">
        <f t="shared" si="103"/>
        <v>0</v>
      </c>
      <c r="G589" s="18">
        <f t="shared" si="104"/>
        <v>0</v>
      </c>
      <c r="H589" s="14">
        <v>20.16</v>
      </c>
      <c r="I589" s="18">
        <f t="shared" si="105"/>
        <v>20.16</v>
      </c>
      <c r="J589" s="18">
        <f t="shared" si="106"/>
        <v>0</v>
      </c>
      <c r="K589" s="14">
        <v>14.52</v>
      </c>
      <c r="L589" s="18">
        <f t="shared" si="107"/>
        <v>14.52</v>
      </c>
      <c r="M589" s="18">
        <f t="shared" si="108"/>
        <v>0</v>
      </c>
      <c r="N589" s="15">
        <f t="shared" si="109"/>
        <v>34.68</v>
      </c>
      <c r="O589" s="15">
        <f t="shared" si="100"/>
        <v>34.68</v>
      </c>
      <c r="P589" s="15">
        <f t="shared" si="101"/>
        <v>0</v>
      </c>
      <c r="Q589" s="5">
        <f t="shared" si="102"/>
        <v>0</v>
      </c>
    </row>
    <row r="590" spans="1:17" x14ac:dyDescent="0.25">
      <c r="A590" s="7">
        <v>46259.5</v>
      </c>
      <c r="B590" s="6">
        <v>2658.6</v>
      </c>
      <c r="C590" s="13">
        <v>16.079999999999998</v>
      </c>
      <c r="D590" s="18">
        <f t="shared" si="99"/>
        <v>2674.68</v>
      </c>
      <c r="E590" s="14">
        <v>0</v>
      </c>
      <c r="F590" s="18">
        <f t="shared" si="103"/>
        <v>0</v>
      </c>
      <c r="G590" s="18">
        <f t="shared" si="104"/>
        <v>0</v>
      </c>
      <c r="H590" s="14">
        <v>11.28</v>
      </c>
      <c r="I590" s="18">
        <f t="shared" si="105"/>
        <v>11.28</v>
      </c>
      <c r="J590" s="18">
        <f t="shared" si="106"/>
        <v>0</v>
      </c>
      <c r="K590" s="14">
        <v>23.76</v>
      </c>
      <c r="L590" s="18">
        <f t="shared" si="107"/>
        <v>23.76</v>
      </c>
      <c r="M590" s="18">
        <f t="shared" si="108"/>
        <v>0</v>
      </c>
      <c r="N590" s="15">
        <f t="shared" si="109"/>
        <v>35.04</v>
      </c>
      <c r="O590" s="15">
        <f t="shared" si="100"/>
        <v>35.04</v>
      </c>
      <c r="P590" s="15">
        <f t="shared" si="101"/>
        <v>0</v>
      </c>
      <c r="Q590" s="5">
        <f t="shared" si="102"/>
        <v>0</v>
      </c>
    </row>
    <row r="591" spans="1:17" x14ac:dyDescent="0.25">
      <c r="A591" s="7">
        <v>46259.541666666664</v>
      </c>
      <c r="B591" s="6">
        <v>2860.2</v>
      </c>
      <c r="C591" s="13">
        <v>33</v>
      </c>
      <c r="D591" s="18">
        <f t="shared" si="99"/>
        <v>2893.2</v>
      </c>
      <c r="E591" s="14">
        <v>0</v>
      </c>
      <c r="F591" s="18">
        <f t="shared" si="103"/>
        <v>0</v>
      </c>
      <c r="G591" s="18">
        <f t="shared" si="104"/>
        <v>0</v>
      </c>
      <c r="H591" s="14">
        <v>5.64</v>
      </c>
      <c r="I591" s="18">
        <f t="shared" si="105"/>
        <v>5.64</v>
      </c>
      <c r="J591" s="18">
        <f t="shared" si="106"/>
        <v>0</v>
      </c>
      <c r="K591" s="14">
        <v>16.32</v>
      </c>
      <c r="L591" s="18">
        <f t="shared" si="107"/>
        <v>16.32</v>
      </c>
      <c r="M591" s="18">
        <f t="shared" si="108"/>
        <v>0</v>
      </c>
      <c r="N591" s="15">
        <f t="shared" si="109"/>
        <v>21.96</v>
      </c>
      <c r="O591" s="15">
        <f t="shared" si="100"/>
        <v>21.96</v>
      </c>
      <c r="P591" s="15">
        <f t="shared" si="101"/>
        <v>0</v>
      </c>
      <c r="Q591" s="5">
        <f t="shared" si="102"/>
        <v>0</v>
      </c>
    </row>
    <row r="592" spans="1:17" x14ac:dyDescent="0.25">
      <c r="A592" s="7">
        <v>46259.583333333336</v>
      </c>
      <c r="B592" s="6">
        <v>1890</v>
      </c>
      <c r="C592" s="13">
        <v>4.32</v>
      </c>
      <c r="D592" s="18">
        <f t="shared" si="99"/>
        <v>1894.32</v>
      </c>
      <c r="E592" s="14">
        <v>0</v>
      </c>
      <c r="F592" s="18">
        <f t="shared" si="103"/>
        <v>0</v>
      </c>
      <c r="G592" s="18">
        <f t="shared" si="104"/>
        <v>0</v>
      </c>
      <c r="H592" s="14">
        <v>44.16</v>
      </c>
      <c r="I592" s="18">
        <f t="shared" si="105"/>
        <v>44.16</v>
      </c>
      <c r="J592" s="18">
        <f t="shared" si="106"/>
        <v>0</v>
      </c>
      <c r="K592" s="14">
        <v>24</v>
      </c>
      <c r="L592" s="18">
        <f t="shared" si="107"/>
        <v>24</v>
      </c>
      <c r="M592" s="18">
        <f t="shared" si="108"/>
        <v>0</v>
      </c>
      <c r="N592" s="15">
        <f t="shared" si="109"/>
        <v>68.16</v>
      </c>
      <c r="O592" s="15">
        <f t="shared" si="100"/>
        <v>68.16</v>
      </c>
      <c r="P592" s="15">
        <f t="shared" si="101"/>
        <v>0</v>
      </c>
      <c r="Q592" s="5">
        <f t="shared" si="102"/>
        <v>0</v>
      </c>
    </row>
    <row r="593" spans="1:17" x14ac:dyDescent="0.25">
      <c r="A593" s="7">
        <v>46259.625</v>
      </c>
      <c r="B593" s="6">
        <v>1357.65</v>
      </c>
      <c r="C593" s="13">
        <v>0.12</v>
      </c>
      <c r="D593" s="18">
        <f t="shared" si="99"/>
        <v>1357.77</v>
      </c>
      <c r="E593" s="14">
        <v>0</v>
      </c>
      <c r="F593" s="18">
        <f t="shared" si="103"/>
        <v>0</v>
      </c>
      <c r="G593" s="18">
        <f t="shared" si="104"/>
        <v>0</v>
      </c>
      <c r="H593" s="14">
        <v>95.4</v>
      </c>
      <c r="I593" s="18">
        <f t="shared" si="105"/>
        <v>95.4</v>
      </c>
      <c r="J593" s="18">
        <f t="shared" si="106"/>
        <v>0</v>
      </c>
      <c r="K593" s="14">
        <v>15.84</v>
      </c>
      <c r="L593" s="18">
        <f t="shared" si="107"/>
        <v>15.84</v>
      </c>
      <c r="M593" s="18">
        <f t="shared" si="108"/>
        <v>0</v>
      </c>
      <c r="N593" s="15">
        <f t="shared" si="109"/>
        <v>111.24000000000001</v>
      </c>
      <c r="O593" s="15">
        <f t="shared" si="100"/>
        <v>111.24000000000001</v>
      </c>
      <c r="P593" s="15">
        <f t="shared" si="101"/>
        <v>0</v>
      </c>
      <c r="Q593" s="5">
        <f t="shared" si="102"/>
        <v>0</v>
      </c>
    </row>
    <row r="594" spans="1:17" x14ac:dyDescent="0.25">
      <c r="A594" s="7">
        <v>46259.666666666664</v>
      </c>
      <c r="B594" s="6">
        <v>910.35</v>
      </c>
      <c r="C594" s="13">
        <v>0</v>
      </c>
      <c r="D594" s="18">
        <f t="shared" si="99"/>
        <v>910.35</v>
      </c>
      <c r="E594" s="14">
        <v>0</v>
      </c>
      <c r="F594" s="18">
        <f t="shared" si="103"/>
        <v>0</v>
      </c>
      <c r="G594" s="18">
        <f t="shared" si="104"/>
        <v>0</v>
      </c>
      <c r="H594" s="14">
        <v>123.24</v>
      </c>
      <c r="I594" s="18">
        <f t="shared" si="105"/>
        <v>123.24</v>
      </c>
      <c r="J594" s="18">
        <f t="shared" si="106"/>
        <v>0</v>
      </c>
      <c r="K594" s="14">
        <v>18.84</v>
      </c>
      <c r="L594" s="18">
        <f t="shared" si="107"/>
        <v>18.84</v>
      </c>
      <c r="M594" s="18">
        <f t="shared" si="108"/>
        <v>0</v>
      </c>
      <c r="N594" s="15">
        <f t="shared" si="109"/>
        <v>142.07999999999998</v>
      </c>
      <c r="O594" s="15">
        <f t="shared" si="100"/>
        <v>142.07999999999998</v>
      </c>
      <c r="P594" s="15">
        <f t="shared" si="101"/>
        <v>0</v>
      </c>
      <c r="Q594" s="5">
        <f t="shared" si="102"/>
        <v>0</v>
      </c>
    </row>
    <row r="595" spans="1:17" x14ac:dyDescent="0.25">
      <c r="A595" s="7">
        <v>46259.708333333336</v>
      </c>
      <c r="B595" s="6">
        <v>72.45</v>
      </c>
      <c r="C595" s="13">
        <v>0</v>
      </c>
      <c r="D595" s="18">
        <f t="shared" si="99"/>
        <v>72.45</v>
      </c>
      <c r="E595" s="14">
        <v>226.8</v>
      </c>
      <c r="F595" s="18">
        <f t="shared" si="103"/>
        <v>43.733791121047602</v>
      </c>
      <c r="G595" s="18">
        <f t="shared" si="104"/>
        <v>183.06620887895241</v>
      </c>
      <c r="H595" s="14">
        <v>131.88</v>
      </c>
      <c r="I595" s="18">
        <f t="shared" si="105"/>
        <v>25.43038965186841</v>
      </c>
      <c r="J595" s="18">
        <f t="shared" si="106"/>
        <v>106.44961034813159</v>
      </c>
      <c r="K595" s="14">
        <v>17.04</v>
      </c>
      <c r="L595" s="18">
        <f t="shared" si="107"/>
        <v>3.2858192270839979</v>
      </c>
      <c r="M595" s="18">
        <f t="shared" si="108"/>
        <v>13.754180772916001</v>
      </c>
      <c r="N595" s="15">
        <f t="shared" si="109"/>
        <v>375.72</v>
      </c>
      <c r="O595" s="15">
        <f t="shared" si="100"/>
        <v>72.449999999999989</v>
      </c>
      <c r="P595" s="15">
        <f t="shared" si="101"/>
        <v>303.27000000000004</v>
      </c>
      <c r="Q595" s="5">
        <f t="shared" si="102"/>
        <v>0.80717023315234748</v>
      </c>
    </row>
    <row r="596" spans="1:17" x14ac:dyDescent="0.25">
      <c r="A596" s="7">
        <v>46259.75</v>
      </c>
      <c r="B596" s="6">
        <v>28.35</v>
      </c>
      <c r="C596" s="13">
        <v>0</v>
      </c>
      <c r="D596" s="18">
        <f t="shared" si="99"/>
        <v>28.35</v>
      </c>
      <c r="E596" s="14">
        <v>119.7</v>
      </c>
      <c r="F596" s="18">
        <f t="shared" si="103"/>
        <v>15.811643835616437</v>
      </c>
      <c r="G596" s="18">
        <f t="shared" si="104"/>
        <v>103.88835616438357</v>
      </c>
      <c r="H596" s="14">
        <v>83.16</v>
      </c>
      <c r="I596" s="18">
        <f t="shared" si="105"/>
        <v>10.984931506849321</v>
      </c>
      <c r="J596" s="18">
        <f t="shared" si="106"/>
        <v>72.175068493150675</v>
      </c>
      <c r="K596" s="14">
        <v>11.76</v>
      </c>
      <c r="L596" s="18">
        <f t="shared" si="107"/>
        <v>1.5534246575342472</v>
      </c>
      <c r="M596" s="18">
        <f t="shared" si="108"/>
        <v>10.206575342465753</v>
      </c>
      <c r="N596" s="15">
        <f t="shared" si="109"/>
        <v>214.62</v>
      </c>
      <c r="O596" s="15">
        <f t="shared" si="100"/>
        <v>28.349999999999994</v>
      </c>
      <c r="P596" s="15">
        <f t="shared" si="101"/>
        <v>186.27</v>
      </c>
      <c r="Q596" s="5">
        <f t="shared" si="102"/>
        <v>0.8679060665362035</v>
      </c>
    </row>
    <row r="597" spans="1:17" x14ac:dyDescent="0.25">
      <c r="A597" s="7">
        <v>46259.791666666664</v>
      </c>
      <c r="B597" s="6">
        <v>0</v>
      </c>
      <c r="C597" s="13">
        <v>0</v>
      </c>
      <c r="D597" s="18">
        <f t="shared" si="99"/>
        <v>0</v>
      </c>
      <c r="E597" s="14">
        <v>53.55</v>
      </c>
      <c r="F597" s="18">
        <f t="shared" si="103"/>
        <v>0</v>
      </c>
      <c r="G597" s="18">
        <f t="shared" si="104"/>
        <v>53.55</v>
      </c>
      <c r="H597" s="14">
        <v>51.48</v>
      </c>
      <c r="I597" s="18">
        <f t="shared" si="105"/>
        <v>0</v>
      </c>
      <c r="J597" s="18">
        <f t="shared" si="106"/>
        <v>51.48</v>
      </c>
      <c r="K597" s="14">
        <v>4.5599999999999996</v>
      </c>
      <c r="L597" s="18">
        <f t="shared" si="107"/>
        <v>0</v>
      </c>
      <c r="M597" s="18">
        <f t="shared" si="108"/>
        <v>4.5599999999999996</v>
      </c>
      <c r="N597" s="15">
        <f t="shared" si="109"/>
        <v>109.59</v>
      </c>
      <c r="O597" s="15">
        <f t="shared" si="100"/>
        <v>0</v>
      </c>
      <c r="P597" s="15">
        <f t="shared" si="101"/>
        <v>109.59</v>
      </c>
      <c r="Q597" s="5">
        <f t="shared" si="102"/>
        <v>1</v>
      </c>
    </row>
    <row r="598" spans="1:17" x14ac:dyDescent="0.25">
      <c r="A598" s="7">
        <v>46259.833333333336</v>
      </c>
      <c r="B598" s="6">
        <v>0</v>
      </c>
      <c r="C598" s="13">
        <v>0</v>
      </c>
      <c r="D598" s="18">
        <f t="shared" si="99"/>
        <v>0</v>
      </c>
      <c r="E598" s="14">
        <v>768.6</v>
      </c>
      <c r="F598" s="18">
        <f t="shared" si="103"/>
        <v>0</v>
      </c>
      <c r="G598" s="18">
        <f t="shared" si="104"/>
        <v>768.6</v>
      </c>
      <c r="H598" s="14">
        <v>54.12</v>
      </c>
      <c r="I598" s="18">
        <f t="shared" si="105"/>
        <v>0</v>
      </c>
      <c r="J598" s="18">
        <f t="shared" si="106"/>
        <v>54.12</v>
      </c>
      <c r="K598" s="14">
        <v>2.76</v>
      </c>
      <c r="L598" s="18">
        <f t="shared" si="107"/>
        <v>0</v>
      </c>
      <c r="M598" s="18">
        <f t="shared" si="108"/>
        <v>2.76</v>
      </c>
      <c r="N598" s="15">
        <f t="shared" si="109"/>
        <v>825.48</v>
      </c>
      <c r="O598" s="15">
        <f t="shared" si="100"/>
        <v>0</v>
      </c>
      <c r="P598" s="15">
        <f t="shared" si="101"/>
        <v>825.48</v>
      </c>
      <c r="Q598" s="5">
        <f t="shared" si="102"/>
        <v>1</v>
      </c>
    </row>
    <row r="599" spans="1:17" x14ac:dyDescent="0.25">
      <c r="A599" s="7">
        <v>46259.875</v>
      </c>
      <c r="B599" s="6">
        <v>0</v>
      </c>
      <c r="C599" s="13">
        <v>0</v>
      </c>
      <c r="D599" s="18">
        <f t="shared" si="99"/>
        <v>0</v>
      </c>
      <c r="E599" s="14">
        <v>891.45</v>
      </c>
      <c r="F599" s="18">
        <f t="shared" si="103"/>
        <v>0</v>
      </c>
      <c r="G599" s="18">
        <f t="shared" si="104"/>
        <v>891.45</v>
      </c>
      <c r="H599" s="14">
        <v>45.96</v>
      </c>
      <c r="I599" s="18">
        <f t="shared" si="105"/>
        <v>0</v>
      </c>
      <c r="J599" s="18">
        <f t="shared" si="106"/>
        <v>45.96</v>
      </c>
      <c r="K599" s="14">
        <v>2.16</v>
      </c>
      <c r="L599" s="18">
        <f t="shared" si="107"/>
        <v>0</v>
      </c>
      <c r="M599" s="18">
        <f t="shared" si="108"/>
        <v>2.16</v>
      </c>
      <c r="N599" s="15">
        <f t="shared" si="109"/>
        <v>939.57</v>
      </c>
      <c r="O599" s="15">
        <f t="shared" si="100"/>
        <v>0</v>
      </c>
      <c r="P599" s="15">
        <f t="shared" si="101"/>
        <v>939.57</v>
      </c>
      <c r="Q599" s="5">
        <f t="shared" si="102"/>
        <v>1</v>
      </c>
    </row>
    <row r="600" spans="1:17" x14ac:dyDescent="0.25">
      <c r="A600" s="7">
        <v>46259.916666666664</v>
      </c>
      <c r="B600" s="6">
        <v>0</v>
      </c>
      <c r="C600" s="13">
        <v>0</v>
      </c>
      <c r="D600" s="18">
        <f t="shared" si="99"/>
        <v>0</v>
      </c>
      <c r="E600" s="14">
        <v>910.35</v>
      </c>
      <c r="F600" s="18">
        <f t="shared" si="103"/>
        <v>0</v>
      </c>
      <c r="G600" s="18">
        <f t="shared" si="104"/>
        <v>910.35</v>
      </c>
      <c r="H600" s="14">
        <v>38.76</v>
      </c>
      <c r="I600" s="18">
        <f t="shared" si="105"/>
        <v>0</v>
      </c>
      <c r="J600" s="18">
        <f t="shared" si="106"/>
        <v>38.76</v>
      </c>
      <c r="K600" s="14">
        <v>2.04</v>
      </c>
      <c r="L600" s="18">
        <f t="shared" si="107"/>
        <v>0</v>
      </c>
      <c r="M600" s="18">
        <f t="shared" si="108"/>
        <v>2.04</v>
      </c>
      <c r="N600" s="15">
        <f t="shared" si="109"/>
        <v>951.15</v>
      </c>
      <c r="O600" s="15">
        <f t="shared" si="100"/>
        <v>0</v>
      </c>
      <c r="P600" s="15">
        <f t="shared" si="101"/>
        <v>951.15</v>
      </c>
      <c r="Q600" s="5">
        <f t="shared" si="102"/>
        <v>1</v>
      </c>
    </row>
    <row r="601" spans="1:17" x14ac:dyDescent="0.25">
      <c r="A601" s="7">
        <v>46259.958333333336</v>
      </c>
      <c r="B601" s="6">
        <v>0</v>
      </c>
      <c r="C601" s="13">
        <v>0</v>
      </c>
      <c r="D601" s="18">
        <f t="shared" si="99"/>
        <v>0</v>
      </c>
      <c r="E601" s="14">
        <v>891.45</v>
      </c>
      <c r="F601" s="18">
        <f t="shared" si="103"/>
        <v>0</v>
      </c>
      <c r="G601" s="18">
        <f t="shared" si="104"/>
        <v>891.45</v>
      </c>
      <c r="H601" s="14">
        <v>36.6</v>
      </c>
      <c r="I601" s="18">
        <f t="shared" si="105"/>
        <v>0</v>
      </c>
      <c r="J601" s="18">
        <f t="shared" si="106"/>
        <v>36.6</v>
      </c>
      <c r="K601" s="14">
        <v>2.16</v>
      </c>
      <c r="L601" s="18">
        <f t="shared" si="107"/>
        <v>0</v>
      </c>
      <c r="M601" s="18">
        <f t="shared" si="108"/>
        <v>2.16</v>
      </c>
      <c r="N601" s="15">
        <f t="shared" si="109"/>
        <v>930.21</v>
      </c>
      <c r="O601" s="15">
        <f t="shared" si="100"/>
        <v>0</v>
      </c>
      <c r="P601" s="15">
        <f t="shared" si="101"/>
        <v>930.21</v>
      </c>
      <c r="Q601" s="5">
        <f t="shared" si="102"/>
        <v>1</v>
      </c>
    </row>
    <row r="602" spans="1:17" x14ac:dyDescent="0.25">
      <c r="A602" s="7">
        <v>46260</v>
      </c>
      <c r="B602" s="6">
        <v>0</v>
      </c>
      <c r="C602" s="13">
        <v>0</v>
      </c>
      <c r="D602" s="18">
        <f t="shared" si="99"/>
        <v>0</v>
      </c>
      <c r="E602" s="14">
        <v>904.05</v>
      </c>
      <c r="F602" s="18">
        <f t="shared" si="103"/>
        <v>0</v>
      </c>
      <c r="G602" s="18">
        <f t="shared" si="104"/>
        <v>904.05</v>
      </c>
      <c r="H602" s="14">
        <v>38.76</v>
      </c>
      <c r="I602" s="18">
        <f t="shared" si="105"/>
        <v>0</v>
      </c>
      <c r="J602" s="18">
        <f t="shared" si="106"/>
        <v>38.76</v>
      </c>
      <c r="K602" s="14">
        <v>1.92</v>
      </c>
      <c r="L602" s="18">
        <f t="shared" si="107"/>
        <v>0</v>
      </c>
      <c r="M602" s="18">
        <f t="shared" si="108"/>
        <v>1.92</v>
      </c>
      <c r="N602" s="15">
        <f t="shared" si="109"/>
        <v>944.7299999999999</v>
      </c>
      <c r="O602" s="15">
        <f t="shared" si="100"/>
        <v>0</v>
      </c>
      <c r="P602" s="15">
        <f t="shared" si="101"/>
        <v>944.7299999999999</v>
      </c>
      <c r="Q602" s="5">
        <f t="shared" si="102"/>
        <v>1</v>
      </c>
    </row>
    <row r="603" spans="1:17" x14ac:dyDescent="0.25">
      <c r="A603" s="7">
        <v>46260.041666666664</v>
      </c>
      <c r="B603" s="6">
        <v>0</v>
      </c>
      <c r="C603" s="13">
        <v>0</v>
      </c>
      <c r="D603" s="18">
        <f t="shared" si="99"/>
        <v>0</v>
      </c>
      <c r="E603" s="14">
        <v>195.3</v>
      </c>
      <c r="F603" s="18">
        <f t="shared" si="103"/>
        <v>0</v>
      </c>
      <c r="G603" s="18">
        <f t="shared" si="104"/>
        <v>195.3</v>
      </c>
      <c r="H603" s="14">
        <v>37.56</v>
      </c>
      <c r="I603" s="18">
        <f t="shared" si="105"/>
        <v>0</v>
      </c>
      <c r="J603" s="18">
        <f t="shared" si="106"/>
        <v>37.56</v>
      </c>
      <c r="K603" s="14">
        <v>2.04</v>
      </c>
      <c r="L603" s="18">
        <f t="shared" si="107"/>
        <v>0</v>
      </c>
      <c r="M603" s="18">
        <f t="shared" si="108"/>
        <v>2.04</v>
      </c>
      <c r="N603" s="15">
        <f t="shared" si="109"/>
        <v>234.9</v>
      </c>
      <c r="O603" s="15">
        <f t="shared" si="100"/>
        <v>0</v>
      </c>
      <c r="P603" s="15">
        <f t="shared" si="101"/>
        <v>234.9</v>
      </c>
      <c r="Q603" s="5">
        <f t="shared" si="102"/>
        <v>1</v>
      </c>
    </row>
    <row r="604" spans="1:17" x14ac:dyDescent="0.25">
      <c r="A604" s="7">
        <v>46260.083333333336</v>
      </c>
      <c r="B604" s="6">
        <v>0</v>
      </c>
      <c r="C604" s="13">
        <v>0</v>
      </c>
      <c r="D604" s="18">
        <f t="shared" si="99"/>
        <v>0</v>
      </c>
      <c r="E604" s="14">
        <v>664.65</v>
      </c>
      <c r="F604" s="18">
        <f t="shared" si="103"/>
        <v>0</v>
      </c>
      <c r="G604" s="18">
        <f t="shared" si="104"/>
        <v>664.65</v>
      </c>
      <c r="H604" s="14">
        <v>46.8</v>
      </c>
      <c r="I604" s="18">
        <f t="shared" si="105"/>
        <v>0</v>
      </c>
      <c r="J604" s="18">
        <f t="shared" si="106"/>
        <v>46.8</v>
      </c>
      <c r="K604" s="14">
        <v>2.52</v>
      </c>
      <c r="L604" s="18">
        <f t="shared" si="107"/>
        <v>0</v>
      </c>
      <c r="M604" s="18">
        <f t="shared" si="108"/>
        <v>2.52</v>
      </c>
      <c r="N604" s="15">
        <f t="shared" si="109"/>
        <v>713.96999999999991</v>
      </c>
      <c r="O604" s="15">
        <f t="shared" si="100"/>
        <v>0</v>
      </c>
      <c r="P604" s="15">
        <f t="shared" si="101"/>
        <v>713.96999999999991</v>
      </c>
      <c r="Q604" s="5">
        <f t="shared" si="102"/>
        <v>1</v>
      </c>
    </row>
    <row r="605" spans="1:17" x14ac:dyDescent="0.25">
      <c r="A605" s="7">
        <v>46260.125</v>
      </c>
      <c r="B605" s="6">
        <v>0</v>
      </c>
      <c r="C605" s="13">
        <v>0</v>
      </c>
      <c r="D605" s="18">
        <f t="shared" si="99"/>
        <v>0</v>
      </c>
      <c r="E605" s="14">
        <v>894.6</v>
      </c>
      <c r="F605" s="18">
        <f t="shared" si="103"/>
        <v>0</v>
      </c>
      <c r="G605" s="18">
        <f t="shared" si="104"/>
        <v>894.6</v>
      </c>
      <c r="H605" s="14">
        <v>36.36</v>
      </c>
      <c r="I605" s="18">
        <f t="shared" si="105"/>
        <v>0</v>
      </c>
      <c r="J605" s="18">
        <f t="shared" si="106"/>
        <v>36.36</v>
      </c>
      <c r="K605" s="14">
        <v>3.6</v>
      </c>
      <c r="L605" s="18">
        <f t="shared" si="107"/>
        <v>0</v>
      </c>
      <c r="M605" s="18">
        <f t="shared" si="108"/>
        <v>3.6</v>
      </c>
      <c r="N605" s="15">
        <f t="shared" si="109"/>
        <v>934.56000000000006</v>
      </c>
      <c r="O605" s="15">
        <f t="shared" si="100"/>
        <v>0</v>
      </c>
      <c r="P605" s="15">
        <f t="shared" si="101"/>
        <v>934.56000000000006</v>
      </c>
      <c r="Q605" s="5">
        <f t="shared" si="102"/>
        <v>1</v>
      </c>
    </row>
    <row r="606" spans="1:17" x14ac:dyDescent="0.25">
      <c r="A606" s="7">
        <v>46260.166666666664</v>
      </c>
      <c r="B606" s="6">
        <v>0</v>
      </c>
      <c r="C606" s="13">
        <v>0</v>
      </c>
      <c r="D606" s="18">
        <f t="shared" si="99"/>
        <v>0</v>
      </c>
      <c r="E606" s="14">
        <v>910.35</v>
      </c>
      <c r="F606" s="18">
        <f t="shared" si="103"/>
        <v>0</v>
      </c>
      <c r="G606" s="18">
        <f t="shared" si="104"/>
        <v>910.35</v>
      </c>
      <c r="H606" s="14">
        <v>37.44</v>
      </c>
      <c r="I606" s="18">
        <f t="shared" si="105"/>
        <v>0</v>
      </c>
      <c r="J606" s="18">
        <f t="shared" si="106"/>
        <v>37.44</v>
      </c>
      <c r="K606" s="14">
        <v>3.72</v>
      </c>
      <c r="L606" s="18">
        <f t="shared" si="107"/>
        <v>0</v>
      </c>
      <c r="M606" s="18">
        <f t="shared" si="108"/>
        <v>3.72</v>
      </c>
      <c r="N606" s="15">
        <f t="shared" si="109"/>
        <v>951.51</v>
      </c>
      <c r="O606" s="15">
        <f t="shared" si="100"/>
        <v>0</v>
      </c>
      <c r="P606" s="15">
        <f t="shared" si="101"/>
        <v>951.51</v>
      </c>
      <c r="Q606" s="5">
        <f t="shared" si="102"/>
        <v>1</v>
      </c>
    </row>
    <row r="607" spans="1:17" x14ac:dyDescent="0.25">
      <c r="A607" s="7">
        <v>46260.208333333336</v>
      </c>
      <c r="B607" s="6">
        <v>0</v>
      </c>
      <c r="C607" s="13">
        <v>0</v>
      </c>
      <c r="D607" s="18">
        <f t="shared" si="99"/>
        <v>0</v>
      </c>
      <c r="E607" s="14">
        <v>844.2</v>
      </c>
      <c r="F607" s="18">
        <f t="shared" si="103"/>
        <v>0</v>
      </c>
      <c r="G607" s="18">
        <f t="shared" si="104"/>
        <v>844.2</v>
      </c>
      <c r="H607" s="14">
        <v>36.72</v>
      </c>
      <c r="I607" s="18">
        <f t="shared" si="105"/>
        <v>0</v>
      </c>
      <c r="J607" s="18">
        <f t="shared" si="106"/>
        <v>36.72</v>
      </c>
      <c r="K607" s="14">
        <v>3.84</v>
      </c>
      <c r="L607" s="18">
        <f t="shared" si="107"/>
        <v>0</v>
      </c>
      <c r="M607" s="18">
        <f t="shared" si="108"/>
        <v>3.84</v>
      </c>
      <c r="N607" s="15">
        <f t="shared" si="109"/>
        <v>884.7600000000001</v>
      </c>
      <c r="O607" s="15">
        <f t="shared" si="100"/>
        <v>0</v>
      </c>
      <c r="P607" s="15">
        <f t="shared" si="101"/>
        <v>884.7600000000001</v>
      </c>
      <c r="Q607" s="5">
        <f t="shared" si="102"/>
        <v>1</v>
      </c>
    </row>
    <row r="608" spans="1:17" x14ac:dyDescent="0.25">
      <c r="A608" s="7">
        <v>46260.25</v>
      </c>
      <c r="B608" s="6">
        <v>0</v>
      </c>
      <c r="C608" s="13">
        <v>0</v>
      </c>
      <c r="D608" s="18">
        <f t="shared" si="99"/>
        <v>0</v>
      </c>
      <c r="E608" s="14">
        <v>198.45</v>
      </c>
      <c r="F608" s="18">
        <f t="shared" si="103"/>
        <v>0</v>
      </c>
      <c r="G608" s="18">
        <f t="shared" si="104"/>
        <v>198.45</v>
      </c>
      <c r="H608" s="14">
        <v>39.119999999999997</v>
      </c>
      <c r="I608" s="18">
        <f t="shared" si="105"/>
        <v>0</v>
      </c>
      <c r="J608" s="18">
        <f t="shared" si="106"/>
        <v>39.119999999999997</v>
      </c>
      <c r="K608" s="14">
        <v>3.84</v>
      </c>
      <c r="L608" s="18">
        <f t="shared" si="107"/>
        <v>0</v>
      </c>
      <c r="M608" s="18">
        <f t="shared" si="108"/>
        <v>3.84</v>
      </c>
      <c r="N608" s="15">
        <f t="shared" si="109"/>
        <v>241.41</v>
      </c>
      <c r="O608" s="15">
        <f t="shared" si="100"/>
        <v>0</v>
      </c>
      <c r="P608" s="15">
        <f t="shared" si="101"/>
        <v>241.41</v>
      </c>
      <c r="Q608" s="5">
        <f t="shared" si="102"/>
        <v>1</v>
      </c>
    </row>
    <row r="609" spans="1:17" x14ac:dyDescent="0.25">
      <c r="A609" s="7">
        <v>46260.291666666664</v>
      </c>
      <c r="B609" s="6">
        <v>201.6</v>
      </c>
      <c r="C609" s="13">
        <v>0.12</v>
      </c>
      <c r="D609" s="18">
        <f t="shared" si="99"/>
        <v>201.72</v>
      </c>
      <c r="E609" s="14">
        <v>0</v>
      </c>
      <c r="F609" s="18">
        <f t="shared" si="103"/>
        <v>0</v>
      </c>
      <c r="G609" s="18">
        <f t="shared" si="104"/>
        <v>0</v>
      </c>
      <c r="H609" s="14">
        <v>22.68</v>
      </c>
      <c r="I609" s="18">
        <f t="shared" si="105"/>
        <v>22.68</v>
      </c>
      <c r="J609" s="18">
        <f t="shared" si="106"/>
        <v>0</v>
      </c>
      <c r="K609" s="14">
        <v>3.48</v>
      </c>
      <c r="L609" s="18">
        <f t="shared" si="107"/>
        <v>3.48</v>
      </c>
      <c r="M609" s="18">
        <f t="shared" si="108"/>
        <v>0</v>
      </c>
      <c r="N609" s="15">
        <f t="shared" si="109"/>
        <v>26.16</v>
      </c>
      <c r="O609" s="15">
        <f t="shared" si="100"/>
        <v>26.16</v>
      </c>
      <c r="P609" s="15">
        <f t="shared" si="101"/>
        <v>0</v>
      </c>
      <c r="Q609" s="5">
        <f t="shared" si="102"/>
        <v>0</v>
      </c>
    </row>
    <row r="610" spans="1:17" x14ac:dyDescent="0.25">
      <c r="A610" s="7">
        <v>46260.333333333336</v>
      </c>
      <c r="B610" s="6">
        <v>582.75</v>
      </c>
      <c r="C610" s="13">
        <v>0</v>
      </c>
      <c r="D610" s="18">
        <f t="shared" si="99"/>
        <v>582.75</v>
      </c>
      <c r="E610" s="14">
        <v>0</v>
      </c>
      <c r="F610" s="18">
        <f t="shared" si="103"/>
        <v>0</v>
      </c>
      <c r="G610" s="18">
        <f t="shared" si="104"/>
        <v>0</v>
      </c>
      <c r="H610" s="14">
        <v>149.63999999999999</v>
      </c>
      <c r="I610" s="18">
        <f t="shared" si="105"/>
        <v>149.63999999999999</v>
      </c>
      <c r="J610" s="18">
        <f t="shared" si="106"/>
        <v>0</v>
      </c>
      <c r="K610" s="14">
        <v>9.6</v>
      </c>
      <c r="L610" s="18">
        <f t="shared" si="107"/>
        <v>9.6</v>
      </c>
      <c r="M610" s="18">
        <f t="shared" si="108"/>
        <v>0</v>
      </c>
      <c r="N610" s="15">
        <f t="shared" si="109"/>
        <v>159.23999999999998</v>
      </c>
      <c r="O610" s="15">
        <f t="shared" si="100"/>
        <v>159.23999999999998</v>
      </c>
      <c r="P610" s="15">
        <f t="shared" si="101"/>
        <v>0</v>
      </c>
      <c r="Q610" s="5">
        <f t="shared" si="102"/>
        <v>0</v>
      </c>
    </row>
    <row r="611" spans="1:17" x14ac:dyDescent="0.25">
      <c r="A611" s="7">
        <v>46260.375</v>
      </c>
      <c r="B611" s="6">
        <v>1137.1500000000001</v>
      </c>
      <c r="C611" s="13">
        <v>0</v>
      </c>
      <c r="D611" s="18">
        <f t="shared" si="99"/>
        <v>1137.1500000000001</v>
      </c>
      <c r="E611" s="14">
        <v>0</v>
      </c>
      <c r="F611" s="18">
        <f t="shared" si="103"/>
        <v>0</v>
      </c>
      <c r="G611" s="18">
        <f t="shared" si="104"/>
        <v>0</v>
      </c>
      <c r="H611" s="14">
        <v>126.24</v>
      </c>
      <c r="I611" s="18">
        <f t="shared" si="105"/>
        <v>126.24</v>
      </c>
      <c r="J611" s="18">
        <f t="shared" si="106"/>
        <v>0</v>
      </c>
      <c r="K611" s="14">
        <v>44.64</v>
      </c>
      <c r="L611" s="18">
        <f t="shared" si="107"/>
        <v>44.64</v>
      </c>
      <c r="M611" s="18">
        <f t="shared" si="108"/>
        <v>0</v>
      </c>
      <c r="N611" s="15">
        <f t="shared" si="109"/>
        <v>170.88</v>
      </c>
      <c r="O611" s="15">
        <f t="shared" si="100"/>
        <v>170.88</v>
      </c>
      <c r="P611" s="15">
        <f t="shared" si="101"/>
        <v>0</v>
      </c>
      <c r="Q611" s="5">
        <f t="shared" si="102"/>
        <v>0</v>
      </c>
    </row>
    <row r="612" spans="1:17" x14ac:dyDescent="0.25">
      <c r="A612" s="7">
        <v>46260.416666666664</v>
      </c>
      <c r="B612" s="6">
        <v>1899.45</v>
      </c>
      <c r="C612" s="13">
        <v>1.32</v>
      </c>
      <c r="D612" s="18">
        <f t="shared" si="99"/>
        <v>1900.77</v>
      </c>
      <c r="E612" s="14">
        <v>0</v>
      </c>
      <c r="F612" s="18">
        <f t="shared" si="103"/>
        <v>0</v>
      </c>
      <c r="G612" s="18">
        <f t="shared" si="104"/>
        <v>0</v>
      </c>
      <c r="H612" s="14">
        <v>57</v>
      </c>
      <c r="I612" s="18">
        <f t="shared" si="105"/>
        <v>57</v>
      </c>
      <c r="J612" s="18">
        <f t="shared" si="106"/>
        <v>0</v>
      </c>
      <c r="K612" s="14">
        <v>60.84</v>
      </c>
      <c r="L612" s="18">
        <f t="shared" si="107"/>
        <v>60.84</v>
      </c>
      <c r="M612" s="18">
        <f t="shared" si="108"/>
        <v>0</v>
      </c>
      <c r="N612" s="15">
        <f t="shared" si="109"/>
        <v>117.84</v>
      </c>
      <c r="O612" s="15">
        <f t="shared" si="100"/>
        <v>117.84</v>
      </c>
      <c r="P612" s="15">
        <f t="shared" si="101"/>
        <v>0</v>
      </c>
      <c r="Q612" s="5">
        <f t="shared" si="102"/>
        <v>0</v>
      </c>
    </row>
    <row r="613" spans="1:17" x14ac:dyDescent="0.25">
      <c r="A613" s="7">
        <v>46260.458333333336</v>
      </c>
      <c r="B613" s="6">
        <v>1968.75</v>
      </c>
      <c r="C613" s="13">
        <v>4.4400000000000004</v>
      </c>
      <c r="D613" s="18">
        <f t="shared" si="99"/>
        <v>1973.19</v>
      </c>
      <c r="E613" s="14">
        <v>0</v>
      </c>
      <c r="F613" s="18">
        <f t="shared" si="103"/>
        <v>0</v>
      </c>
      <c r="G613" s="18">
        <f t="shared" si="104"/>
        <v>0</v>
      </c>
      <c r="H613" s="14">
        <v>48.24</v>
      </c>
      <c r="I613" s="18">
        <f t="shared" si="105"/>
        <v>48.24</v>
      </c>
      <c r="J613" s="18">
        <f t="shared" si="106"/>
        <v>0</v>
      </c>
      <c r="K613" s="14">
        <v>47.64</v>
      </c>
      <c r="L613" s="18">
        <f t="shared" si="107"/>
        <v>47.64</v>
      </c>
      <c r="M613" s="18">
        <f t="shared" si="108"/>
        <v>0</v>
      </c>
      <c r="N613" s="15">
        <f t="shared" si="109"/>
        <v>95.88</v>
      </c>
      <c r="O613" s="15">
        <f t="shared" si="100"/>
        <v>95.88</v>
      </c>
      <c r="P613" s="15">
        <f t="shared" si="101"/>
        <v>0</v>
      </c>
      <c r="Q613" s="5">
        <f t="shared" si="102"/>
        <v>0</v>
      </c>
    </row>
    <row r="614" spans="1:17" x14ac:dyDescent="0.25">
      <c r="A614" s="7">
        <v>46260.5</v>
      </c>
      <c r="B614" s="6">
        <v>1219.05</v>
      </c>
      <c r="C614" s="13">
        <v>6</v>
      </c>
      <c r="D614" s="18">
        <f t="shared" si="99"/>
        <v>1225.05</v>
      </c>
      <c r="E614" s="14">
        <v>0</v>
      </c>
      <c r="F614" s="18">
        <f t="shared" si="103"/>
        <v>0</v>
      </c>
      <c r="G614" s="18">
        <f t="shared" si="104"/>
        <v>0</v>
      </c>
      <c r="H614" s="14">
        <v>74.16</v>
      </c>
      <c r="I614" s="18">
        <f t="shared" si="105"/>
        <v>74.16</v>
      </c>
      <c r="J614" s="18">
        <f t="shared" si="106"/>
        <v>0</v>
      </c>
      <c r="K614" s="14">
        <v>68.760000000000005</v>
      </c>
      <c r="L614" s="18">
        <f t="shared" si="107"/>
        <v>68.760000000000005</v>
      </c>
      <c r="M614" s="18">
        <f t="shared" si="108"/>
        <v>0</v>
      </c>
      <c r="N614" s="15">
        <f t="shared" si="109"/>
        <v>142.92000000000002</v>
      </c>
      <c r="O614" s="15">
        <f t="shared" si="100"/>
        <v>142.92000000000002</v>
      </c>
      <c r="P614" s="15">
        <f t="shared" si="101"/>
        <v>0</v>
      </c>
      <c r="Q614" s="5">
        <f t="shared" si="102"/>
        <v>0</v>
      </c>
    </row>
    <row r="615" spans="1:17" x14ac:dyDescent="0.25">
      <c r="A615" s="7">
        <v>46260.541666666664</v>
      </c>
      <c r="B615" s="6">
        <v>2501.1</v>
      </c>
      <c r="C615" s="13">
        <v>60.96</v>
      </c>
      <c r="D615" s="18">
        <f t="shared" si="99"/>
        <v>2562.06</v>
      </c>
      <c r="E615" s="14">
        <v>0</v>
      </c>
      <c r="F615" s="18">
        <f t="shared" si="103"/>
        <v>0</v>
      </c>
      <c r="G615" s="18">
        <f t="shared" si="104"/>
        <v>0</v>
      </c>
      <c r="H615" s="14">
        <v>6.6</v>
      </c>
      <c r="I615" s="18">
        <f t="shared" si="105"/>
        <v>6.6</v>
      </c>
      <c r="J615" s="18">
        <f t="shared" si="106"/>
        <v>0</v>
      </c>
      <c r="K615" s="14">
        <v>71.400000000000006</v>
      </c>
      <c r="L615" s="18">
        <f t="shared" si="107"/>
        <v>71.400000000000006</v>
      </c>
      <c r="M615" s="18">
        <f t="shared" si="108"/>
        <v>0</v>
      </c>
      <c r="N615" s="15">
        <f t="shared" si="109"/>
        <v>78</v>
      </c>
      <c r="O615" s="15">
        <f t="shared" si="100"/>
        <v>78</v>
      </c>
      <c r="P615" s="15">
        <f t="shared" si="101"/>
        <v>0</v>
      </c>
      <c r="Q615" s="5">
        <f t="shared" si="102"/>
        <v>0</v>
      </c>
    </row>
    <row r="616" spans="1:17" x14ac:dyDescent="0.25">
      <c r="A616" s="7">
        <v>46260.583333333336</v>
      </c>
      <c r="B616" s="6">
        <v>1767.15</v>
      </c>
      <c r="C616" s="13">
        <v>28.56</v>
      </c>
      <c r="D616" s="18">
        <f t="shared" si="99"/>
        <v>1795.71</v>
      </c>
      <c r="E616" s="14">
        <v>0</v>
      </c>
      <c r="F616" s="18">
        <f t="shared" si="103"/>
        <v>0</v>
      </c>
      <c r="G616" s="18">
        <f t="shared" si="104"/>
        <v>0</v>
      </c>
      <c r="H616" s="14">
        <v>8.52</v>
      </c>
      <c r="I616" s="18">
        <f t="shared" si="105"/>
        <v>8.52</v>
      </c>
      <c r="J616" s="18">
        <f t="shared" si="106"/>
        <v>0</v>
      </c>
      <c r="K616" s="14">
        <v>37.92</v>
      </c>
      <c r="L616" s="18">
        <f t="shared" si="107"/>
        <v>37.92</v>
      </c>
      <c r="M616" s="18">
        <f t="shared" si="108"/>
        <v>0</v>
      </c>
      <c r="N616" s="15">
        <f t="shared" si="109"/>
        <v>46.44</v>
      </c>
      <c r="O616" s="15">
        <f t="shared" si="100"/>
        <v>46.44</v>
      </c>
      <c r="P616" s="15">
        <f t="shared" si="101"/>
        <v>0</v>
      </c>
      <c r="Q616" s="5">
        <f t="shared" si="102"/>
        <v>0</v>
      </c>
    </row>
    <row r="617" spans="1:17" x14ac:dyDescent="0.25">
      <c r="A617" s="7">
        <v>46260.625</v>
      </c>
      <c r="B617" s="6">
        <v>1323</v>
      </c>
      <c r="C617" s="13">
        <v>12.48</v>
      </c>
      <c r="D617" s="18">
        <f t="shared" si="99"/>
        <v>1335.48</v>
      </c>
      <c r="E617" s="14">
        <v>0</v>
      </c>
      <c r="F617" s="18">
        <f t="shared" si="103"/>
        <v>0</v>
      </c>
      <c r="G617" s="18">
        <f t="shared" si="104"/>
        <v>0</v>
      </c>
      <c r="H617" s="14">
        <v>30.6</v>
      </c>
      <c r="I617" s="18">
        <f t="shared" si="105"/>
        <v>30.6</v>
      </c>
      <c r="J617" s="18">
        <f t="shared" si="106"/>
        <v>0</v>
      </c>
      <c r="K617" s="14">
        <v>25.68</v>
      </c>
      <c r="L617" s="18">
        <f t="shared" si="107"/>
        <v>25.68</v>
      </c>
      <c r="M617" s="18">
        <f t="shared" si="108"/>
        <v>0</v>
      </c>
      <c r="N617" s="15">
        <f t="shared" si="109"/>
        <v>56.28</v>
      </c>
      <c r="O617" s="15">
        <f t="shared" si="100"/>
        <v>56.28</v>
      </c>
      <c r="P617" s="15">
        <f t="shared" si="101"/>
        <v>0</v>
      </c>
      <c r="Q617" s="5">
        <f t="shared" si="102"/>
        <v>0</v>
      </c>
    </row>
    <row r="618" spans="1:17" x14ac:dyDescent="0.25">
      <c r="A618" s="7">
        <v>46260.666666666664</v>
      </c>
      <c r="B618" s="6">
        <v>355.95</v>
      </c>
      <c r="C618" s="13">
        <v>0.24</v>
      </c>
      <c r="D618" s="18">
        <f t="shared" si="99"/>
        <v>356.19</v>
      </c>
      <c r="E618" s="14">
        <v>170.1</v>
      </c>
      <c r="F618" s="18">
        <f t="shared" si="103"/>
        <v>170.1</v>
      </c>
      <c r="G618" s="18">
        <f t="shared" si="104"/>
        <v>0</v>
      </c>
      <c r="H618" s="14">
        <v>79.44</v>
      </c>
      <c r="I618" s="18">
        <f t="shared" si="105"/>
        <v>79.44</v>
      </c>
      <c r="J618" s="18">
        <f t="shared" si="106"/>
        <v>0</v>
      </c>
      <c r="K618" s="14">
        <v>46.2</v>
      </c>
      <c r="L618" s="18">
        <f t="shared" si="107"/>
        <v>46.2</v>
      </c>
      <c r="M618" s="18">
        <f t="shared" si="108"/>
        <v>0</v>
      </c>
      <c r="N618" s="15">
        <f t="shared" si="109"/>
        <v>295.74</v>
      </c>
      <c r="O618" s="15">
        <f t="shared" si="100"/>
        <v>295.74</v>
      </c>
      <c r="P618" s="15">
        <f t="shared" si="101"/>
        <v>0</v>
      </c>
      <c r="Q618" s="5">
        <f t="shared" si="102"/>
        <v>0</v>
      </c>
    </row>
    <row r="619" spans="1:17" x14ac:dyDescent="0.25">
      <c r="A619" s="7">
        <v>46260.708333333336</v>
      </c>
      <c r="B619" s="6">
        <v>3.15</v>
      </c>
      <c r="C619" s="13">
        <v>0</v>
      </c>
      <c r="D619" s="18">
        <f t="shared" si="99"/>
        <v>3.15</v>
      </c>
      <c r="E619" s="14">
        <v>296.10000000000002</v>
      </c>
      <c r="F619" s="18">
        <f t="shared" si="103"/>
        <v>2.2837152930806042</v>
      </c>
      <c r="G619" s="18">
        <f t="shared" si="104"/>
        <v>293.81628470691942</v>
      </c>
      <c r="H619" s="14">
        <v>74.760000000000005</v>
      </c>
      <c r="I619" s="18">
        <f t="shared" si="105"/>
        <v>0.57659762009694759</v>
      </c>
      <c r="J619" s="18">
        <f t="shared" si="106"/>
        <v>74.183402379903058</v>
      </c>
      <c r="K619" s="14">
        <v>37.56</v>
      </c>
      <c r="L619" s="18">
        <f t="shared" si="107"/>
        <v>0.28968708682238287</v>
      </c>
      <c r="M619" s="18">
        <f t="shared" si="108"/>
        <v>37.270312913177619</v>
      </c>
      <c r="N619" s="15">
        <f t="shared" si="109"/>
        <v>408.42</v>
      </c>
      <c r="O619" s="15">
        <f t="shared" si="100"/>
        <v>3.1499999999999773</v>
      </c>
      <c r="P619" s="15">
        <f t="shared" si="101"/>
        <v>405.27000000000004</v>
      </c>
      <c r="Q619" s="5">
        <f t="shared" si="102"/>
        <v>0.99228735125606005</v>
      </c>
    </row>
    <row r="620" spans="1:17" x14ac:dyDescent="0.25">
      <c r="A620" s="7">
        <v>46260.75</v>
      </c>
      <c r="B620" s="6">
        <v>0</v>
      </c>
      <c r="C620" s="13">
        <v>0</v>
      </c>
      <c r="D620" s="18">
        <f t="shared" si="99"/>
        <v>0</v>
      </c>
      <c r="E620" s="14">
        <v>311.85000000000002</v>
      </c>
      <c r="F620" s="18">
        <f t="shared" si="103"/>
        <v>0</v>
      </c>
      <c r="G620" s="18">
        <f t="shared" si="104"/>
        <v>311.85000000000002</v>
      </c>
      <c r="H620" s="14">
        <v>48.72</v>
      </c>
      <c r="I620" s="18">
        <f t="shared" si="105"/>
        <v>0</v>
      </c>
      <c r="J620" s="18">
        <f t="shared" si="106"/>
        <v>48.72</v>
      </c>
      <c r="K620" s="14">
        <v>32.04</v>
      </c>
      <c r="L620" s="18">
        <f t="shared" si="107"/>
        <v>0</v>
      </c>
      <c r="M620" s="18">
        <f t="shared" si="108"/>
        <v>32.04</v>
      </c>
      <c r="N620" s="15">
        <f t="shared" si="109"/>
        <v>392.61000000000007</v>
      </c>
      <c r="O620" s="15">
        <f t="shared" si="100"/>
        <v>0</v>
      </c>
      <c r="P620" s="15">
        <f t="shared" si="101"/>
        <v>392.61000000000007</v>
      </c>
      <c r="Q620" s="5">
        <f t="shared" si="102"/>
        <v>1</v>
      </c>
    </row>
    <row r="621" spans="1:17" x14ac:dyDescent="0.25">
      <c r="A621" s="7">
        <v>46260.791666666664</v>
      </c>
      <c r="B621" s="6">
        <v>0</v>
      </c>
      <c r="C621" s="13">
        <v>0</v>
      </c>
      <c r="D621" s="18">
        <f t="shared" si="99"/>
        <v>0</v>
      </c>
      <c r="E621" s="14">
        <v>110.25</v>
      </c>
      <c r="F621" s="18">
        <f t="shared" si="103"/>
        <v>0</v>
      </c>
      <c r="G621" s="18">
        <f t="shared" si="104"/>
        <v>110.25</v>
      </c>
      <c r="H621" s="14">
        <v>46.08</v>
      </c>
      <c r="I621" s="18">
        <f t="shared" si="105"/>
        <v>0</v>
      </c>
      <c r="J621" s="18">
        <f t="shared" si="106"/>
        <v>46.08</v>
      </c>
      <c r="K621" s="14">
        <v>18.600000000000001</v>
      </c>
      <c r="L621" s="18">
        <f t="shared" si="107"/>
        <v>0</v>
      </c>
      <c r="M621" s="18">
        <f t="shared" si="108"/>
        <v>18.600000000000001</v>
      </c>
      <c r="N621" s="15">
        <f t="shared" si="109"/>
        <v>174.92999999999998</v>
      </c>
      <c r="O621" s="15">
        <f t="shared" si="100"/>
        <v>0</v>
      </c>
      <c r="P621" s="15">
        <f t="shared" si="101"/>
        <v>174.92999999999998</v>
      </c>
      <c r="Q621" s="5">
        <f t="shared" si="102"/>
        <v>1</v>
      </c>
    </row>
    <row r="622" spans="1:17" x14ac:dyDescent="0.25">
      <c r="A622" s="7">
        <v>46260.833333333336</v>
      </c>
      <c r="B622" s="6">
        <v>0</v>
      </c>
      <c r="C622" s="13">
        <v>0</v>
      </c>
      <c r="D622" s="18">
        <f t="shared" si="99"/>
        <v>0</v>
      </c>
      <c r="E622" s="14">
        <v>441</v>
      </c>
      <c r="F622" s="18">
        <f t="shared" si="103"/>
        <v>0</v>
      </c>
      <c r="G622" s="18">
        <f t="shared" si="104"/>
        <v>441</v>
      </c>
      <c r="H622" s="14">
        <v>36.24</v>
      </c>
      <c r="I622" s="18">
        <f t="shared" si="105"/>
        <v>0</v>
      </c>
      <c r="J622" s="18">
        <f t="shared" si="106"/>
        <v>36.24</v>
      </c>
      <c r="K622" s="14">
        <v>29.88</v>
      </c>
      <c r="L622" s="18">
        <f t="shared" si="107"/>
        <v>0</v>
      </c>
      <c r="M622" s="18">
        <f t="shared" si="108"/>
        <v>29.88</v>
      </c>
      <c r="N622" s="15">
        <f t="shared" si="109"/>
        <v>507.12</v>
      </c>
      <c r="O622" s="15">
        <f t="shared" si="100"/>
        <v>0</v>
      </c>
      <c r="P622" s="15">
        <f t="shared" si="101"/>
        <v>507.12</v>
      </c>
      <c r="Q622" s="5">
        <f t="shared" si="102"/>
        <v>1</v>
      </c>
    </row>
    <row r="623" spans="1:17" x14ac:dyDescent="0.25">
      <c r="A623" s="7">
        <v>46260.875</v>
      </c>
      <c r="B623" s="6">
        <v>0</v>
      </c>
      <c r="C623" s="13">
        <v>0</v>
      </c>
      <c r="D623" s="18">
        <f t="shared" si="99"/>
        <v>0</v>
      </c>
      <c r="E623" s="14">
        <v>856.8</v>
      </c>
      <c r="F623" s="18">
        <f t="shared" si="103"/>
        <v>0</v>
      </c>
      <c r="G623" s="18">
        <f t="shared" si="104"/>
        <v>856.8</v>
      </c>
      <c r="H623" s="14">
        <v>36.6</v>
      </c>
      <c r="I623" s="18">
        <f t="shared" si="105"/>
        <v>0</v>
      </c>
      <c r="J623" s="18">
        <f t="shared" si="106"/>
        <v>36.6</v>
      </c>
      <c r="K623" s="14">
        <v>12</v>
      </c>
      <c r="L623" s="18">
        <f t="shared" si="107"/>
        <v>0</v>
      </c>
      <c r="M623" s="18">
        <f t="shared" si="108"/>
        <v>12</v>
      </c>
      <c r="N623" s="15">
        <f t="shared" si="109"/>
        <v>905.4</v>
      </c>
      <c r="O623" s="15">
        <f t="shared" si="100"/>
        <v>0</v>
      </c>
      <c r="P623" s="15">
        <f t="shared" si="101"/>
        <v>905.4</v>
      </c>
      <c r="Q623" s="5">
        <f t="shared" si="102"/>
        <v>1</v>
      </c>
    </row>
    <row r="624" spans="1:17" x14ac:dyDescent="0.25">
      <c r="A624" s="7">
        <v>46260.916666666664</v>
      </c>
      <c r="B624" s="6">
        <v>0</v>
      </c>
      <c r="C624" s="13">
        <v>0</v>
      </c>
      <c r="D624" s="18">
        <f t="shared" si="99"/>
        <v>0</v>
      </c>
      <c r="E624" s="14">
        <v>850.5</v>
      </c>
      <c r="F624" s="18">
        <f t="shared" si="103"/>
        <v>0</v>
      </c>
      <c r="G624" s="18">
        <f t="shared" si="104"/>
        <v>850.5</v>
      </c>
      <c r="H624" s="14">
        <v>35.28</v>
      </c>
      <c r="I624" s="18">
        <f t="shared" si="105"/>
        <v>0</v>
      </c>
      <c r="J624" s="18">
        <f t="shared" si="106"/>
        <v>35.28</v>
      </c>
      <c r="K624" s="14">
        <v>2.2799999999999998</v>
      </c>
      <c r="L624" s="18">
        <f t="shared" si="107"/>
        <v>0</v>
      </c>
      <c r="M624" s="18">
        <f t="shared" si="108"/>
        <v>2.2799999999999998</v>
      </c>
      <c r="N624" s="15">
        <f t="shared" si="109"/>
        <v>888.06</v>
      </c>
      <c r="O624" s="15">
        <f t="shared" si="100"/>
        <v>0</v>
      </c>
      <c r="P624" s="15">
        <f t="shared" si="101"/>
        <v>888.06</v>
      </c>
      <c r="Q624" s="5">
        <f t="shared" si="102"/>
        <v>1</v>
      </c>
    </row>
    <row r="625" spans="1:17" x14ac:dyDescent="0.25">
      <c r="A625" s="7">
        <v>46260.958333333336</v>
      </c>
      <c r="B625" s="6">
        <v>0</v>
      </c>
      <c r="C625" s="13">
        <v>0</v>
      </c>
      <c r="D625" s="18">
        <f t="shared" si="99"/>
        <v>0</v>
      </c>
      <c r="E625" s="14">
        <v>863.1</v>
      </c>
      <c r="F625" s="18">
        <f t="shared" si="103"/>
        <v>0</v>
      </c>
      <c r="G625" s="18">
        <f t="shared" si="104"/>
        <v>863.1</v>
      </c>
      <c r="H625" s="14">
        <v>34.68</v>
      </c>
      <c r="I625" s="18">
        <f t="shared" si="105"/>
        <v>0</v>
      </c>
      <c r="J625" s="18">
        <f t="shared" si="106"/>
        <v>34.68</v>
      </c>
      <c r="K625" s="14">
        <v>2.16</v>
      </c>
      <c r="L625" s="18">
        <f t="shared" si="107"/>
        <v>0</v>
      </c>
      <c r="M625" s="18">
        <f t="shared" si="108"/>
        <v>2.16</v>
      </c>
      <c r="N625" s="15">
        <f t="shared" si="109"/>
        <v>899.93999999999994</v>
      </c>
      <c r="O625" s="15">
        <f t="shared" si="100"/>
        <v>0</v>
      </c>
      <c r="P625" s="15">
        <f t="shared" si="101"/>
        <v>899.93999999999994</v>
      </c>
      <c r="Q625" s="5">
        <f t="shared" si="102"/>
        <v>1</v>
      </c>
    </row>
    <row r="626" spans="1:17" x14ac:dyDescent="0.25">
      <c r="A626" s="7">
        <v>46261</v>
      </c>
      <c r="B626" s="6">
        <v>0</v>
      </c>
      <c r="C626" s="13">
        <v>0</v>
      </c>
      <c r="D626" s="18">
        <f t="shared" si="99"/>
        <v>0</v>
      </c>
      <c r="E626" s="14">
        <v>853.65</v>
      </c>
      <c r="F626" s="18">
        <f t="shared" si="103"/>
        <v>0</v>
      </c>
      <c r="G626" s="18">
        <f t="shared" si="104"/>
        <v>853.65</v>
      </c>
      <c r="H626" s="14">
        <v>35.159999999999997</v>
      </c>
      <c r="I626" s="18">
        <f t="shared" si="105"/>
        <v>0</v>
      </c>
      <c r="J626" s="18">
        <f t="shared" si="106"/>
        <v>35.159999999999997</v>
      </c>
      <c r="K626" s="14">
        <v>2.16</v>
      </c>
      <c r="L626" s="18">
        <f t="shared" si="107"/>
        <v>0</v>
      </c>
      <c r="M626" s="18">
        <f t="shared" si="108"/>
        <v>2.16</v>
      </c>
      <c r="N626" s="15">
        <f t="shared" si="109"/>
        <v>890.96999999999991</v>
      </c>
      <c r="O626" s="15">
        <f t="shared" si="100"/>
        <v>0</v>
      </c>
      <c r="P626" s="15">
        <f t="shared" si="101"/>
        <v>890.96999999999991</v>
      </c>
      <c r="Q626" s="5">
        <f t="shared" si="102"/>
        <v>1</v>
      </c>
    </row>
    <row r="627" spans="1:17" x14ac:dyDescent="0.25">
      <c r="A627" s="7">
        <v>46261.041666666664</v>
      </c>
      <c r="B627" s="6">
        <v>0</v>
      </c>
      <c r="C627" s="13">
        <v>0</v>
      </c>
      <c r="D627" s="18">
        <f t="shared" si="99"/>
        <v>0</v>
      </c>
      <c r="E627" s="14">
        <v>192.15</v>
      </c>
      <c r="F627" s="18">
        <f t="shared" si="103"/>
        <v>0</v>
      </c>
      <c r="G627" s="18">
        <f t="shared" si="104"/>
        <v>192.15</v>
      </c>
      <c r="H627" s="14">
        <v>34.32</v>
      </c>
      <c r="I627" s="18">
        <f t="shared" si="105"/>
        <v>0</v>
      </c>
      <c r="J627" s="18">
        <f t="shared" si="106"/>
        <v>34.32</v>
      </c>
      <c r="K627" s="14">
        <v>2.16</v>
      </c>
      <c r="L627" s="18">
        <f t="shared" si="107"/>
        <v>0</v>
      </c>
      <c r="M627" s="18">
        <f t="shared" si="108"/>
        <v>2.16</v>
      </c>
      <c r="N627" s="15">
        <f t="shared" si="109"/>
        <v>228.63</v>
      </c>
      <c r="O627" s="15">
        <f t="shared" si="100"/>
        <v>0</v>
      </c>
      <c r="P627" s="15">
        <f t="shared" si="101"/>
        <v>228.63</v>
      </c>
      <c r="Q627" s="5">
        <f t="shared" si="102"/>
        <v>1</v>
      </c>
    </row>
    <row r="628" spans="1:17" x14ac:dyDescent="0.25">
      <c r="A628" s="7">
        <v>46261.083333333336</v>
      </c>
      <c r="B628" s="6">
        <v>0</v>
      </c>
      <c r="C628" s="13">
        <v>0</v>
      </c>
      <c r="D628" s="18">
        <f t="shared" si="99"/>
        <v>0</v>
      </c>
      <c r="E628" s="14">
        <v>390.6</v>
      </c>
      <c r="F628" s="18">
        <f t="shared" si="103"/>
        <v>0</v>
      </c>
      <c r="G628" s="18">
        <f t="shared" si="104"/>
        <v>390.6</v>
      </c>
      <c r="H628" s="14">
        <v>35.76</v>
      </c>
      <c r="I628" s="18">
        <f t="shared" si="105"/>
        <v>0</v>
      </c>
      <c r="J628" s="18">
        <f t="shared" si="106"/>
        <v>35.76</v>
      </c>
      <c r="K628" s="14">
        <v>1.92</v>
      </c>
      <c r="L628" s="18">
        <f t="shared" si="107"/>
        <v>0</v>
      </c>
      <c r="M628" s="18">
        <f t="shared" si="108"/>
        <v>1.92</v>
      </c>
      <c r="N628" s="15">
        <f t="shared" si="109"/>
        <v>428.28000000000003</v>
      </c>
      <c r="O628" s="15">
        <f t="shared" si="100"/>
        <v>0</v>
      </c>
      <c r="P628" s="15">
        <f t="shared" si="101"/>
        <v>428.28000000000003</v>
      </c>
      <c r="Q628" s="5">
        <f t="shared" si="102"/>
        <v>1</v>
      </c>
    </row>
    <row r="629" spans="1:17" x14ac:dyDescent="0.25">
      <c r="A629" s="7">
        <v>46261.125</v>
      </c>
      <c r="B629" s="6">
        <v>0</v>
      </c>
      <c r="C629" s="13">
        <v>0</v>
      </c>
      <c r="D629" s="18">
        <f t="shared" si="99"/>
        <v>0</v>
      </c>
      <c r="E629" s="14">
        <v>907.2</v>
      </c>
      <c r="F629" s="18">
        <f t="shared" si="103"/>
        <v>0</v>
      </c>
      <c r="G629" s="18">
        <f t="shared" si="104"/>
        <v>907.2</v>
      </c>
      <c r="H629" s="14">
        <v>37.08</v>
      </c>
      <c r="I629" s="18">
        <f t="shared" si="105"/>
        <v>0</v>
      </c>
      <c r="J629" s="18">
        <f t="shared" si="106"/>
        <v>37.08</v>
      </c>
      <c r="K629" s="14">
        <v>1.92</v>
      </c>
      <c r="L629" s="18">
        <f t="shared" si="107"/>
        <v>0</v>
      </c>
      <c r="M629" s="18">
        <f t="shared" si="108"/>
        <v>1.92</v>
      </c>
      <c r="N629" s="15">
        <f t="shared" si="109"/>
        <v>946.2</v>
      </c>
      <c r="O629" s="15">
        <f t="shared" si="100"/>
        <v>0</v>
      </c>
      <c r="P629" s="15">
        <f t="shared" si="101"/>
        <v>946.2</v>
      </c>
      <c r="Q629" s="5">
        <f t="shared" si="102"/>
        <v>1</v>
      </c>
    </row>
    <row r="630" spans="1:17" x14ac:dyDescent="0.25">
      <c r="A630" s="7">
        <v>46261.166666666664</v>
      </c>
      <c r="B630" s="6">
        <v>0</v>
      </c>
      <c r="C630" s="13">
        <v>0</v>
      </c>
      <c r="D630" s="18">
        <f t="shared" si="99"/>
        <v>0</v>
      </c>
      <c r="E630" s="14">
        <v>882</v>
      </c>
      <c r="F630" s="18">
        <f t="shared" si="103"/>
        <v>0</v>
      </c>
      <c r="G630" s="18">
        <f t="shared" si="104"/>
        <v>882</v>
      </c>
      <c r="H630" s="14">
        <v>37.200000000000003</v>
      </c>
      <c r="I630" s="18">
        <f t="shared" si="105"/>
        <v>0</v>
      </c>
      <c r="J630" s="18">
        <f t="shared" si="106"/>
        <v>37.200000000000003</v>
      </c>
      <c r="K630" s="14">
        <v>2.04</v>
      </c>
      <c r="L630" s="18">
        <f t="shared" si="107"/>
        <v>0</v>
      </c>
      <c r="M630" s="18">
        <f t="shared" si="108"/>
        <v>2.04</v>
      </c>
      <c r="N630" s="15">
        <f t="shared" si="109"/>
        <v>921.24</v>
      </c>
      <c r="O630" s="15">
        <f t="shared" si="100"/>
        <v>0</v>
      </c>
      <c r="P630" s="15">
        <f t="shared" si="101"/>
        <v>921.24</v>
      </c>
      <c r="Q630" s="5">
        <f t="shared" si="102"/>
        <v>1</v>
      </c>
    </row>
    <row r="631" spans="1:17" x14ac:dyDescent="0.25">
      <c r="A631" s="7">
        <v>46261.208333333336</v>
      </c>
      <c r="B631" s="6">
        <v>0</v>
      </c>
      <c r="C631" s="13">
        <v>0</v>
      </c>
      <c r="D631" s="18">
        <f t="shared" si="99"/>
        <v>0</v>
      </c>
      <c r="E631" s="14">
        <v>897.75</v>
      </c>
      <c r="F631" s="18">
        <f t="shared" si="103"/>
        <v>0</v>
      </c>
      <c r="G631" s="18">
        <f t="shared" si="104"/>
        <v>897.75</v>
      </c>
      <c r="H631" s="14">
        <v>35.880000000000003</v>
      </c>
      <c r="I631" s="18">
        <f t="shared" si="105"/>
        <v>0</v>
      </c>
      <c r="J631" s="18">
        <f t="shared" si="106"/>
        <v>35.880000000000003</v>
      </c>
      <c r="K631" s="14">
        <v>2.2799999999999998</v>
      </c>
      <c r="L631" s="18">
        <f t="shared" si="107"/>
        <v>0</v>
      </c>
      <c r="M631" s="18">
        <f t="shared" si="108"/>
        <v>2.2799999999999998</v>
      </c>
      <c r="N631" s="15">
        <f t="shared" si="109"/>
        <v>935.91</v>
      </c>
      <c r="O631" s="15">
        <f t="shared" si="100"/>
        <v>0</v>
      </c>
      <c r="P631" s="15">
        <f t="shared" si="101"/>
        <v>935.91</v>
      </c>
      <c r="Q631" s="5">
        <f t="shared" si="102"/>
        <v>1</v>
      </c>
    </row>
    <row r="632" spans="1:17" x14ac:dyDescent="0.25">
      <c r="A632" s="7">
        <v>46261.25</v>
      </c>
      <c r="B632" s="6">
        <v>0</v>
      </c>
      <c r="C632" s="13">
        <v>0</v>
      </c>
      <c r="D632" s="18">
        <f t="shared" si="99"/>
        <v>0</v>
      </c>
      <c r="E632" s="14">
        <v>176.4</v>
      </c>
      <c r="F632" s="18">
        <f t="shared" si="103"/>
        <v>0</v>
      </c>
      <c r="G632" s="18">
        <f t="shared" si="104"/>
        <v>176.4</v>
      </c>
      <c r="H632" s="14">
        <v>40.799999999999997</v>
      </c>
      <c r="I632" s="18">
        <f t="shared" si="105"/>
        <v>0</v>
      </c>
      <c r="J632" s="18">
        <f t="shared" si="106"/>
        <v>40.799999999999997</v>
      </c>
      <c r="K632" s="14">
        <v>4.2</v>
      </c>
      <c r="L632" s="18">
        <f t="shared" si="107"/>
        <v>0</v>
      </c>
      <c r="M632" s="18">
        <f t="shared" si="108"/>
        <v>4.2</v>
      </c>
      <c r="N632" s="15">
        <f t="shared" si="109"/>
        <v>221.39999999999998</v>
      </c>
      <c r="O632" s="15">
        <f t="shared" si="100"/>
        <v>0</v>
      </c>
      <c r="P632" s="15">
        <f t="shared" si="101"/>
        <v>221.39999999999998</v>
      </c>
      <c r="Q632" s="5">
        <f t="shared" si="102"/>
        <v>1</v>
      </c>
    </row>
    <row r="633" spans="1:17" x14ac:dyDescent="0.25">
      <c r="A633" s="7">
        <v>46261.291666666664</v>
      </c>
      <c r="B633" s="6">
        <v>182.7</v>
      </c>
      <c r="C633" s="13">
        <v>0.12</v>
      </c>
      <c r="D633" s="18">
        <f t="shared" si="99"/>
        <v>182.82</v>
      </c>
      <c r="E633" s="14">
        <v>0</v>
      </c>
      <c r="F633" s="18">
        <f t="shared" si="103"/>
        <v>0</v>
      </c>
      <c r="G633" s="18">
        <f t="shared" si="104"/>
        <v>0</v>
      </c>
      <c r="H633" s="14">
        <v>18.84</v>
      </c>
      <c r="I633" s="18">
        <f t="shared" si="105"/>
        <v>18.84</v>
      </c>
      <c r="J633" s="18">
        <f t="shared" si="106"/>
        <v>0</v>
      </c>
      <c r="K633" s="14">
        <v>8.76</v>
      </c>
      <c r="L633" s="18">
        <f t="shared" si="107"/>
        <v>8.76</v>
      </c>
      <c r="M633" s="18">
        <f t="shared" si="108"/>
        <v>0</v>
      </c>
      <c r="N633" s="15">
        <f t="shared" si="109"/>
        <v>27.6</v>
      </c>
      <c r="O633" s="15">
        <f t="shared" si="100"/>
        <v>27.6</v>
      </c>
      <c r="P633" s="15">
        <f t="shared" si="101"/>
        <v>0</v>
      </c>
      <c r="Q633" s="5">
        <f t="shared" si="102"/>
        <v>0</v>
      </c>
    </row>
    <row r="634" spans="1:17" x14ac:dyDescent="0.25">
      <c r="A634" s="7">
        <v>46261.333333333336</v>
      </c>
      <c r="B634" s="6">
        <v>633.15</v>
      </c>
      <c r="C634" s="13">
        <v>2.16</v>
      </c>
      <c r="D634" s="18">
        <f t="shared" si="99"/>
        <v>635.30999999999995</v>
      </c>
      <c r="E634" s="14">
        <v>0</v>
      </c>
      <c r="F634" s="18">
        <f t="shared" si="103"/>
        <v>0</v>
      </c>
      <c r="G634" s="18">
        <f t="shared" si="104"/>
        <v>0</v>
      </c>
      <c r="H634" s="14">
        <v>52.68</v>
      </c>
      <c r="I634" s="18">
        <f t="shared" si="105"/>
        <v>52.68</v>
      </c>
      <c r="J634" s="18">
        <f t="shared" si="106"/>
        <v>0</v>
      </c>
      <c r="K634" s="14">
        <v>12.96</v>
      </c>
      <c r="L634" s="18">
        <f t="shared" si="107"/>
        <v>12.96</v>
      </c>
      <c r="M634" s="18">
        <f t="shared" si="108"/>
        <v>0</v>
      </c>
      <c r="N634" s="15">
        <f t="shared" si="109"/>
        <v>65.64</v>
      </c>
      <c r="O634" s="15">
        <f t="shared" si="100"/>
        <v>65.64</v>
      </c>
      <c r="P634" s="15">
        <f t="shared" si="101"/>
        <v>0</v>
      </c>
      <c r="Q634" s="5">
        <f t="shared" si="102"/>
        <v>0</v>
      </c>
    </row>
    <row r="635" spans="1:17" x14ac:dyDescent="0.25">
      <c r="A635" s="7">
        <v>46261.375</v>
      </c>
      <c r="B635" s="6">
        <v>1559.25</v>
      </c>
      <c r="C635" s="13">
        <v>30.12</v>
      </c>
      <c r="D635" s="18">
        <f t="shared" si="99"/>
        <v>1589.37</v>
      </c>
      <c r="E635" s="14">
        <v>0</v>
      </c>
      <c r="F635" s="18">
        <f t="shared" si="103"/>
        <v>0</v>
      </c>
      <c r="G635" s="18">
        <f t="shared" si="104"/>
        <v>0</v>
      </c>
      <c r="H635" s="14">
        <v>16.8</v>
      </c>
      <c r="I635" s="18">
        <f t="shared" si="105"/>
        <v>16.8</v>
      </c>
      <c r="J635" s="18">
        <f t="shared" si="106"/>
        <v>0</v>
      </c>
      <c r="K635" s="14">
        <v>33.479999999999997</v>
      </c>
      <c r="L635" s="18">
        <f t="shared" si="107"/>
        <v>33.479999999999997</v>
      </c>
      <c r="M635" s="18">
        <f t="shared" si="108"/>
        <v>0</v>
      </c>
      <c r="N635" s="15">
        <f t="shared" si="109"/>
        <v>50.28</v>
      </c>
      <c r="O635" s="15">
        <f t="shared" si="100"/>
        <v>50.28</v>
      </c>
      <c r="P635" s="15">
        <f t="shared" si="101"/>
        <v>0</v>
      </c>
      <c r="Q635" s="5">
        <f t="shared" si="102"/>
        <v>0</v>
      </c>
    </row>
    <row r="636" spans="1:17" x14ac:dyDescent="0.25">
      <c r="A636" s="7">
        <v>46261.416666666664</v>
      </c>
      <c r="B636" s="6">
        <v>2236.5</v>
      </c>
      <c r="C636" s="13">
        <v>88.56</v>
      </c>
      <c r="D636" s="18">
        <f t="shared" si="99"/>
        <v>2325.06</v>
      </c>
      <c r="E636" s="14">
        <v>0</v>
      </c>
      <c r="F636" s="18">
        <f t="shared" si="103"/>
        <v>0</v>
      </c>
      <c r="G636" s="18">
        <f t="shared" si="104"/>
        <v>0</v>
      </c>
      <c r="H636" s="14">
        <v>1.32</v>
      </c>
      <c r="I636" s="18">
        <f t="shared" si="105"/>
        <v>1.32</v>
      </c>
      <c r="J636" s="18">
        <f t="shared" si="106"/>
        <v>0</v>
      </c>
      <c r="K636" s="14">
        <v>54.72</v>
      </c>
      <c r="L636" s="18">
        <f t="shared" si="107"/>
        <v>54.72</v>
      </c>
      <c r="M636" s="18">
        <f t="shared" si="108"/>
        <v>0</v>
      </c>
      <c r="N636" s="15">
        <f t="shared" si="109"/>
        <v>56.04</v>
      </c>
      <c r="O636" s="15">
        <f t="shared" si="100"/>
        <v>56.04</v>
      </c>
      <c r="P636" s="15">
        <f t="shared" si="101"/>
        <v>0</v>
      </c>
      <c r="Q636" s="5">
        <f t="shared" si="102"/>
        <v>0</v>
      </c>
    </row>
    <row r="637" spans="1:17" x14ac:dyDescent="0.25">
      <c r="A637" s="7">
        <v>46261.458333333336</v>
      </c>
      <c r="B637" s="6">
        <v>2627.1</v>
      </c>
      <c r="C637" s="13">
        <v>119.52</v>
      </c>
      <c r="D637" s="18">
        <f t="shared" si="99"/>
        <v>2746.62</v>
      </c>
      <c r="E637" s="14">
        <v>0</v>
      </c>
      <c r="F637" s="18">
        <f t="shared" si="103"/>
        <v>0</v>
      </c>
      <c r="G637" s="18">
        <f t="shared" si="104"/>
        <v>0</v>
      </c>
      <c r="H637" s="14">
        <v>0</v>
      </c>
      <c r="I637" s="18">
        <f t="shared" si="105"/>
        <v>0</v>
      </c>
      <c r="J637" s="18">
        <f t="shared" si="106"/>
        <v>0</v>
      </c>
      <c r="K637" s="14">
        <v>39.36</v>
      </c>
      <c r="L637" s="18">
        <f t="shared" si="107"/>
        <v>39.36</v>
      </c>
      <c r="M637" s="18">
        <f t="shared" si="108"/>
        <v>0</v>
      </c>
      <c r="N637" s="15">
        <f t="shared" si="109"/>
        <v>39.36</v>
      </c>
      <c r="O637" s="15">
        <f t="shared" si="100"/>
        <v>39.36</v>
      </c>
      <c r="P637" s="15">
        <f t="shared" si="101"/>
        <v>0</v>
      </c>
      <c r="Q637" s="5">
        <f t="shared" si="102"/>
        <v>0</v>
      </c>
    </row>
    <row r="638" spans="1:17" x14ac:dyDescent="0.25">
      <c r="A638" s="7">
        <v>46261.5</v>
      </c>
      <c r="B638" s="6">
        <v>2790.9</v>
      </c>
      <c r="C638" s="13">
        <v>117.48</v>
      </c>
      <c r="D638" s="18">
        <f t="shared" si="99"/>
        <v>2908.38</v>
      </c>
      <c r="E638" s="14">
        <v>0</v>
      </c>
      <c r="F638" s="18">
        <f t="shared" si="103"/>
        <v>0</v>
      </c>
      <c r="G638" s="18">
        <f t="shared" si="104"/>
        <v>0</v>
      </c>
      <c r="H638" s="14">
        <v>0</v>
      </c>
      <c r="I638" s="18">
        <f t="shared" si="105"/>
        <v>0</v>
      </c>
      <c r="J638" s="18">
        <f t="shared" si="106"/>
        <v>0</v>
      </c>
      <c r="K638" s="14">
        <v>64.680000000000007</v>
      </c>
      <c r="L638" s="18">
        <f t="shared" si="107"/>
        <v>64.680000000000007</v>
      </c>
      <c r="M638" s="18">
        <f t="shared" si="108"/>
        <v>0</v>
      </c>
      <c r="N638" s="15">
        <f t="shared" si="109"/>
        <v>64.680000000000007</v>
      </c>
      <c r="O638" s="15">
        <f t="shared" si="100"/>
        <v>64.680000000000007</v>
      </c>
      <c r="P638" s="15">
        <f t="shared" si="101"/>
        <v>0</v>
      </c>
      <c r="Q638" s="5">
        <f t="shared" si="102"/>
        <v>0</v>
      </c>
    </row>
    <row r="639" spans="1:17" x14ac:dyDescent="0.25">
      <c r="A639" s="7">
        <v>46261.541666666664</v>
      </c>
      <c r="B639" s="6">
        <v>2715.3</v>
      </c>
      <c r="C639" s="13">
        <v>108</v>
      </c>
      <c r="D639" s="18">
        <f t="shared" si="99"/>
        <v>2823.3</v>
      </c>
      <c r="E639" s="14">
        <v>0</v>
      </c>
      <c r="F639" s="18">
        <f t="shared" si="103"/>
        <v>0</v>
      </c>
      <c r="G639" s="18">
        <f t="shared" si="104"/>
        <v>0</v>
      </c>
      <c r="H639" s="14">
        <v>0</v>
      </c>
      <c r="I639" s="18">
        <f t="shared" si="105"/>
        <v>0</v>
      </c>
      <c r="J639" s="18">
        <f t="shared" si="106"/>
        <v>0</v>
      </c>
      <c r="K639" s="14">
        <v>49.08</v>
      </c>
      <c r="L639" s="18">
        <f t="shared" si="107"/>
        <v>49.08</v>
      </c>
      <c r="M639" s="18">
        <f t="shared" si="108"/>
        <v>0</v>
      </c>
      <c r="N639" s="15">
        <f t="shared" si="109"/>
        <v>49.08</v>
      </c>
      <c r="O639" s="15">
        <f t="shared" si="100"/>
        <v>49.08</v>
      </c>
      <c r="P639" s="15">
        <f t="shared" si="101"/>
        <v>0</v>
      </c>
      <c r="Q639" s="5">
        <f t="shared" si="102"/>
        <v>0</v>
      </c>
    </row>
    <row r="640" spans="1:17" x14ac:dyDescent="0.25">
      <c r="A640" s="7">
        <v>46261.583333333336</v>
      </c>
      <c r="B640" s="6">
        <v>2296.35</v>
      </c>
      <c r="C640" s="13">
        <v>60.84</v>
      </c>
      <c r="D640" s="18">
        <f t="shared" si="99"/>
        <v>2357.19</v>
      </c>
      <c r="E640" s="14">
        <v>0</v>
      </c>
      <c r="F640" s="18">
        <f t="shared" si="103"/>
        <v>0</v>
      </c>
      <c r="G640" s="18">
        <f t="shared" si="104"/>
        <v>0</v>
      </c>
      <c r="H640" s="14">
        <v>4.68</v>
      </c>
      <c r="I640" s="18">
        <f t="shared" si="105"/>
        <v>4.68</v>
      </c>
      <c r="J640" s="18">
        <f t="shared" si="106"/>
        <v>0</v>
      </c>
      <c r="K640" s="14">
        <v>58.2</v>
      </c>
      <c r="L640" s="18">
        <f t="shared" si="107"/>
        <v>58.2</v>
      </c>
      <c r="M640" s="18">
        <f t="shared" si="108"/>
        <v>0</v>
      </c>
      <c r="N640" s="15">
        <f t="shared" si="109"/>
        <v>62.88</v>
      </c>
      <c r="O640" s="15">
        <f t="shared" si="100"/>
        <v>62.88</v>
      </c>
      <c r="P640" s="15">
        <f t="shared" si="101"/>
        <v>0</v>
      </c>
      <c r="Q640" s="5">
        <f t="shared" si="102"/>
        <v>0</v>
      </c>
    </row>
    <row r="641" spans="1:17" x14ac:dyDescent="0.25">
      <c r="A641" s="7">
        <v>46261.625</v>
      </c>
      <c r="B641" s="6">
        <v>1203.3</v>
      </c>
      <c r="C641" s="13">
        <v>20.52</v>
      </c>
      <c r="D641" s="18">
        <f t="shared" si="99"/>
        <v>1223.82</v>
      </c>
      <c r="E641" s="14">
        <v>0</v>
      </c>
      <c r="F641" s="18">
        <f t="shared" si="103"/>
        <v>0</v>
      </c>
      <c r="G641" s="18">
        <f t="shared" si="104"/>
        <v>0</v>
      </c>
      <c r="H641" s="14">
        <v>14.28</v>
      </c>
      <c r="I641" s="18">
        <f t="shared" si="105"/>
        <v>14.28</v>
      </c>
      <c r="J641" s="18">
        <f t="shared" si="106"/>
        <v>0</v>
      </c>
      <c r="K641" s="14">
        <v>38.159999999999997</v>
      </c>
      <c r="L641" s="18">
        <f t="shared" si="107"/>
        <v>38.159999999999997</v>
      </c>
      <c r="M641" s="18">
        <f t="shared" si="108"/>
        <v>0</v>
      </c>
      <c r="N641" s="15">
        <f t="shared" si="109"/>
        <v>52.44</v>
      </c>
      <c r="O641" s="15">
        <f t="shared" si="100"/>
        <v>52.44</v>
      </c>
      <c r="P641" s="15">
        <f t="shared" si="101"/>
        <v>0</v>
      </c>
      <c r="Q641" s="5">
        <f t="shared" si="102"/>
        <v>0</v>
      </c>
    </row>
    <row r="642" spans="1:17" x14ac:dyDescent="0.25">
      <c r="A642" s="7">
        <v>46261.666666666664</v>
      </c>
      <c r="B642" s="6">
        <v>1061.55</v>
      </c>
      <c r="C642" s="13">
        <v>21.6</v>
      </c>
      <c r="D642" s="18">
        <f t="shared" ref="D642:D705" si="110">+B642+C642</f>
        <v>1083.1499999999999</v>
      </c>
      <c r="E642" s="14">
        <v>0</v>
      </c>
      <c r="F642" s="18">
        <f t="shared" si="103"/>
        <v>0</v>
      </c>
      <c r="G642" s="18">
        <f t="shared" si="104"/>
        <v>0</v>
      </c>
      <c r="H642" s="14">
        <v>8.64</v>
      </c>
      <c r="I642" s="18">
        <f t="shared" si="105"/>
        <v>8.64</v>
      </c>
      <c r="J642" s="18">
        <f t="shared" si="106"/>
        <v>0</v>
      </c>
      <c r="K642" s="14">
        <v>40.44</v>
      </c>
      <c r="L642" s="18">
        <f t="shared" si="107"/>
        <v>40.44</v>
      </c>
      <c r="M642" s="18">
        <f t="shared" si="108"/>
        <v>0</v>
      </c>
      <c r="N642" s="15">
        <f t="shared" si="109"/>
        <v>49.08</v>
      </c>
      <c r="O642" s="15">
        <f t="shared" ref="O642:O705" si="111">+N642-P642</f>
        <v>49.08</v>
      </c>
      <c r="P642" s="15">
        <f t="shared" ref="P642:P705" si="112">+IF(N642&gt;D642,N642-D642,0)</f>
        <v>0</v>
      </c>
      <c r="Q642" s="5">
        <f t="shared" ref="Q642:Q705" si="113">+IF(P642=0,P642,P642/N642)</f>
        <v>0</v>
      </c>
    </row>
    <row r="643" spans="1:17" x14ac:dyDescent="0.25">
      <c r="A643" s="7">
        <v>46261.708333333336</v>
      </c>
      <c r="B643" s="6">
        <v>349.65</v>
      </c>
      <c r="C643" s="13">
        <v>0</v>
      </c>
      <c r="D643" s="18">
        <f t="shared" si="110"/>
        <v>349.65</v>
      </c>
      <c r="E643" s="14">
        <v>0</v>
      </c>
      <c r="F643" s="18">
        <f t="shared" ref="F643:F706" si="114">+E643-G643</f>
        <v>0</v>
      </c>
      <c r="G643" s="18">
        <f t="shared" ref="G643:G706" si="115">+E643*Q643</f>
        <v>0</v>
      </c>
      <c r="H643" s="14">
        <v>48.72</v>
      </c>
      <c r="I643" s="18">
        <f t="shared" ref="I643:I706" si="116">+H643-J643</f>
        <v>48.72</v>
      </c>
      <c r="J643" s="18">
        <f t="shared" ref="J643:J706" si="117">+H643*Q643</f>
        <v>0</v>
      </c>
      <c r="K643" s="14">
        <v>49.08</v>
      </c>
      <c r="L643" s="18">
        <f t="shared" ref="L643:L706" si="118">+K643-M643</f>
        <v>49.08</v>
      </c>
      <c r="M643" s="18">
        <f t="shared" ref="M643:M706" si="119">+K643*Q643</f>
        <v>0</v>
      </c>
      <c r="N643" s="15">
        <f t="shared" ref="N643:N706" si="120">+E643+H643+K643</f>
        <v>97.8</v>
      </c>
      <c r="O643" s="15">
        <f t="shared" si="111"/>
        <v>97.8</v>
      </c>
      <c r="P643" s="15">
        <f t="shared" si="112"/>
        <v>0</v>
      </c>
      <c r="Q643" s="5">
        <f t="shared" si="113"/>
        <v>0</v>
      </c>
    </row>
    <row r="644" spans="1:17" x14ac:dyDescent="0.25">
      <c r="A644" s="7">
        <v>46261.75</v>
      </c>
      <c r="B644" s="6">
        <v>40.950000000000003</v>
      </c>
      <c r="C644" s="13">
        <v>0</v>
      </c>
      <c r="D644" s="18">
        <f t="shared" si="110"/>
        <v>40.950000000000003</v>
      </c>
      <c r="E644" s="14">
        <v>25.2</v>
      </c>
      <c r="F644" s="18">
        <f t="shared" si="114"/>
        <v>11.8125</v>
      </c>
      <c r="G644" s="18">
        <f t="shared" si="115"/>
        <v>13.387499999999999</v>
      </c>
      <c r="H644" s="14">
        <v>39.6</v>
      </c>
      <c r="I644" s="18">
        <f t="shared" si="116"/>
        <v>18.5625</v>
      </c>
      <c r="J644" s="18">
        <f t="shared" si="117"/>
        <v>21.037500000000001</v>
      </c>
      <c r="K644" s="14">
        <v>22.56</v>
      </c>
      <c r="L644" s="18">
        <f t="shared" si="118"/>
        <v>10.574999999999999</v>
      </c>
      <c r="M644" s="18">
        <f t="shared" si="119"/>
        <v>11.984999999999999</v>
      </c>
      <c r="N644" s="15">
        <f t="shared" si="120"/>
        <v>87.36</v>
      </c>
      <c r="O644" s="15">
        <f t="shared" si="111"/>
        <v>40.950000000000003</v>
      </c>
      <c r="P644" s="15">
        <f t="shared" si="112"/>
        <v>46.41</v>
      </c>
      <c r="Q644" s="5">
        <f t="shared" si="113"/>
        <v>0.53125</v>
      </c>
    </row>
    <row r="645" spans="1:17" x14ac:dyDescent="0.25">
      <c r="A645" s="7">
        <v>46261.791666666664</v>
      </c>
      <c r="B645" s="6">
        <v>0</v>
      </c>
      <c r="C645" s="13">
        <v>0</v>
      </c>
      <c r="D645" s="18">
        <f t="shared" si="110"/>
        <v>0</v>
      </c>
      <c r="E645" s="14">
        <v>214.2</v>
      </c>
      <c r="F645" s="18">
        <f t="shared" si="114"/>
        <v>0</v>
      </c>
      <c r="G645" s="18">
        <f t="shared" si="115"/>
        <v>214.2</v>
      </c>
      <c r="H645" s="14">
        <v>44.88</v>
      </c>
      <c r="I645" s="18">
        <f t="shared" si="116"/>
        <v>0</v>
      </c>
      <c r="J645" s="18">
        <f t="shared" si="117"/>
        <v>44.88</v>
      </c>
      <c r="K645" s="14">
        <v>9.48</v>
      </c>
      <c r="L645" s="18">
        <f t="shared" si="118"/>
        <v>0</v>
      </c>
      <c r="M645" s="18">
        <f t="shared" si="119"/>
        <v>9.48</v>
      </c>
      <c r="N645" s="15">
        <f t="shared" si="120"/>
        <v>268.56</v>
      </c>
      <c r="O645" s="15">
        <f t="shared" si="111"/>
        <v>0</v>
      </c>
      <c r="P645" s="15">
        <f t="shared" si="112"/>
        <v>268.56</v>
      </c>
      <c r="Q645" s="5">
        <f t="shared" si="113"/>
        <v>1</v>
      </c>
    </row>
    <row r="646" spans="1:17" x14ac:dyDescent="0.25">
      <c r="A646" s="7">
        <v>46261.833333333336</v>
      </c>
      <c r="B646" s="6">
        <v>0</v>
      </c>
      <c r="C646" s="13">
        <v>0</v>
      </c>
      <c r="D646" s="18">
        <f t="shared" si="110"/>
        <v>0</v>
      </c>
      <c r="E646" s="14">
        <v>34.65</v>
      </c>
      <c r="F646" s="18">
        <f t="shared" si="114"/>
        <v>0</v>
      </c>
      <c r="G646" s="18">
        <f t="shared" si="115"/>
        <v>34.65</v>
      </c>
      <c r="H646" s="14">
        <v>32.159999999999997</v>
      </c>
      <c r="I646" s="18">
        <f t="shared" si="116"/>
        <v>0</v>
      </c>
      <c r="J646" s="18">
        <f t="shared" si="117"/>
        <v>32.159999999999997</v>
      </c>
      <c r="K646" s="14">
        <v>2.04</v>
      </c>
      <c r="L646" s="18">
        <f t="shared" si="118"/>
        <v>0</v>
      </c>
      <c r="M646" s="18">
        <f t="shared" si="119"/>
        <v>2.04</v>
      </c>
      <c r="N646" s="15">
        <f t="shared" si="120"/>
        <v>68.850000000000009</v>
      </c>
      <c r="O646" s="15">
        <f t="shared" si="111"/>
        <v>0</v>
      </c>
      <c r="P646" s="15">
        <f t="shared" si="112"/>
        <v>68.850000000000009</v>
      </c>
      <c r="Q646" s="5">
        <f t="shared" si="113"/>
        <v>1</v>
      </c>
    </row>
    <row r="647" spans="1:17" x14ac:dyDescent="0.25">
      <c r="A647" s="7">
        <v>46261.875</v>
      </c>
      <c r="B647" s="6">
        <v>0</v>
      </c>
      <c r="C647" s="13">
        <v>0</v>
      </c>
      <c r="D647" s="18">
        <f t="shared" si="110"/>
        <v>0</v>
      </c>
      <c r="E647" s="14">
        <v>34.65</v>
      </c>
      <c r="F647" s="18">
        <f t="shared" si="114"/>
        <v>0</v>
      </c>
      <c r="G647" s="18">
        <f t="shared" si="115"/>
        <v>34.65</v>
      </c>
      <c r="H647" s="14">
        <v>36.6</v>
      </c>
      <c r="I647" s="18">
        <f t="shared" si="116"/>
        <v>0</v>
      </c>
      <c r="J647" s="18">
        <f t="shared" si="117"/>
        <v>36.6</v>
      </c>
      <c r="K647" s="14">
        <v>2.16</v>
      </c>
      <c r="L647" s="18">
        <f t="shared" si="118"/>
        <v>0</v>
      </c>
      <c r="M647" s="18">
        <f t="shared" si="119"/>
        <v>2.16</v>
      </c>
      <c r="N647" s="15">
        <f t="shared" si="120"/>
        <v>73.41</v>
      </c>
      <c r="O647" s="15">
        <f t="shared" si="111"/>
        <v>0</v>
      </c>
      <c r="P647" s="15">
        <f t="shared" si="112"/>
        <v>73.41</v>
      </c>
      <c r="Q647" s="5">
        <f t="shared" si="113"/>
        <v>1</v>
      </c>
    </row>
    <row r="648" spans="1:17" x14ac:dyDescent="0.25">
      <c r="A648" s="7">
        <v>46261.916666666664</v>
      </c>
      <c r="B648" s="6">
        <v>0</v>
      </c>
      <c r="C648" s="13">
        <v>0</v>
      </c>
      <c r="D648" s="18">
        <f t="shared" si="110"/>
        <v>0</v>
      </c>
      <c r="E648" s="14">
        <v>37.799999999999997</v>
      </c>
      <c r="F648" s="18">
        <f t="shared" si="114"/>
        <v>0</v>
      </c>
      <c r="G648" s="18">
        <f t="shared" si="115"/>
        <v>37.799999999999997</v>
      </c>
      <c r="H648" s="14">
        <v>34.200000000000003</v>
      </c>
      <c r="I648" s="18">
        <f t="shared" si="116"/>
        <v>0</v>
      </c>
      <c r="J648" s="18">
        <f t="shared" si="117"/>
        <v>34.200000000000003</v>
      </c>
      <c r="K648" s="14">
        <v>2.4</v>
      </c>
      <c r="L648" s="18">
        <f t="shared" si="118"/>
        <v>0</v>
      </c>
      <c r="M648" s="18">
        <f t="shared" si="119"/>
        <v>2.4</v>
      </c>
      <c r="N648" s="15">
        <f t="shared" si="120"/>
        <v>74.400000000000006</v>
      </c>
      <c r="O648" s="15">
        <f t="shared" si="111"/>
        <v>0</v>
      </c>
      <c r="P648" s="15">
        <f t="shared" si="112"/>
        <v>74.400000000000006</v>
      </c>
      <c r="Q648" s="5">
        <f t="shared" si="113"/>
        <v>1</v>
      </c>
    </row>
    <row r="649" spans="1:17" x14ac:dyDescent="0.25">
      <c r="A649" s="7">
        <v>46261.958333333336</v>
      </c>
      <c r="B649" s="6">
        <v>0</v>
      </c>
      <c r="C649" s="13">
        <v>0</v>
      </c>
      <c r="D649" s="18">
        <f t="shared" si="110"/>
        <v>0</v>
      </c>
      <c r="E649" s="14">
        <v>34.65</v>
      </c>
      <c r="F649" s="18">
        <f t="shared" si="114"/>
        <v>0</v>
      </c>
      <c r="G649" s="18">
        <f t="shared" si="115"/>
        <v>34.65</v>
      </c>
      <c r="H649" s="14">
        <v>30.36</v>
      </c>
      <c r="I649" s="18">
        <f t="shared" si="116"/>
        <v>0</v>
      </c>
      <c r="J649" s="18">
        <f t="shared" si="117"/>
        <v>30.36</v>
      </c>
      <c r="K649" s="14">
        <v>2.2799999999999998</v>
      </c>
      <c r="L649" s="18">
        <f t="shared" si="118"/>
        <v>0</v>
      </c>
      <c r="M649" s="18">
        <f t="shared" si="119"/>
        <v>2.2799999999999998</v>
      </c>
      <c r="N649" s="15">
        <f t="shared" si="120"/>
        <v>67.289999999999992</v>
      </c>
      <c r="O649" s="15">
        <f t="shared" si="111"/>
        <v>0</v>
      </c>
      <c r="P649" s="15">
        <f t="shared" si="112"/>
        <v>67.289999999999992</v>
      </c>
      <c r="Q649" s="5">
        <f t="shared" si="113"/>
        <v>1</v>
      </c>
    </row>
    <row r="650" spans="1:17" x14ac:dyDescent="0.25">
      <c r="A650" s="7">
        <v>46262</v>
      </c>
      <c r="B650" s="6">
        <v>0</v>
      </c>
      <c r="C650" s="13">
        <v>0</v>
      </c>
      <c r="D650" s="18">
        <f t="shared" si="110"/>
        <v>0</v>
      </c>
      <c r="E650" s="14">
        <v>34.65</v>
      </c>
      <c r="F650" s="18">
        <f t="shared" si="114"/>
        <v>0</v>
      </c>
      <c r="G650" s="18">
        <f t="shared" si="115"/>
        <v>34.65</v>
      </c>
      <c r="H650" s="14">
        <v>32.520000000000003</v>
      </c>
      <c r="I650" s="18">
        <f t="shared" si="116"/>
        <v>0</v>
      </c>
      <c r="J650" s="18">
        <f t="shared" si="117"/>
        <v>32.520000000000003</v>
      </c>
      <c r="K650" s="14">
        <v>2.16</v>
      </c>
      <c r="L650" s="18">
        <f t="shared" si="118"/>
        <v>0</v>
      </c>
      <c r="M650" s="18">
        <f t="shared" si="119"/>
        <v>2.16</v>
      </c>
      <c r="N650" s="15">
        <f t="shared" si="120"/>
        <v>69.33</v>
      </c>
      <c r="O650" s="15">
        <f t="shared" si="111"/>
        <v>0</v>
      </c>
      <c r="P650" s="15">
        <f t="shared" si="112"/>
        <v>69.33</v>
      </c>
      <c r="Q650" s="5">
        <f t="shared" si="113"/>
        <v>1</v>
      </c>
    </row>
    <row r="651" spans="1:17" x14ac:dyDescent="0.25">
      <c r="A651" s="7">
        <v>46262.041666666664</v>
      </c>
      <c r="B651" s="6">
        <v>0</v>
      </c>
      <c r="C651" s="13">
        <v>0</v>
      </c>
      <c r="D651" s="18">
        <f t="shared" si="110"/>
        <v>0</v>
      </c>
      <c r="E651" s="14">
        <v>34.65</v>
      </c>
      <c r="F651" s="18">
        <f t="shared" si="114"/>
        <v>0</v>
      </c>
      <c r="G651" s="18">
        <f t="shared" si="115"/>
        <v>34.65</v>
      </c>
      <c r="H651" s="14">
        <v>34.200000000000003</v>
      </c>
      <c r="I651" s="18">
        <f t="shared" si="116"/>
        <v>0</v>
      </c>
      <c r="J651" s="18">
        <f t="shared" si="117"/>
        <v>34.200000000000003</v>
      </c>
      <c r="K651" s="14">
        <v>1.92</v>
      </c>
      <c r="L651" s="18">
        <f t="shared" si="118"/>
        <v>0</v>
      </c>
      <c r="M651" s="18">
        <f t="shared" si="119"/>
        <v>1.92</v>
      </c>
      <c r="N651" s="15">
        <f t="shared" si="120"/>
        <v>70.77</v>
      </c>
      <c r="O651" s="15">
        <f t="shared" si="111"/>
        <v>0</v>
      </c>
      <c r="P651" s="15">
        <f t="shared" si="112"/>
        <v>70.77</v>
      </c>
      <c r="Q651" s="5">
        <f t="shared" si="113"/>
        <v>1</v>
      </c>
    </row>
    <row r="652" spans="1:17" x14ac:dyDescent="0.25">
      <c r="A652" s="7">
        <v>46262.083333333336</v>
      </c>
      <c r="B652" s="6">
        <v>0</v>
      </c>
      <c r="C652" s="13">
        <v>0</v>
      </c>
      <c r="D652" s="18">
        <f t="shared" si="110"/>
        <v>0</v>
      </c>
      <c r="E652" s="14">
        <v>34.65</v>
      </c>
      <c r="F652" s="18">
        <f t="shared" si="114"/>
        <v>0</v>
      </c>
      <c r="G652" s="18">
        <f t="shared" si="115"/>
        <v>34.65</v>
      </c>
      <c r="H652" s="14">
        <v>34.08</v>
      </c>
      <c r="I652" s="18">
        <f t="shared" si="116"/>
        <v>0</v>
      </c>
      <c r="J652" s="18">
        <f t="shared" si="117"/>
        <v>34.08</v>
      </c>
      <c r="K652" s="14">
        <v>3.48</v>
      </c>
      <c r="L652" s="18">
        <f t="shared" si="118"/>
        <v>0</v>
      </c>
      <c r="M652" s="18">
        <f t="shared" si="119"/>
        <v>3.48</v>
      </c>
      <c r="N652" s="15">
        <f t="shared" si="120"/>
        <v>72.209999999999994</v>
      </c>
      <c r="O652" s="15">
        <f t="shared" si="111"/>
        <v>0</v>
      </c>
      <c r="P652" s="15">
        <f t="shared" si="112"/>
        <v>72.209999999999994</v>
      </c>
      <c r="Q652" s="5">
        <f t="shared" si="113"/>
        <v>1</v>
      </c>
    </row>
    <row r="653" spans="1:17" x14ac:dyDescent="0.25">
      <c r="A653" s="7">
        <v>46262.125</v>
      </c>
      <c r="B653" s="6">
        <v>0</v>
      </c>
      <c r="C653" s="13">
        <v>0</v>
      </c>
      <c r="D653" s="18">
        <f t="shared" si="110"/>
        <v>0</v>
      </c>
      <c r="E653" s="14">
        <v>37.799999999999997</v>
      </c>
      <c r="F653" s="18">
        <f t="shared" si="114"/>
        <v>0</v>
      </c>
      <c r="G653" s="18">
        <f t="shared" si="115"/>
        <v>37.799999999999997</v>
      </c>
      <c r="H653" s="14">
        <v>30.72</v>
      </c>
      <c r="I653" s="18">
        <f t="shared" si="116"/>
        <v>0</v>
      </c>
      <c r="J653" s="18">
        <f t="shared" si="117"/>
        <v>30.72</v>
      </c>
      <c r="K653" s="14">
        <v>1.92</v>
      </c>
      <c r="L653" s="18">
        <f t="shared" si="118"/>
        <v>0</v>
      </c>
      <c r="M653" s="18">
        <f t="shared" si="119"/>
        <v>1.92</v>
      </c>
      <c r="N653" s="15">
        <f t="shared" si="120"/>
        <v>70.44</v>
      </c>
      <c r="O653" s="15">
        <f t="shared" si="111"/>
        <v>0</v>
      </c>
      <c r="P653" s="15">
        <f t="shared" si="112"/>
        <v>70.44</v>
      </c>
      <c r="Q653" s="5">
        <f t="shared" si="113"/>
        <v>1</v>
      </c>
    </row>
    <row r="654" spans="1:17" x14ac:dyDescent="0.25">
      <c r="A654" s="7">
        <v>46262.166666666664</v>
      </c>
      <c r="B654" s="6">
        <v>0</v>
      </c>
      <c r="C654" s="13">
        <v>0</v>
      </c>
      <c r="D654" s="18">
        <f t="shared" si="110"/>
        <v>0</v>
      </c>
      <c r="E654" s="14">
        <v>34.65</v>
      </c>
      <c r="F654" s="18">
        <f t="shared" si="114"/>
        <v>0</v>
      </c>
      <c r="G654" s="18">
        <f t="shared" si="115"/>
        <v>34.65</v>
      </c>
      <c r="H654" s="14">
        <v>34.44</v>
      </c>
      <c r="I654" s="18">
        <f t="shared" si="116"/>
        <v>0</v>
      </c>
      <c r="J654" s="18">
        <f t="shared" si="117"/>
        <v>34.44</v>
      </c>
      <c r="K654" s="14">
        <v>1.92</v>
      </c>
      <c r="L654" s="18">
        <f t="shared" si="118"/>
        <v>0</v>
      </c>
      <c r="M654" s="18">
        <f t="shared" si="119"/>
        <v>1.92</v>
      </c>
      <c r="N654" s="15">
        <f t="shared" si="120"/>
        <v>71.010000000000005</v>
      </c>
      <c r="O654" s="15">
        <f t="shared" si="111"/>
        <v>0</v>
      </c>
      <c r="P654" s="15">
        <f t="shared" si="112"/>
        <v>71.010000000000005</v>
      </c>
      <c r="Q654" s="5">
        <f t="shared" si="113"/>
        <v>1</v>
      </c>
    </row>
    <row r="655" spans="1:17" x14ac:dyDescent="0.25">
      <c r="A655" s="7">
        <v>46262.208333333336</v>
      </c>
      <c r="B655" s="6">
        <v>0</v>
      </c>
      <c r="C655" s="13">
        <v>0</v>
      </c>
      <c r="D655" s="18">
        <f t="shared" si="110"/>
        <v>0</v>
      </c>
      <c r="E655" s="14">
        <v>37.799999999999997</v>
      </c>
      <c r="F655" s="18">
        <f t="shared" si="114"/>
        <v>0</v>
      </c>
      <c r="G655" s="18">
        <f t="shared" si="115"/>
        <v>37.799999999999997</v>
      </c>
      <c r="H655" s="14">
        <v>39.119999999999997</v>
      </c>
      <c r="I655" s="18">
        <f t="shared" si="116"/>
        <v>0</v>
      </c>
      <c r="J655" s="18">
        <f t="shared" si="117"/>
        <v>39.119999999999997</v>
      </c>
      <c r="K655" s="14">
        <v>2.16</v>
      </c>
      <c r="L655" s="18">
        <f t="shared" si="118"/>
        <v>0</v>
      </c>
      <c r="M655" s="18">
        <f t="shared" si="119"/>
        <v>2.16</v>
      </c>
      <c r="N655" s="15">
        <f t="shared" si="120"/>
        <v>79.079999999999984</v>
      </c>
      <c r="O655" s="15">
        <f t="shared" si="111"/>
        <v>0</v>
      </c>
      <c r="P655" s="15">
        <f t="shared" si="112"/>
        <v>79.079999999999984</v>
      </c>
      <c r="Q655" s="5">
        <f t="shared" si="113"/>
        <v>1</v>
      </c>
    </row>
    <row r="656" spans="1:17" x14ac:dyDescent="0.25">
      <c r="A656" s="7">
        <v>46262.25</v>
      </c>
      <c r="B656" s="6">
        <v>0</v>
      </c>
      <c r="C656" s="13">
        <v>0</v>
      </c>
      <c r="D656" s="18">
        <f t="shared" si="110"/>
        <v>0</v>
      </c>
      <c r="E656" s="14">
        <v>34.65</v>
      </c>
      <c r="F656" s="18">
        <f t="shared" si="114"/>
        <v>0</v>
      </c>
      <c r="G656" s="18">
        <f t="shared" si="115"/>
        <v>34.65</v>
      </c>
      <c r="H656" s="14">
        <v>53.4</v>
      </c>
      <c r="I656" s="18">
        <f t="shared" si="116"/>
        <v>0</v>
      </c>
      <c r="J656" s="18">
        <f t="shared" si="117"/>
        <v>53.4</v>
      </c>
      <c r="K656" s="14">
        <v>2.64</v>
      </c>
      <c r="L656" s="18">
        <f t="shared" si="118"/>
        <v>0</v>
      </c>
      <c r="M656" s="18">
        <f t="shared" si="119"/>
        <v>2.64</v>
      </c>
      <c r="N656" s="15">
        <f t="shared" si="120"/>
        <v>90.69</v>
      </c>
      <c r="O656" s="15">
        <f t="shared" si="111"/>
        <v>0</v>
      </c>
      <c r="P656" s="15">
        <f t="shared" si="112"/>
        <v>90.69</v>
      </c>
      <c r="Q656" s="5">
        <f t="shared" si="113"/>
        <v>1</v>
      </c>
    </row>
    <row r="657" spans="1:17" x14ac:dyDescent="0.25">
      <c r="A657" s="7">
        <v>46262.291666666664</v>
      </c>
      <c r="B657" s="6">
        <v>239.4</v>
      </c>
      <c r="C657" s="13">
        <v>0.84</v>
      </c>
      <c r="D657" s="18">
        <f t="shared" si="110"/>
        <v>240.24</v>
      </c>
      <c r="E657" s="14">
        <v>3.15</v>
      </c>
      <c r="F657" s="18">
        <f t="shared" si="114"/>
        <v>3.15</v>
      </c>
      <c r="G657" s="18">
        <f t="shared" si="115"/>
        <v>0</v>
      </c>
      <c r="H657" s="14">
        <v>13.68</v>
      </c>
      <c r="I657" s="18">
        <f t="shared" si="116"/>
        <v>13.68</v>
      </c>
      <c r="J657" s="18">
        <f t="shared" si="117"/>
        <v>0</v>
      </c>
      <c r="K657" s="14">
        <v>6.12</v>
      </c>
      <c r="L657" s="18">
        <f t="shared" si="118"/>
        <v>6.12</v>
      </c>
      <c r="M657" s="18">
        <f t="shared" si="119"/>
        <v>0</v>
      </c>
      <c r="N657" s="15">
        <f t="shared" si="120"/>
        <v>22.95</v>
      </c>
      <c r="O657" s="15">
        <f t="shared" si="111"/>
        <v>22.95</v>
      </c>
      <c r="P657" s="15">
        <f t="shared" si="112"/>
        <v>0</v>
      </c>
      <c r="Q657" s="5">
        <f t="shared" si="113"/>
        <v>0</v>
      </c>
    </row>
    <row r="658" spans="1:17" x14ac:dyDescent="0.25">
      <c r="A658" s="7">
        <v>46262.333333333336</v>
      </c>
      <c r="B658" s="6">
        <v>573.29999999999995</v>
      </c>
      <c r="C658" s="13">
        <v>0.12</v>
      </c>
      <c r="D658" s="18">
        <f t="shared" si="110"/>
        <v>573.41999999999996</v>
      </c>
      <c r="E658" s="14">
        <v>6.3</v>
      </c>
      <c r="F658" s="18">
        <f t="shared" si="114"/>
        <v>6.3</v>
      </c>
      <c r="G658" s="18">
        <f t="shared" si="115"/>
        <v>0</v>
      </c>
      <c r="H658" s="14">
        <v>139.19999999999999</v>
      </c>
      <c r="I658" s="18">
        <f t="shared" si="116"/>
        <v>139.19999999999999</v>
      </c>
      <c r="J658" s="18">
        <f t="shared" si="117"/>
        <v>0</v>
      </c>
      <c r="K658" s="14">
        <v>18.72</v>
      </c>
      <c r="L658" s="18">
        <f t="shared" si="118"/>
        <v>18.72</v>
      </c>
      <c r="M658" s="18">
        <f t="shared" si="119"/>
        <v>0</v>
      </c>
      <c r="N658" s="15">
        <f t="shared" si="120"/>
        <v>164.22</v>
      </c>
      <c r="O658" s="15">
        <f t="shared" si="111"/>
        <v>164.22</v>
      </c>
      <c r="P658" s="15">
        <f t="shared" si="112"/>
        <v>0</v>
      </c>
      <c r="Q658" s="5">
        <f t="shared" si="113"/>
        <v>0</v>
      </c>
    </row>
    <row r="659" spans="1:17" x14ac:dyDescent="0.25">
      <c r="A659" s="7">
        <v>46262.375</v>
      </c>
      <c r="B659" s="6">
        <v>1304.0999999999999</v>
      </c>
      <c r="C659" s="13">
        <v>0.12</v>
      </c>
      <c r="D659" s="18">
        <f t="shared" si="110"/>
        <v>1304.2199999999998</v>
      </c>
      <c r="E659" s="14">
        <v>0</v>
      </c>
      <c r="F659" s="18">
        <f t="shared" si="114"/>
        <v>0</v>
      </c>
      <c r="G659" s="18">
        <f t="shared" si="115"/>
        <v>0</v>
      </c>
      <c r="H659" s="14">
        <v>70.319999999999993</v>
      </c>
      <c r="I659" s="18">
        <f t="shared" si="116"/>
        <v>70.319999999999993</v>
      </c>
      <c r="J659" s="18">
        <f t="shared" si="117"/>
        <v>0</v>
      </c>
      <c r="K659" s="14">
        <v>37.68</v>
      </c>
      <c r="L659" s="18">
        <f t="shared" si="118"/>
        <v>37.68</v>
      </c>
      <c r="M659" s="18">
        <f t="shared" si="119"/>
        <v>0</v>
      </c>
      <c r="N659" s="15">
        <f t="shared" si="120"/>
        <v>108</v>
      </c>
      <c r="O659" s="15">
        <f t="shared" si="111"/>
        <v>108</v>
      </c>
      <c r="P659" s="15">
        <f t="shared" si="112"/>
        <v>0</v>
      </c>
      <c r="Q659" s="5">
        <f t="shared" si="113"/>
        <v>0</v>
      </c>
    </row>
    <row r="660" spans="1:17" x14ac:dyDescent="0.25">
      <c r="A660" s="7">
        <v>46262.416666666664</v>
      </c>
      <c r="B660" s="6">
        <v>951.3</v>
      </c>
      <c r="C660" s="13">
        <v>0.6</v>
      </c>
      <c r="D660" s="18">
        <f t="shared" si="110"/>
        <v>951.9</v>
      </c>
      <c r="E660" s="14">
        <v>0</v>
      </c>
      <c r="F660" s="18">
        <f t="shared" si="114"/>
        <v>0</v>
      </c>
      <c r="G660" s="18">
        <f t="shared" si="115"/>
        <v>0</v>
      </c>
      <c r="H660" s="14">
        <v>78</v>
      </c>
      <c r="I660" s="18">
        <f t="shared" si="116"/>
        <v>78</v>
      </c>
      <c r="J660" s="18">
        <f t="shared" si="117"/>
        <v>0</v>
      </c>
      <c r="K660" s="14">
        <v>24.36</v>
      </c>
      <c r="L660" s="18">
        <f t="shared" si="118"/>
        <v>24.36</v>
      </c>
      <c r="M660" s="18">
        <f t="shared" si="119"/>
        <v>0</v>
      </c>
      <c r="N660" s="15">
        <f t="shared" si="120"/>
        <v>102.36</v>
      </c>
      <c r="O660" s="15">
        <f t="shared" si="111"/>
        <v>102.36</v>
      </c>
      <c r="P660" s="15">
        <f t="shared" si="112"/>
        <v>0</v>
      </c>
      <c r="Q660" s="5">
        <f t="shared" si="113"/>
        <v>0</v>
      </c>
    </row>
    <row r="661" spans="1:17" x14ac:dyDescent="0.25">
      <c r="A661" s="7">
        <v>46262.458333333336</v>
      </c>
      <c r="B661" s="6">
        <v>1020.6</v>
      </c>
      <c r="C661" s="13">
        <v>6.12</v>
      </c>
      <c r="D661" s="18">
        <f t="shared" si="110"/>
        <v>1026.72</v>
      </c>
      <c r="E661" s="14">
        <v>0</v>
      </c>
      <c r="F661" s="18">
        <f t="shared" si="114"/>
        <v>0</v>
      </c>
      <c r="G661" s="18">
        <f t="shared" si="115"/>
        <v>0</v>
      </c>
      <c r="H661" s="14">
        <v>63.96</v>
      </c>
      <c r="I661" s="18">
        <f t="shared" si="116"/>
        <v>63.96</v>
      </c>
      <c r="J661" s="18">
        <f t="shared" si="117"/>
        <v>0</v>
      </c>
      <c r="K661" s="14">
        <v>43.68</v>
      </c>
      <c r="L661" s="18">
        <f t="shared" si="118"/>
        <v>43.68</v>
      </c>
      <c r="M661" s="18">
        <f t="shared" si="119"/>
        <v>0</v>
      </c>
      <c r="N661" s="15">
        <f t="shared" si="120"/>
        <v>107.64</v>
      </c>
      <c r="O661" s="15">
        <f t="shared" si="111"/>
        <v>107.64</v>
      </c>
      <c r="P661" s="15">
        <f t="shared" si="112"/>
        <v>0</v>
      </c>
      <c r="Q661" s="5">
        <f t="shared" si="113"/>
        <v>0</v>
      </c>
    </row>
    <row r="662" spans="1:17" x14ac:dyDescent="0.25">
      <c r="A662" s="7">
        <v>46262.5</v>
      </c>
      <c r="B662" s="6">
        <v>1584.45</v>
      </c>
      <c r="C662" s="13">
        <v>11.28</v>
      </c>
      <c r="D662" s="18">
        <f t="shared" si="110"/>
        <v>1595.73</v>
      </c>
      <c r="E662" s="14">
        <v>0</v>
      </c>
      <c r="F662" s="18">
        <f t="shared" si="114"/>
        <v>0</v>
      </c>
      <c r="G662" s="18">
        <f t="shared" si="115"/>
        <v>0</v>
      </c>
      <c r="H662" s="14">
        <v>54.36</v>
      </c>
      <c r="I662" s="18">
        <f t="shared" si="116"/>
        <v>54.36</v>
      </c>
      <c r="J662" s="18">
        <f t="shared" si="117"/>
        <v>0</v>
      </c>
      <c r="K662" s="14">
        <v>33.24</v>
      </c>
      <c r="L662" s="18">
        <f t="shared" si="118"/>
        <v>33.24</v>
      </c>
      <c r="M662" s="18">
        <f t="shared" si="119"/>
        <v>0</v>
      </c>
      <c r="N662" s="15">
        <f t="shared" si="120"/>
        <v>87.6</v>
      </c>
      <c r="O662" s="15">
        <f t="shared" si="111"/>
        <v>87.6</v>
      </c>
      <c r="P662" s="15">
        <f t="shared" si="112"/>
        <v>0</v>
      </c>
      <c r="Q662" s="5">
        <f t="shared" si="113"/>
        <v>0</v>
      </c>
    </row>
    <row r="663" spans="1:17" x14ac:dyDescent="0.25">
      <c r="A663" s="7">
        <v>46262.541666666664</v>
      </c>
      <c r="B663" s="6">
        <v>1921.5</v>
      </c>
      <c r="C663" s="13">
        <v>5.76</v>
      </c>
      <c r="D663" s="18">
        <f t="shared" si="110"/>
        <v>1927.26</v>
      </c>
      <c r="E663" s="14">
        <v>0</v>
      </c>
      <c r="F663" s="18">
        <f t="shared" si="114"/>
        <v>0</v>
      </c>
      <c r="G663" s="18">
        <f t="shared" si="115"/>
        <v>0</v>
      </c>
      <c r="H663" s="14">
        <v>91.08</v>
      </c>
      <c r="I663" s="18">
        <f t="shared" si="116"/>
        <v>91.08</v>
      </c>
      <c r="J663" s="18">
        <f t="shared" si="117"/>
        <v>0</v>
      </c>
      <c r="K663" s="14">
        <v>32.76</v>
      </c>
      <c r="L663" s="18">
        <f t="shared" si="118"/>
        <v>32.76</v>
      </c>
      <c r="M663" s="18">
        <f t="shared" si="119"/>
        <v>0</v>
      </c>
      <c r="N663" s="15">
        <f t="shared" si="120"/>
        <v>123.84</v>
      </c>
      <c r="O663" s="15">
        <f t="shared" si="111"/>
        <v>123.84</v>
      </c>
      <c r="P663" s="15">
        <f t="shared" si="112"/>
        <v>0</v>
      </c>
      <c r="Q663" s="5">
        <f t="shared" si="113"/>
        <v>0</v>
      </c>
    </row>
    <row r="664" spans="1:17" x14ac:dyDescent="0.25">
      <c r="A664" s="7">
        <v>46262.583333333336</v>
      </c>
      <c r="B664" s="6">
        <v>488.25</v>
      </c>
      <c r="C664" s="13">
        <v>0.84</v>
      </c>
      <c r="D664" s="18">
        <f t="shared" si="110"/>
        <v>489.09</v>
      </c>
      <c r="E664" s="14">
        <v>25.2</v>
      </c>
      <c r="F664" s="18">
        <f t="shared" si="114"/>
        <v>25.2</v>
      </c>
      <c r="G664" s="18">
        <f t="shared" si="115"/>
        <v>0</v>
      </c>
      <c r="H664" s="14">
        <v>136.44</v>
      </c>
      <c r="I664" s="18">
        <f t="shared" si="116"/>
        <v>136.44</v>
      </c>
      <c r="J664" s="18">
        <f t="shared" si="117"/>
        <v>0</v>
      </c>
      <c r="K664" s="14">
        <v>21.48</v>
      </c>
      <c r="L664" s="18">
        <f t="shared" si="118"/>
        <v>21.48</v>
      </c>
      <c r="M664" s="18">
        <f t="shared" si="119"/>
        <v>0</v>
      </c>
      <c r="N664" s="15">
        <f t="shared" si="120"/>
        <v>183.11999999999998</v>
      </c>
      <c r="O664" s="15">
        <f t="shared" si="111"/>
        <v>183.11999999999998</v>
      </c>
      <c r="P664" s="15">
        <f t="shared" si="112"/>
        <v>0</v>
      </c>
      <c r="Q664" s="5">
        <f t="shared" si="113"/>
        <v>0</v>
      </c>
    </row>
    <row r="665" spans="1:17" x14ac:dyDescent="0.25">
      <c r="A665" s="7">
        <v>46262.625</v>
      </c>
      <c r="B665" s="6">
        <v>1011.15</v>
      </c>
      <c r="C665" s="13">
        <v>0.12</v>
      </c>
      <c r="D665" s="18">
        <f t="shared" si="110"/>
        <v>1011.27</v>
      </c>
      <c r="E665" s="14">
        <v>34.65</v>
      </c>
      <c r="F665" s="18">
        <f t="shared" si="114"/>
        <v>34.65</v>
      </c>
      <c r="G665" s="18">
        <f t="shared" si="115"/>
        <v>0</v>
      </c>
      <c r="H665" s="14">
        <v>112.2</v>
      </c>
      <c r="I665" s="18">
        <f t="shared" si="116"/>
        <v>112.2</v>
      </c>
      <c r="J665" s="18">
        <f t="shared" si="117"/>
        <v>0</v>
      </c>
      <c r="K665" s="14">
        <v>39.96</v>
      </c>
      <c r="L665" s="18">
        <f t="shared" si="118"/>
        <v>39.96</v>
      </c>
      <c r="M665" s="18">
        <f t="shared" si="119"/>
        <v>0</v>
      </c>
      <c r="N665" s="15">
        <f t="shared" si="120"/>
        <v>186.81</v>
      </c>
      <c r="O665" s="15">
        <f t="shared" si="111"/>
        <v>186.81</v>
      </c>
      <c r="P665" s="15">
        <f t="shared" si="112"/>
        <v>0</v>
      </c>
      <c r="Q665" s="5">
        <f t="shared" si="113"/>
        <v>0</v>
      </c>
    </row>
    <row r="666" spans="1:17" x14ac:dyDescent="0.25">
      <c r="A666" s="7">
        <v>46262.666666666664</v>
      </c>
      <c r="B666" s="6">
        <v>261.45</v>
      </c>
      <c r="C666" s="13">
        <v>0</v>
      </c>
      <c r="D666" s="18">
        <f t="shared" si="110"/>
        <v>261.45</v>
      </c>
      <c r="E666" s="14">
        <v>53.55</v>
      </c>
      <c r="F666" s="18">
        <f t="shared" si="114"/>
        <v>53.55</v>
      </c>
      <c r="G666" s="18">
        <f t="shared" si="115"/>
        <v>0</v>
      </c>
      <c r="H666" s="14">
        <v>136.56</v>
      </c>
      <c r="I666" s="18">
        <f t="shared" si="116"/>
        <v>136.56</v>
      </c>
      <c r="J666" s="18">
        <f t="shared" si="117"/>
        <v>0</v>
      </c>
      <c r="K666" s="14">
        <v>23.16</v>
      </c>
      <c r="L666" s="18">
        <f t="shared" si="118"/>
        <v>23.16</v>
      </c>
      <c r="M666" s="18">
        <f t="shared" si="119"/>
        <v>0</v>
      </c>
      <c r="N666" s="15">
        <f t="shared" si="120"/>
        <v>213.27</v>
      </c>
      <c r="O666" s="15">
        <f t="shared" si="111"/>
        <v>213.27</v>
      </c>
      <c r="P666" s="15">
        <f t="shared" si="112"/>
        <v>0</v>
      </c>
      <c r="Q666" s="5">
        <f t="shared" si="113"/>
        <v>0</v>
      </c>
    </row>
    <row r="667" spans="1:17" x14ac:dyDescent="0.25">
      <c r="A667" s="7">
        <v>46262.708333333336</v>
      </c>
      <c r="B667" s="6">
        <v>25.2</v>
      </c>
      <c r="C667" s="13">
        <v>0</v>
      </c>
      <c r="D667" s="18">
        <f t="shared" si="110"/>
        <v>25.2</v>
      </c>
      <c r="E667" s="14">
        <v>589.04999999999995</v>
      </c>
      <c r="F667" s="18">
        <f t="shared" si="114"/>
        <v>20.420205521852154</v>
      </c>
      <c r="G667" s="18">
        <f t="shared" si="115"/>
        <v>568.6297944781478</v>
      </c>
      <c r="H667" s="14">
        <v>112.44</v>
      </c>
      <c r="I667" s="18">
        <f t="shared" si="116"/>
        <v>3.897882877305932</v>
      </c>
      <c r="J667" s="18">
        <f t="shared" si="117"/>
        <v>108.54211712269407</v>
      </c>
      <c r="K667" s="14">
        <v>25.44</v>
      </c>
      <c r="L667" s="18">
        <f t="shared" si="118"/>
        <v>0.8819116008418959</v>
      </c>
      <c r="M667" s="18">
        <f t="shared" si="119"/>
        <v>24.558088399158105</v>
      </c>
      <c r="N667" s="15">
        <f t="shared" si="120"/>
        <v>726.93000000000006</v>
      </c>
      <c r="O667" s="15">
        <f t="shared" si="111"/>
        <v>25.200000000000045</v>
      </c>
      <c r="P667" s="15">
        <f t="shared" si="112"/>
        <v>701.73</v>
      </c>
      <c r="Q667" s="5">
        <f t="shared" si="113"/>
        <v>0.96533366348891914</v>
      </c>
    </row>
    <row r="668" spans="1:17" x14ac:dyDescent="0.25">
      <c r="A668" s="7">
        <v>46262.75</v>
      </c>
      <c r="B668" s="6">
        <v>0</v>
      </c>
      <c r="C668" s="13">
        <v>0</v>
      </c>
      <c r="D668" s="18">
        <f t="shared" si="110"/>
        <v>0</v>
      </c>
      <c r="E668" s="14">
        <v>428.4</v>
      </c>
      <c r="F668" s="18">
        <f t="shared" si="114"/>
        <v>0</v>
      </c>
      <c r="G668" s="18">
        <f t="shared" si="115"/>
        <v>428.4</v>
      </c>
      <c r="H668" s="14">
        <v>61.08</v>
      </c>
      <c r="I668" s="18">
        <f t="shared" si="116"/>
        <v>0</v>
      </c>
      <c r="J668" s="18">
        <f t="shared" si="117"/>
        <v>61.08</v>
      </c>
      <c r="K668" s="14">
        <v>26.76</v>
      </c>
      <c r="L668" s="18">
        <f t="shared" si="118"/>
        <v>0</v>
      </c>
      <c r="M668" s="18">
        <f t="shared" si="119"/>
        <v>26.76</v>
      </c>
      <c r="N668" s="15">
        <f t="shared" si="120"/>
        <v>516.24</v>
      </c>
      <c r="O668" s="15">
        <f t="shared" si="111"/>
        <v>0</v>
      </c>
      <c r="P668" s="15">
        <f t="shared" si="112"/>
        <v>516.24</v>
      </c>
      <c r="Q668" s="5">
        <f t="shared" si="113"/>
        <v>1</v>
      </c>
    </row>
    <row r="669" spans="1:17" x14ac:dyDescent="0.25">
      <c r="A669" s="7">
        <v>46262.791666666664</v>
      </c>
      <c r="B669" s="6">
        <v>0</v>
      </c>
      <c r="C669" s="13">
        <v>0</v>
      </c>
      <c r="D669" s="18">
        <f t="shared" si="110"/>
        <v>0</v>
      </c>
      <c r="E669" s="14">
        <v>72.45</v>
      </c>
      <c r="F669" s="18">
        <f t="shared" si="114"/>
        <v>0</v>
      </c>
      <c r="G669" s="18">
        <f t="shared" si="115"/>
        <v>72.45</v>
      </c>
      <c r="H669" s="14">
        <v>44.4</v>
      </c>
      <c r="I669" s="18">
        <f t="shared" si="116"/>
        <v>0</v>
      </c>
      <c r="J669" s="18">
        <f t="shared" si="117"/>
        <v>44.4</v>
      </c>
      <c r="K669" s="14">
        <v>28.68</v>
      </c>
      <c r="L669" s="18">
        <f t="shared" si="118"/>
        <v>0</v>
      </c>
      <c r="M669" s="18">
        <f t="shared" si="119"/>
        <v>28.68</v>
      </c>
      <c r="N669" s="15">
        <f t="shared" si="120"/>
        <v>145.53</v>
      </c>
      <c r="O669" s="15">
        <f t="shared" si="111"/>
        <v>0</v>
      </c>
      <c r="P669" s="15">
        <f t="shared" si="112"/>
        <v>145.53</v>
      </c>
      <c r="Q669" s="5">
        <f t="shared" si="113"/>
        <v>1</v>
      </c>
    </row>
    <row r="670" spans="1:17" x14ac:dyDescent="0.25">
      <c r="A670" s="7">
        <v>46262.833333333336</v>
      </c>
      <c r="B670" s="6">
        <v>0</v>
      </c>
      <c r="C670" s="13">
        <v>0</v>
      </c>
      <c r="D670" s="18">
        <f t="shared" si="110"/>
        <v>0</v>
      </c>
      <c r="E670" s="14">
        <v>708.75</v>
      </c>
      <c r="F670" s="18">
        <f t="shared" si="114"/>
        <v>0</v>
      </c>
      <c r="G670" s="18">
        <f t="shared" si="115"/>
        <v>708.75</v>
      </c>
      <c r="H670" s="14">
        <v>38.4</v>
      </c>
      <c r="I670" s="18">
        <f t="shared" si="116"/>
        <v>0</v>
      </c>
      <c r="J670" s="18">
        <f t="shared" si="117"/>
        <v>38.4</v>
      </c>
      <c r="K670" s="14">
        <v>8.4</v>
      </c>
      <c r="L670" s="18">
        <f t="shared" si="118"/>
        <v>0</v>
      </c>
      <c r="M670" s="18">
        <f t="shared" si="119"/>
        <v>8.4</v>
      </c>
      <c r="N670" s="15">
        <f t="shared" si="120"/>
        <v>755.55</v>
      </c>
      <c r="O670" s="15">
        <f t="shared" si="111"/>
        <v>0</v>
      </c>
      <c r="P670" s="15">
        <f t="shared" si="112"/>
        <v>755.55</v>
      </c>
      <c r="Q670" s="5">
        <f t="shared" si="113"/>
        <v>1</v>
      </c>
    </row>
    <row r="671" spans="1:17" x14ac:dyDescent="0.25">
      <c r="A671" s="7">
        <v>46262.875</v>
      </c>
      <c r="B671" s="6">
        <v>0</v>
      </c>
      <c r="C671" s="13">
        <v>0</v>
      </c>
      <c r="D671" s="18">
        <f t="shared" si="110"/>
        <v>0</v>
      </c>
      <c r="E671" s="14">
        <v>837.9</v>
      </c>
      <c r="F671" s="18">
        <f t="shared" si="114"/>
        <v>0</v>
      </c>
      <c r="G671" s="18">
        <f t="shared" si="115"/>
        <v>837.9</v>
      </c>
      <c r="H671" s="14">
        <v>38.64</v>
      </c>
      <c r="I671" s="18">
        <f t="shared" si="116"/>
        <v>0</v>
      </c>
      <c r="J671" s="18">
        <f t="shared" si="117"/>
        <v>38.64</v>
      </c>
      <c r="K671" s="14">
        <v>3.84</v>
      </c>
      <c r="L671" s="18">
        <f t="shared" si="118"/>
        <v>0</v>
      </c>
      <c r="M671" s="18">
        <f t="shared" si="119"/>
        <v>3.84</v>
      </c>
      <c r="N671" s="15">
        <f t="shared" si="120"/>
        <v>880.38</v>
      </c>
      <c r="O671" s="15">
        <f t="shared" si="111"/>
        <v>0</v>
      </c>
      <c r="P671" s="15">
        <f t="shared" si="112"/>
        <v>880.38</v>
      </c>
      <c r="Q671" s="5">
        <f t="shared" si="113"/>
        <v>1</v>
      </c>
    </row>
    <row r="672" spans="1:17" x14ac:dyDescent="0.25">
      <c r="A672" s="7">
        <v>46262.916666666664</v>
      </c>
      <c r="B672" s="6">
        <v>0</v>
      </c>
      <c r="C672" s="13">
        <v>0</v>
      </c>
      <c r="D672" s="18">
        <f t="shared" si="110"/>
        <v>0</v>
      </c>
      <c r="E672" s="14">
        <v>866.25</v>
      </c>
      <c r="F672" s="18">
        <f t="shared" si="114"/>
        <v>0</v>
      </c>
      <c r="G672" s="18">
        <f t="shared" si="115"/>
        <v>866.25</v>
      </c>
      <c r="H672" s="14">
        <v>35.28</v>
      </c>
      <c r="I672" s="18">
        <f t="shared" si="116"/>
        <v>0</v>
      </c>
      <c r="J672" s="18">
        <f t="shared" si="117"/>
        <v>35.28</v>
      </c>
      <c r="K672" s="14">
        <v>2.04</v>
      </c>
      <c r="L672" s="18">
        <f t="shared" si="118"/>
        <v>0</v>
      </c>
      <c r="M672" s="18">
        <f t="shared" si="119"/>
        <v>2.04</v>
      </c>
      <c r="N672" s="15">
        <f t="shared" si="120"/>
        <v>903.56999999999994</v>
      </c>
      <c r="O672" s="15">
        <f t="shared" si="111"/>
        <v>0</v>
      </c>
      <c r="P672" s="15">
        <f t="shared" si="112"/>
        <v>903.56999999999994</v>
      </c>
      <c r="Q672" s="5">
        <f t="shared" si="113"/>
        <v>1</v>
      </c>
    </row>
    <row r="673" spans="1:17" x14ac:dyDescent="0.25">
      <c r="A673" s="7">
        <v>46262.958333333336</v>
      </c>
      <c r="B673" s="6">
        <v>0</v>
      </c>
      <c r="C673" s="13">
        <v>0</v>
      </c>
      <c r="D673" s="18">
        <f t="shared" si="110"/>
        <v>0</v>
      </c>
      <c r="E673" s="14">
        <v>822.15</v>
      </c>
      <c r="F673" s="18">
        <f t="shared" si="114"/>
        <v>0</v>
      </c>
      <c r="G673" s="18">
        <f t="shared" si="115"/>
        <v>822.15</v>
      </c>
      <c r="H673" s="14">
        <v>36.24</v>
      </c>
      <c r="I673" s="18">
        <f t="shared" si="116"/>
        <v>0</v>
      </c>
      <c r="J673" s="18">
        <f t="shared" si="117"/>
        <v>36.24</v>
      </c>
      <c r="K673" s="14">
        <v>3.12</v>
      </c>
      <c r="L673" s="18">
        <f t="shared" si="118"/>
        <v>0</v>
      </c>
      <c r="M673" s="18">
        <f t="shared" si="119"/>
        <v>3.12</v>
      </c>
      <c r="N673" s="15">
        <f t="shared" si="120"/>
        <v>861.51</v>
      </c>
      <c r="O673" s="15">
        <f t="shared" si="111"/>
        <v>0</v>
      </c>
      <c r="P673" s="15">
        <f t="shared" si="112"/>
        <v>861.51</v>
      </c>
      <c r="Q673" s="5">
        <f t="shared" si="113"/>
        <v>1</v>
      </c>
    </row>
    <row r="674" spans="1:17" x14ac:dyDescent="0.25">
      <c r="A674" s="7">
        <v>46263</v>
      </c>
      <c r="B674" s="6">
        <v>0</v>
      </c>
      <c r="C674" s="13">
        <v>0</v>
      </c>
      <c r="D674" s="18">
        <f t="shared" si="110"/>
        <v>0</v>
      </c>
      <c r="E674" s="14">
        <v>702.45</v>
      </c>
      <c r="F674" s="18">
        <f t="shared" si="114"/>
        <v>0</v>
      </c>
      <c r="G674" s="18">
        <f t="shared" si="115"/>
        <v>702.45</v>
      </c>
      <c r="H674" s="14">
        <v>37.44</v>
      </c>
      <c r="I674" s="18">
        <f t="shared" si="116"/>
        <v>0</v>
      </c>
      <c r="J674" s="18">
        <f t="shared" si="117"/>
        <v>37.44</v>
      </c>
      <c r="K674" s="14">
        <v>2.88</v>
      </c>
      <c r="L674" s="18">
        <f t="shared" si="118"/>
        <v>0</v>
      </c>
      <c r="M674" s="18">
        <f t="shared" si="119"/>
        <v>2.88</v>
      </c>
      <c r="N674" s="15">
        <f t="shared" si="120"/>
        <v>742.7700000000001</v>
      </c>
      <c r="O674" s="15">
        <f t="shared" si="111"/>
        <v>0</v>
      </c>
      <c r="P674" s="15">
        <f t="shared" si="112"/>
        <v>742.7700000000001</v>
      </c>
      <c r="Q674" s="5">
        <f t="shared" si="113"/>
        <v>1</v>
      </c>
    </row>
    <row r="675" spans="1:17" x14ac:dyDescent="0.25">
      <c r="A675" s="7">
        <v>46263.041666666664</v>
      </c>
      <c r="B675" s="6">
        <v>0</v>
      </c>
      <c r="C675" s="13">
        <v>0</v>
      </c>
      <c r="D675" s="18">
        <f t="shared" si="110"/>
        <v>0</v>
      </c>
      <c r="E675" s="14">
        <v>182.7</v>
      </c>
      <c r="F675" s="18">
        <f t="shared" si="114"/>
        <v>0</v>
      </c>
      <c r="G675" s="18">
        <f t="shared" si="115"/>
        <v>182.7</v>
      </c>
      <c r="H675" s="14">
        <v>34.32</v>
      </c>
      <c r="I675" s="18">
        <f t="shared" si="116"/>
        <v>0</v>
      </c>
      <c r="J675" s="18">
        <f t="shared" si="117"/>
        <v>34.32</v>
      </c>
      <c r="K675" s="14">
        <v>3.84</v>
      </c>
      <c r="L675" s="18">
        <f t="shared" si="118"/>
        <v>0</v>
      </c>
      <c r="M675" s="18">
        <f t="shared" si="119"/>
        <v>3.84</v>
      </c>
      <c r="N675" s="15">
        <f t="shared" si="120"/>
        <v>220.85999999999999</v>
      </c>
      <c r="O675" s="15">
        <f t="shared" si="111"/>
        <v>0</v>
      </c>
      <c r="P675" s="15">
        <f t="shared" si="112"/>
        <v>220.85999999999999</v>
      </c>
      <c r="Q675" s="5">
        <f t="shared" si="113"/>
        <v>1</v>
      </c>
    </row>
    <row r="676" spans="1:17" x14ac:dyDescent="0.25">
      <c r="A676" s="7">
        <v>46263.083333333336</v>
      </c>
      <c r="B676" s="6">
        <v>0</v>
      </c>
      <c r="C676" s="13">
        <v>0</v>
      </c>
      <c r="D676" s="18">
        <f t="shared" si="110"/>
        <v>0</v>
      </c>
      <c r="E676" s="14">
        <v>510.3</v>
      </c>
      <c r="F676" s="18">
        <f t="shared" si="114"/>
        <v>0</v>
      </c>
      <c r="G676" s="18">
        <f t="shared" si="115"/>
        <v>510.3</v>
      </c>
      <c r="H676" s="14">
        <v>35.520000000000003</v>
      </c>
      <c r="I676" s="18">
        <f t="shared" si="116"/>
        <v>0</v>
      </c>
      <c r="J676" s="18">
        <f t="shared" si="117"/>
        <v>35.520000000000003</v>
      </c>
      <c r="K676" s="14">
        <v>3.84</v>
      </c>
      <c r="L676" s="18">
        <f t="shared" si="118"/>
        <v>0</v>
      </c>
      <c r="M676" s="18">
        <f t="shared" si="119"/>
        <v>3.84</v>
      </c>
      <c r="N676" s="15">
        <f t="shared" si="120"/>
        <v>549.66000000000008</v>
      </c>
      <c r="O676" s="15">
        <f t="shared" si="111"/>
        <v>0</v>
      </c>
      <c r="P676" s="15">
        <f t="shared" si="112"/>
        <v>549.66000000000008</v>
      </c>
      <c r="Q676" s="5">
        <f t="shared" si="113"/>
        <v>1</v>
      </c>
    </row>
    <row r="677" spans="1:17" x14ac:dyDescent="0.25">
      <c r="A677" s="7">
        <v>46263.125</v>
      </c>
      <c r="B677" s="6">
        <v>0</v>
      </c>
      <c r="C677" s="13">
        <v>0</v>
      </c>
      <c r="D677" s="18">
        <f t="shared" si="110"/>
        <v>0</v>
      </c>
      <c r="E677" s="14">
        <v>670.95</v>
      </c>
      <c r="F677" s="18">
        <f t="shared" si="114"/>
        <v>0</v>
      </c>
      <c r="G677" s="18">
        <f t="shared" si="115"/>
        <v>670.95</v>
      </c>
      <c r="H677" s="14">
        <v>36</v>
      </c>
      <c r="I677" s="18">
        <f t="shared" si="116"/>
        <v>0</v>
      </c>
      <c r="J677" s="18">
        <f t="shared" si="117"/>
        <v>36</v>
      </c>
      <c r="K677" s="14">
        <v>3.84</v>
      </c>
      <c r="L677" s="18">
        <f t="shared" si="118"/>
        <v>0</v>
      </c>
      <c r="M677" s="18">
        <f t="shared" si="119"/>
        <v>3.84</v>
      </c>
      <c r="N677" s="15">
        <f t="shared" si="120"/>
        <v>710.79000000000008</v>
      </c>
      <c r="O677" s="15">
        <f t="shared" si="111"/>
        <v>0</v>
      </c>
      <c r="P677" s="15">
        <f t="shared" si="112"/>
        <v>710.79000000000008</v>
      </c>
      <c r="Q677" s="5">
        <f t="shared" si="113"/>
        <v>1</v>
      </c>
    </row>
    <row r="678" spans="1:17" x14ac:dyDescent="0.25">
      <c r="A678" s="7">
        <v>46263.166666666664</v>
      </c>
      <c r="B678" s="6">
        <v>0</v>
      </c>
      <c r="C678" s="13">
        <v>0</v>
      </c>
      <c r="D678" s="18">
        <f t="shared" si="110"/>
        <v>0</v>
      </c>
      <c r="E678" s="14">
        <v>730.8</v>
      </c>
      <c r="F678" s="18">
        <f t="shared" si="114"/>
        <v>0</v>
      </c>
      <c r="G678" s="18">
        <f t="shared" si="115"/>
        <v>730.8</v>
      </c>
      <c r="H678" s="14">
        <v>34.56</v>
      </c>
      <c r="I678" s="18">
        <f t="shared" si="116"/>
        <v>0</v>
      </c>
      <c r="J678" s="18">
        <f t="shared" si="117"/>
        <v>34.56</v>
      </c>
      <c r="K678" s="14">
        <v>3.84</v>
      </c>
      <c r="L678" s="18">
        <f t="shared" si="118"/>
        <v>0</v>
      </c>
      <c r="M678" s="18">
        <f t="shared" si="119"/>
        <v>3.84</v>
      </c>
      <c r="N678" s="15">
        <f t="shared" si="120"/>
        <v>769.19999999999993</v>
      </c>
      <c r="O678" s="15">
        <f t="shared" si="111"/>
        <v>0</v>
      </c>
      <c r="P678" s="15">
        <f t="shared" si="112"/>
        <v>769.19999999999993</v>
      </c>
      <c r="Q678" s="5">
        <f t="shared" si="113"/>
        <v>1</v>
      </c>
    </row>
    <row r="679" spans="1:17" x14ac:dyDescent="0.25">
      <c r="A679" s="7">
        <v>46263.208333333336</v>
      </c>
      <c r="B679" s="6">
        <v>0</v>
      </c>
      <c r="C679" s="13">
        <v>0</v>
      </c>
      <c r="D679" s="18">
        <f t="shared" si="110"/>
        <v>0</v>
      </c>
      <c r="E679" s="14">
        <v>844.2</v>
      </c>
      <c r="F679" s="18">
        <f t="shared" si="114"/>
        <v>0</v>
      </c>
      <c r="G679" s="18">
        <f t="shared" si="115"/>
        <v>844.2</v>
      </c>
      <c r="H679" s="14">
        <v>34.92</v>
      </c>
      <c r="I679" s="18">
        <f t="shared" si="116"/>
        <v>0</v>
      </c>
      <c r="J679" s="18">
        <f t="shared" si="117"/>
        <v>34.92</v>
      </c>
      <c r="K679" s="14">
        <v>4.92</v>
      </c>
      <c r="L679" s="18">
        <f t="shared" si="118"/>
        <v>0</v>
      </c>
      <c r="M679" s="18">
        <f t="shared" si="119"/>
        <v>4.92</v>
      </c>
      <c r="N679" s="15">
        <f t="shared" si="120"/>
        <v>884.04</v>
      </c>
      <c r="O679" s="15">
        <f t="shared" si="111"/>
        <v>0</v>
      </c>
      <c r="P679" s="15">
        <f t="shared" si="112"/>
        <v>884.04</v>
      </c>
      <c r="Q679" s="5">
        <f t="shared" si="113"/>
        <v>1</v>
      </c>
    </row>
    <row r="680" spans="1:17" x14ac:dyDescent="0.25">
      <c r="A680" s="7">
        <v>46263.25</v>
      </c>
      <c r="B680" s="6">
        <v>0</v>
      </c>
      <c r="C680" s="13">
        <v>0</v>
      </c>
      <c r="D680" s="18">
        <f t="shared" si="110"/>
        <v>0</v>
      </c>
      <c r="E680" s="14">
        <v>195.3</v>
      </c>
      <c r="F680" s="18">
        <f t="shared" si="114"/>
        <v>0</v>
      </c>
      <c r="G680" s="18">
        <f t="shared" si="115"/>
        <v>195.3</v>
      </c>
      <c r="H680" s="14">
        <v>42.24</v>
      </c>
      <c r="I680" s="18">
        <f t="shared" si="116"/>
        <v>0</v>
      </c>
      <c r="J680" s="18">
        <f t="shared" si="117"/>
        <v>42.24</v>
      </c>
      <c r="K680" s="14">
        <v>4.68</v>
      </c>
      <c r="L680" s="18">
        <f t="shared" si="118"/>
        <v>0</v>
      </c>
      <c r="M680" s="18">
        <f t="shared" si="119"/>
        <v>4.68</v>
      </c>
      <c r="N680" s="15">
        <f t="shared" si="120"/>
        <v>242.22000000000003</v>
      </c>
      <c r="O680" s="15">
        <f t="shared" si="111"/>
        <v>0</v>
      </c>
      <c r="P680" s="15">
        <f t="shared" si="112"/>
        <v>242.22000000000003</v>
      </c>
      <c r="Q680" s="5">
        <f t="shared" si="113"/>
        <v>1</v>
      </c>
    </row>
    <row r="681" spans="1:17" x14ac:dyDescent="0.25">
      <c r="A681" s="7">
        <v>46263.291666666664</v>
      </c>
      <c r="B681" s="6">
        <v>25.2</v>
      </c>
      <c r="C681" s="13">
        <v>0</v>
      </c>
      <c r="D681" s="18">
        <f t="shared" si="110"/>
        <v>25.2</v>
      </c>
      <c r="E681" s="14">
        <v>9.4499999999999993</v>
      </c>
      <c r="F681" s="18">
        <f t="shared" si="114"/>
        <v>5.2396039603960398</v>
      </c>
      <c r="G681" s="18">
        <f t="shared" si="115"/>
        <v>4.2103960396039595</v>
      </c>
      <c r="H681" s="14">
        <v>32.76</v>
      </c>
      <c r="I681" s="18">
        <f t="shared" si="116"/>
        <v>18.163960396039606</v>
      </c>
      <c r="J681" s="18">
        <f t="shared" si="117"/>
        <v>14.596039603960394</v>
      </c>
      <c r="K681" s="14">
        <v>3.24</v>
      </c>
      <c r="L681" s="18">
        <f t="shared" si="118"/>
        <v>1.7964356435643567</v>
      </c>
      <c r="M681" s="18">
        <f t="shared" si="119"/>
        <v>1.4435643564356435</v>
      </c>
      <c r="N681" s="15">
        <f t="shared" si="120"/>
        <v>45.449999999999996</v>
      </c>
      <c r="O681" s="15">
        <f t="shared" si="111"/>
        <v>25.2</v>
      </c>
      <c r="P681" s="15">
        <f t="shared" si="112"/>
        <v>20.249999999999996</v>
      </c>
      <c r="Q681" s="5">
        <f t="shared" si="113"/>
        <v>0.4455445544554455</v>
      </c>
    </row>
    <row r="682" spans="1:17" x14ac:dyDescent="0.25">
      <c r="A682" s="7">
        <v>46263.333333333336</v>
      </c>
      <c r="B682" s="6">
        <v>138.6</v>
      </c>
      <c r="C682" s="13">
        <v>0</v>
      </c>
      <c r="D682" s="18">
        <f t="shared" si="110"/>
        <v>138.6</v>
      </c>
      <c r="E682" s="14">
        <v>22.05</v>
      </c>
      <c r="F682" s="18">
        <f t="shared" si="114"/>
        <v>16.913664286900215</v>
      </c>
      <c r="G682" s="18">
        <f t="shared" si="115"/>
        <v>5.1363357130997871</v>
      </c>
      <c r="H682" s="14">
        <v>150.84</v>
      </c>
      <c r="I682" s="18">
        <f t="shared" si="116"/>
        <v>115.70327079528472</v>
      </c>
      <c r="J682" s="18">
        <f t="shared" si="117"/>
        <v>35.13672920471528</v>
      </c>
      <c r="K682" s="14">
        <v>7.8</v>
      </c>
      <c r="L682" s="18">
        <f t="shared" si="118"/>
        <v>5.9830649178150415</v>
      </c>
      <c r="M682" s="18">
        <f t="shared" si="119"/>
        <v>1.8169350821849586</v>
      </c>
      <c r="N682" s="15">
        <f t="shared" si="120"/>
        <v>180.69000000000003</v>
      </c>
      <c r="O682" s="15">
        <f t="shared" si="111"/>
        <v>138.6</v>
      </c>
      <c r="P682" s="15">
        <f t="shared" si="112"/>
        <v>42.090000000000032</v>
      </c>
      <c r="Q682" s="5">
        <f t="shared" si="113"/>
        <v>0.23294039515191778</v>
      </c>
    </row>
    <row r="683" spans="1:17" x14ac:dyDescent="0.25">
      <c r="A683" s="7">
        <v>46263.375</v>
      </c>
      <c r="B683" s="6">
        <v>40.950000000000003</v>
      </c>
      <c r="C683" s="13">
        <v>0</v>
      </c>
      <c r="D683" s="18">
        <f t="shared" si="110"/>
        <v>40.950000000000003</v>
      </c>
      <c r="E683" s="14">
        <v>85.05</v>
      </c>
      <c r="F683" s="18">
        <f t="shared" si="114"/>
        <v>13.32108433734939</v>
      </c>
      <c r="G683" s="18">
        <f t="shared" si="115"/>
        <v>71.728915662650607</v>
      </c>
      <c r="H683" s="14">
        <v>132.84</v>
      </c>
      <c r="I683" s="18">
        <f t="shared" si="116"/>
        <v>20.80626506024096</v>
      </c>
      <c r="J683" s="18">
        <f t="shared" si="117"/>
        <v>112.03373493975904</v>
      </c>
      <c r="K683" s="14">
        <v>43.56</v>
      </c>
      <c r="L683" s="18">
        <f t="shared" si="118"/>
        <v>6.8226506024096381</v>
      </c>
      <c r="M683" s="18">
        <f t="shared" si="119"/>
        <v>36.737349397590364</v>
      </c>
      <c r="N683" s="15">
        <f t="shared" si="120"/>
        <v>261.45</v>
      </c>
      <c r="O683" s="15">
        <f t="shared" si="111"/>
        <v>40.949999999999989</v>
      </c>
      <c r="P683" s="15">
        <f t="shared" si="112"/>
        <v>220.5</v>
      </c>
      <c r="Q683" s="5">
        <f t="shared" si="113"/>
        <v>0.84337349397590367</v>
      </c>
    </row>
    <row r="684" spans="1:17" x14ac:dyDescent="0.25">
      <c r="A684" s="7">
        <v>46263.416666666664</v>
      </c>
      <c r="B684" s="6">
        <v>582.75</v>
      </c>
      <c r="C684" s="13">
        <v>0.24</v>
      </c>
      <c r="D684" s="18">
        <f t="shared" si="110"/>
        <v>582.99</v>
      </c>
      <c r="E684" s="14">
        <v>0</v>
      </c>
      <c r="F684" s="18">
        <f t="shared" si="114"/>
        <v>0</v>
      </c>
      <c r="G684" s="18">
        <f t="shared" si="115"/>
        <v>0</v>
      </c>
      <c r="H684" s="14">
        <v>113.16</v>
      </c>
      <c r="I684" s="18">
        <f t="shared" si="116"/>
        <v>113.16</v>
      </c>
      <c r="J684" s="18">
        <f t="shared" si="117"/>
        <v>0</v>
      </c>
      <c r="K684" s="14">
        <v>39.6</v>
      </c>
      <c r="L684" s="18">
        <f t="shared" si="118"/>
        <v>39.6</v>
      </c>
      <c r="M684" s="18">
        <f t="shared" si="119"/>
        <v>0</v>
      </c>
      <c r="N684" s="15">
        <f t="shared" si="120"/>
        <v>152.76</v>
      </c>
      <c r="O684" s="15">
        <f t="shared" si="111"/>
        <v>152.76</v>
      </c>
      <c r="P684" s="15">
        <f t="shared" si="112"/>
        <v>0</v>
      </c>
      <c r="Q684" s="5">
        <f t="shared" si="113"/>
        <v>0</v>
      </c>
    </row>
    <row r="685" spans="1:17" x14ac:dyDescent="0.25">
      <c r="A685" s="7">
        <v>46263.458333333336</v>
      </c>
      <c r="B685" s="6">
        <v>623.70000000000005</v>
      </c>
      <c r="C685" s="13">
        <v>2.64</v>
      </c>
      <c r="D685" s="18">
        <f t="shared" si="110"/>
        <v>626.34</v>
      </c>
      <c r="E685" s="14">
        <v>0</v>
      </c>
      <c r="F685" s="18">
        <f t="shared" si="114"/>
        <v>0</v>
      </c>
      <c r="G685" s="18">
        <f t="shared" si="115"/>
        <v>0</v>
      </c>
      <c r="H685" s="14">
        <v>100.68</v>
      </c>
      <c r="I685" s="18">
        <f t="shared" si="116"/>
        <v>100.68</v>
      </c>
      <c r="J685" s="18">
        <f t="shared" si="117"/>
        <v>0</v>
      </c>
      <c r="K685" s="14">
        <v>38.520000000000003</v>
      </c>
      <c r="L685" s="18">
        <f t="shared" si="118"/>
        <v>38.520000000000003</v>
      </c>
      <c r="M685" s="18">
        <f t="shared" si="119"/>
        <v>0</v>
      </c>
      <c r="N685" s="15">
        <f t="shared" si="120"/>
        <v>139.20000000000002</v>
      </c>
      <c r="O685" s="15">
        <f t="shared" si="111"/>
        <v>139.20000000000002</v>
      </c>
      <c r="P685" s="15">
        <f t="shared" si="112"/>
        <v>0</v>
      </c>
      <c r="Q685" s="5">
        <f t="shared" si="113"/>
        <v>0</v>
      </c>
    </row>
    <row r="686" spans="1:17" x14ac:dyDescent="0.25">
      <c r="A686" s="7">
        <v>46263.5</v>
      </c>
      <c r="B686" s="6">
        <v>922.95</v>
      </c>
      <c r="C686" s="13">
        <v>0.36</v>
      </c>
      <c r="D686" s="18">
        <f t="shared" si="110"/>
        <v>923.31000000000006</v>
      </c>
      <c r="E686" s="14">
        <v>0</v>
      </c>
      <c r="F686" s="18">
        <f t="shared" si="114"/>
        <v>0</v>
      </c>
      <c r="G686" s="18">
        <f t="shared" si="115"/>
        <v>0</v>
      </c>
      <c r="H686" s="14">
        <v>84.24</v>
      </c>
      <c r="I686" s="18">
        <f t="shared" si="116"/>
        <v>84.24</v>
      </c>
      <c r="J686" s="18">
        <f t="shared" si="117"/>
        <v>0</v>
      </c>
      <c r="K686" s="14">
        <v>42.48</v>
      </c>
      <c r="L686" s="18">
        <f t="shared" si="118"/>
        <v>42.48</v>
      </c>
      <c r="M686" s="18">
        <f t="shared" si="119"/>
        <v>0</v>
      </c>
      <c r="N686" s="15">
        <f t="shared" si="120"/>
        <v>126.72</v>
      </c>
      <c r="O686" s="15">
        <f t="shared" si="111"/>
        <v>126.72</v>
      </c>
      <c r="P686" s="15">
        <f t="shared" si="112"/>
        <v>0</v>
      </c>
      <c r="Q686" s="5">
        <f t="shared" si="113"/>
        <v>0</v>
      </c>
    </row>
    <row r="687" spans="1:17" x14ac:dyDescent="0.25">
      <c r="A687" s="7">
        <v>46263.541666666664</v>
      </c>
      <c r="B687" s="6">
        <v>743.4</v>
      </c>
      <c r="C687" s="13">
        <v>0</v>
      </c>
      <c r="D687" s="18">
        <f t="shared" si="110"/>
        <v>743.4</v>
      </c>
      <c r="E687" s="14">
        <v>0</v>
      </c>
      <c r="F687" s="18">
        <f t="shared" si="114"/>
        <v>0</v>
      </c>
      <c r="G687" s="18">
        <f t="shared" si="115"/>
        <v>0</v>
      </c>
      <c r="H687" s="14">
        <v>99.48</v>
      </c>
      <c r="I687" s="18">
        <f t="shared" si="116"/>
        <v>99.48</v>
      </c>
      <c r="J687" s="18">
        <f t="shared" si="117"/>
        <v>0</v>
      </c>
      <c r="K687" s="14">
        <v>38.4</v>
      </c>
      <c r="L687" s="18">
        <f t="shared" si="118"/>
        <v>38.4</v>
      </c>
      <c r="M687" s="18">
        <f t="shared" si="119"/>
        <v>0</v>
      </c>
      <c r="N687" s="15">
        <f t="shared" si="120"/>
        <v>137.88</v>
      </c>
      <c r="O687" s="15">
        <f t="shared" si="111"/>
        <v>137.88</v>
      </c>
      <c r="P687" s="15">
        <f t="shared" si="112"/>
        <v>0</v>
      </c>
      <c r="Q687" s="5">
        <f t="shared" si="113"/>
        <v>0</v>
      </c>
    </row>
    <row r="688" spans="1:17" x14ac:dyDescent="0.25">
      <c r="A688" s="7">
        <v>46263.583333333336</v>
      </c>
      <c r="B688" s="6">
        <v>252</v>
      </c>
      <c r="C688" s="13">
        <v>0.72</v>
      </c>
      <c r="D688" s="18">
        <f t="shared" si="110"/>
        <v>252.72</v>
      </c>
      <c r="E688" s="14">
        <v>0</v>
      </c>
      <c r="F688" s="18">
        <f t="shared" si="114"/>
        <v>0</v>
      </c>
      <c r="G688" s="18">
        <f t="shared" si="115"/>
        <v>0</v>
      </c>
      <c r="H688" s="14">
        <v>127.8</v>
      </c>
      <c r="I688" s="18">
        <f t="shared" si="116"/>
        <v>127.8</v>
      </c>
      <c r="J688" s="18">
        <f t="shared" si="117"/>
        <v>0</v>
      </c>
      <c r="K688" s="14">
        <v>55.8</v>
      </c>
      <c r="L688" s="18">
        <f t="shared" si="118"/>
        <v>55.8</v>
      </c>
      <c r="M688" s="18">
        <f t="shared" si="119"/>
        <v>0</v>
      </c>
      <c r="N688" s="15">
        <f t="shared" si="120"/>
        <v>183.6</v>
      </c>
      <c r="O688" s="15">
        <f t="shared" si="111"/>
        <v>183.6</v>
      </c>
      <c r="P688" s="15">
        <f t="shared" si="112"/>
        <v>0</v>
      </c>
      <c r="Q688" s="5">
        <f t="shared" si="113"/>
        <v>0</v>
      </c>
    </row>
    <row r="689" spans="1:17" x14ac:dyDescent="0.25">
      <c r="A689" s="7">
        <v>46263.625</v>
      </c>
      <c r="B689" s="6">
        <v>459.9</v>
      </c>
      <c r="C689" s="13">
        <v>0</v>
      </c>
      <c r="D689" s="18">
        <f t="shared" si="110"/>
        <v>459.9</v>
      </c>
      <c r="E689" s="14">
        <v>198.45</v>
      </c>
      <c r="F689" s="18">
        <f t="shared" si="114"/>
        <v>198.45</v>
      </c>
      <c r="G689" s="18">
        <f t="shared" si="115"/>
        <v>0</v>
      </c>
      <c r="H689" s="14">
        <v>133.08000000000001</v>
      </c>
      <c r="I689" s="18">
        <f t="shared" si="116"/>
        <v>133.08000000000001</v>
      </c>
      <c r="J689" s="18">
        <f t="shared" si="117"/>
        <v>0</v>
      </c>
      <c r="K689" s="14">
        <v>42.48</v>
      </c>
      <c r="L689" s="18">
        <f t="shared" si="118"/>
        <v>42.48</v>
      </c>
      <c r="M689" s="18">
        <f t="shared" si="119"/>
        <v>0</v>
      </c>
      <c r="N689" s="15">
        <f t="shared" si="120"/>
        <v>374.01</v>
      </c>
      <c r="O689" s="15">
        <f t="shared" si="111"/>
        <v>374.01</v>
      </c>
      <c r="P689" s="15">
        <f t="shared" si="112"/>
        <v>0</v>
      </c>
      <c r="Q689" s="5">
        <f t="shared" si="113"/>
        <v>0</v>
      </c>
    </row>
    <row r="690" spans="1:17" x14ac:dyDescent="0.25">
      <c r="A690" s="7">
        <v>46263.666666666664</v>
      </c>
      <c r="B690" s="6">
        <v>693</v>
      </c>
      <c r="C690" s="13">
        <v>0</v>
      </c>
      <c r="D690" s="18">
        <f t="shared" si="110"/>
        <v>693</v>
      </c>
      <c r="E690" s="14">
        <v>37.799999999999997</v>
      </c>
      <c r="F690" s="18">
        <f t="shared" si="114"/>
        <v>37.799999999999997</v>
      </c>
      <c r="G690" s="18">
        <f t="shared" si="115"/>
        <v>0</v>
      </c>
      <c r="H690" s="14">
        <v>122.28</v>
      </c>
      <c r="I690" s="18">
        <f t="shared" si="116"/>
        <v>122.28</v>
      </c>
      <c r="J690" s="18">
        <f t="shared" si="117"/>
        <v>0</v>
      </c>
      <c r="K690" s="14">
        <v>41.4</v>
      </c>
      <c r="L690" s="18">
        <f t="shared" si="118"/>
        <v>41.4</v>
      </c>
      <c r="M690" s="18">
        <f t="shared" si="119"/>
        <v>0</v>
      </c>
      <c r="N690" s="15">
        <f t="shared" si="120"/>
        <v>201.48</v>
      </c>
      <c r="O690" s="15">
        <f t="shared" si="111"/>
        <v>201.48</v>
      </c>
      <c r="P690" s="15">
        <f t="shared" si="112"/>
        <v>0</v>
      </c>
      <c r="Q690" s="5">
        <f t="shared" si="113"/>
        <v>0</v>
      </c>
    </row>
    <row r="691" spans="1:17" x14ac:dyDescent="0.25">
      <c r="A691" s="7">
        <v>46263.708333333336</v>
      </c>
      <c r="B691" s="6">
        <v>0</v>
      </c>
      <c r="C691" s="13">
        <v>0</v>
      </c>
      <c r="D691" s="18">
        <f t="shared" si="110"/>
        <v>0</v>
      </c>
      <c r="E691" s="14">
        <v>677.25</v>
      </c>
      <c r="F691" s="18">
        <f t="shared" si="114"/>
        <v>0</v>
      </c>
      <c r="G691" s="18">
        <f t="shared" si="115"/>
        <v>677.25</v>
      </c>
      <c r="H691" s="14">
        <v>124.68</v>
      </c>
      <c r="I691" s="18">
        <f t="shared" si="116"/>
        <v>0</v>
      </c>
      <c r="J691" s="18">
        <f t="shared" si="117"/>
        <v>124.68</v>
      </c>
      <c r="K691" s="14">
        <v>35.28</v>
      </c>
      <c r="L691" s="18">
        <f t="shared" si="118"/>
        <v>0</v>
      </c>
      <c r="M691" s="18">
        <f t="shared" si="119"/>
        <v>35.28</v>
      </c>
      <c r="N691" s="15">
        <f t="shared" si="120"/>
        <v>837.21</v>
      </c>
      <c r="O691" s="15">
        <f t="shared" si="111"/>
        <v>0</v>
      </c>
      <c r="P691" s="15">
        <f t="shared" si="112"/>
        <v>837.21</v>
      </c>
      <c r="Q691" s="5">
        <f t="shared" si="113"/>
        <v>1</v>
      </c>
    </row>
    <row r="692" spans="1:17" x14ac:dyDescent="0.25">
      <c r="A692" s="7">
        <v>46263.75</v>
      </c>
      <c r="B692" s="6">
        <v>0</v>
      </c>
      <c r="C692" s="13">
        <v>0</v>
      </c>
      <c r="D692" s="18">
        <f t="shared" si="110"/>
        <v>0</v>
      </c>
      <c r="E692" s="14">
        <v>349.65</v>
      </c>
      <c r="F692" s="18">
        <f t="shared" si="114"/>
        <v>0</v>
      </c>
      <c r="G692" s="18">
        <f t="shared" si="115"/>
        <v>349.65</v>
      </c>
      <c r="H692" s="14">
        <v>42.84</v>
      </c>
      <c r="I692" s="18">
        <f t="shared" si="116"/>
        <v>0</v>
      </c>
      <c r="J692" s="18">
        <f t="shared" si="117"/>
        <v>42.84</v>
      </c>
      <c r="K692" s="14">
        <v>22.68</v>
      </c>
      <c r="L692" s="18">
        <f t="shared" si="118"/>
        <v>0</v>
      </c>
      <c r="M692" s="18">
        <f t="shared" si="119"/>
        <v>22.68</v>
      </c>
      <c r="N692" s="15">
        <f t="shared" si="120"/>
        <v>415.17</v>
      </c>
      <c r="O692" s="15">
        <f t="shared" si="111"/>
        <v>0</v>
      </c>
      <c r="P692" s="15">
        <f t="shared" si="112"/>
        <v>415.17</v>
      </c>
      <c r="Q692" s="5">
        <f t="shared" si="113"/>
        <v>1</v>
      </c>
    </row>
    <row r="693" spans="1:17" x14ac:dyDescent="0.25">
      <c r="A693" s="7">
        <v>46263.791666666664</v>
      </c>
      <c r="B693" s="6">
        <v>0</v>
      </c>
      <c r="C693" s="13">
        <v>0</v>
      </c>
      <c r="D693" s="18">
        <f t="shared" si="110"/>
        <v>0</v>
      </c>
      <c r="E693" s="14">
        <v>53.55</v>
      </c>
      <c r="F693" s="18">
        <f t="shared" si="114"/>
        <v>0</v>
      </c>
      <c r="G693" s="18">
        <f t="shared" si="115"/>
        <v>53.55</v>
      </c>
      <c r="H693" s="14">
        <v>43.8</v>
      </c>
      <c r="I693" s="18">
        <f t="shared" si="116"/>
        <v>0</v>
      </c>
      <c r="J693" s="18">
        <f t="shared" si="117"/>
        <v>43.8</v>
      </c>
      <c r="K693" s="14">
        <v>25.8</v>
      </c>
      <c r="L693" s="18">
        <f t="shared" si="118"/>
        <v>0</v>
      </c>
      <c r="M693" s="18">
        <f t="shared" si="119"/>
        <v>25.8</v>
      </c>
      <c r="N693" s="15">
        <f t="shared" si="120"/>
        <v>123.14999999999999</v>
      </c>
      <c r="O693" s="15">
        <f t="shared" si="111"/>
        <v>0</v>
      </c>
      <c r="P693" s="15">
        <f t="shared" si="112"/>
        <v>123.14999999999999</v>
      </c>
      <c r="Q693" s="5">
        <f t="shared" si="113"/>
        <v>1</v>
      </c>
    </row>
    <row r="694" spans="1:17" x14ac:dyDescent="0.25">
      <c r="A694" s="7">
        <v>46263.833333333336</v>
      </c>
      <c r="B694" s="6">
        <v>0</v>
      </c>
      <c r="C694" s="13">
        <v>0</v>
      </c>
      <c r="D694" s="18">
        <f t="shared" si="110"/>
        <v>0</v>
      </c>
      <c r="E694" s="14">
        <v>563.85</v>
      </c>
      <c r="F694" s="18">
        <f t="shared" si="114"/>
        <v>0</v>
      </c>
      <c r="G694" s="18">
        <f t="shared" si="115"/>
        <v>563.85</v>
      </c>
      <c r="H694" s="14">
        <v>41.28</v>
      </c>
      <c r="I694" s="18">
        <f t="shared" si="116"/>
        <v>0</v>
      </c>
      <c r="J694" s="18">
        <f t="shared" si="117"/>
        <v>41.28</v>
      </c>
      <c r="K694" s="14">
        <v>9.48</v>
      </c>
      <c r="L694" s="18">
        <f t="shared" si="118"/>
        <v>0</v>
      </c>
      <c r="M694" s="18">
        <f t="shared" si="119"/>
        <v>9.48</v>
      </c>
      <c r="N694" s="15">
        <f t="shared" si="120"/>
        <v>614.61</v>
      </c>
      <c r="O694" s="15">
        <f t="shared" si="111"/>
        <v>0</v>
      </c>
      <c r="P694" s="15">
        <f t="shared" si="112"/>
        <v>614.61</v>
      </c>
      <c r="Q694" s="5">
        <f t="shared" si="113"/>
        <v>1</v>
      </c>
    </row>
    <row r="695" spans="1:17" x14ac:dyDescent="0.25">
      <c r="A695" s="7">
        <v>46263.875</v>
      </c>
      <c r="B695" s="6">
        <v>0</v>
      </c>
      <c r="C695" s="13">
        <v>0</v>
      </c>
      <c r="D695" s="18">
        <f t="shared" si="110"/>
        <v>0</v>
      </c>
      <c r="E695" s="14">
        <v>888.3</v>
      </c>
      <c r="F695" s="18">
        <f t="shared" si="114"/>
        <v>0</v>
      </c>
      <c r="G695" s="18">
        <f t="shared" si="115"/>
        <v>888.3</v>
      </c>
      <c r="H695" s="14">
        <v>36.6</v>
      </c>
      <c r="I695" s="18">
        <f t="shared" si="116"/>
        <v>0</v>
      </c>
      <c r="J695" s="18">
        <f t="shared" si="117"/>
        <v>36.6</v>
      </c>
      <c r="K695" s="14">
        <v>1.92</v>
      </c>
      <c r="L695" s="18">
        <f t="shared" si="118"/>
        <v>0</v>
      </c>
      <c r="M695" s="18">
        <f t="shared" si="119"/>
        <v>1.92</v>
      </c>
      <c r="N695" s="15">
        <f t="shared" si="120"/>
        <v>926.81999999999994</v>
      </c>
      <c r="O695" s="15">
        <f t="shared" si="111"/>
        <v>0</v>
      </c>
      <c r="P695" s="15">
        <f t="shared" si="112"/>
        <v>926.81999999999994</v>
      </c>
      <c r="Q695" s="5">
        <f t="shared" si="113"/>
        <v>1</v>
      </c>
    </row>
    <row r="696" spans="1:17" x14ac:dyDescent="0.25">
      <c r="A696" s="7">
        <v>46263.916666666664</v>
      </c>
      <c r="B696" s="6">
        <v>0</v>
      </c>
      <c r="C696" s="13">
        <v>0</v>
      </c>
      <c r="D696" s="18">
        <f t="shared" si="110"/>
        <v>0</v>
      </c>
      <c r="E696" s="14">
        <v>850.5</v>
      </c>
      <c r="F696" s="18">
        <f t="shared" si="114"/>
        <v>0</v>
      </c>
      <c r="G696" s="18">
        <f t="shared" si="115"/>
        <v>850.5</v>
      </c>
      <c r="H696" s="14">
        <v>36.6</v>
      </c>
      <c r="I696" s="18">
        <f t="shared" si="116"/>
        <v>0</v>
      </c>
      <c r="J696" s="18">
        <f t="shared" si="117"/>
        <v>36.6</v>
      </c>
      <c r="K696" s="14">
        <v>2.04</v>
      </c>
      <c r="L696" s="18">
        <f t="shared" si="118"/>
        <v>0</v>
      </c>
      <c r="M696" s="18">
        <f t="shared" si="119"/>
        <v>2.04</v>
      </c>
      <c r="N696" s="15">
        <f t="shared" si="120"/>
        <v>889.14</v>
      </c>
      <c r="O696" s="15">
        <f t="shared" si="111"/>
        <v>0</v>
      </c>
      <c r="P696" s="15">
        <f t="shared" si="112"/>
        <v>889.14</v>
      </c>
      <c r="Q696" s="5">
        <f t="shared" si="113"/>
        <v>1</v>
      </c>
    </row>
    <row r="697" spans="1:17" x14ac:dyDescent="0.25">
      <c r="A697" s="7">
        <v>46263.958333333336</v>
      </c>
      <c r="B697" s="6">
        <v>0</v>
      </c>
      <c r="C697" s="13">
        <v>0</v>
      </c>
      <c r="D697" s="18">
        <f t="shared" si="110"/>
        <v>0</v>
      </c>
      <c r="E697" s="14">
        <v>878.85</v>
      </c>
      <c r="F697" s="18">
        <f t="shared" si="114"/>
        <v>0</v>
      </c>
      <c r="G697" s="18">
        <f t="shared" si="115"/>
        <v>878.85</v>
      </c>
      <c r="H697" s="14">
        <v>36.24</v>
      </c>
      <c r="I697" s="18">
        <f t="shared" si="116"/>
        <v>0</v>
      </c>
      <c r="J697" s="18">
        <f t="shared" si="117"/>
        <v>36.24</v>
      </c>
      <c r="K697" s="14">
        <v>3.72</v>
      </c>
      <c r="L697" s="18">
        <f t="shared" si="118"/>
        <v>0</v>
      </c>
      <c r="M697" s="18">
        <f t="shared" si="119"/>
        <v>3.72</v>
      </c>
      <c r="N697" s="15">
        <f t="shared" si="120"/>
        <v>918.81000000000006</v>
      </c>
      <c r="O697" s="15">
        <f t="shared" si="111"/>
        <v>0</v>
      </c>
      <c r="P697" s="15">
        <f t="shared" si="112"/>
        <v>918.81000000000006</v>
      </c>
      <c r="Q697" s="5">
        <f t="shared" si="113"/>
        <v>1</v>
      </c>
    </row>
    <row r="698" spans="1:17" x14ac:dyDescent="0.25">
      <c r="A698" s="7">
        <v>46264</v>
      </c>
      <c r="B698" s="6">
        <v>0</v>
      </c>
      <c r="C698" s="13">
        <v>0</v>
      </c>
      <c r="D698" s="18">
        <f t="shared" si="110"/>
        <v>0</v>
      </c>
      <c r="E698" s="14">
        <v>863.1</v>
      </c>
      <c r="F698" s="18">
        <f t="shared" si="114"/>
        <v>0</v>
      </c>
      <c r="G698" s="18">
        <f t="shared" si="115"/>
        <v>863.1</v>
      </c>
      <c r="H698" s="14">
        <v>37.08</v>
      </c>
      <c r="I698" s="18">
        <f t="shared" si="116"/>
        <v>0</v>
      </c>
      <c r="J698" s="18">
        <f t="shared" si="117"/>
        <v>37.08</v>
      </c>
      <c r="K698" s="14">
        <v>3.72</v>
      </c>
      <c r="L698" s="18">
        <f t="shared" si="118"/>
        <v>0</v>
      </c>
      <c r="M698" s="18">
        <f t="shared" si="119"/>
        <v>3.72</v>
      </c>
      <c r="N698" s="15">
        <f t="shared" si="120"/>
        <v>903.90000000000009</v>
      </c>
      <c r="O698" s="15">
        <f t="shared" si="111"/>
        <v>0</v>
      </c>
      <c r="P698" s="15">
        <f t="shared" si="112"/>
        <v>903.90000000000009</v>
      </c>
      <c r="Q698" s="5">
        <f t="shared" si="113"/>
        <v>1</v>
      </c>
    </row>
    <row r="699" spans="1:17" x14ac:dyDescent="0.25">
      <c r="A699" s="7">
        <v>46264.041666666664</v>
      </c>
      <c r="B699" s="6">
        <v>0</v>
      </c>
      <c r="C699" s="13">
        <v>0</v>
      </c>
      <c r="D699" s="18">
        <f t="shared" si="110"/>
        <v>0</v>
      </c>
      <c r="E699" s="14">
        <v>211.05</v>
      </c>
      <c r="F699" s="18">
        <f t="shared" si="114"/>
        <v>0</v>
      </c>
      <c r="G699" s="18">
        <f t="shared" si="115"/>
        <v>211.05</v>
      </c>
      <c r="H699" s="14">
        <v>35.28</v>
      </c>
      <c r="I699" s="18">
        <f t="shared" si="116"/>
        <v>0</v>
      </c>
      <c r="J699" s="18">
        <f t="shared" si="117"/>
        <v>35.28</v>
      </c>
      <c r="K699" s="14">
        <v>3.72</v>
      </c>
      <c r="L699" s="18">
        <f t="shared" si="118"/>
        <v>0</v>
      </c>
      <c r="M699" s="18">
        <f t="shared" si="119"/>
        <v>3.72</v>
      </c>
      <c r="N699" s="15">
        <f t="shared" si="120"/>
        <v>250.05</v>
      </c>
      <c r="O699" s="15">
        <f t="shared" si="111"/>
        <v>0</v>
      </c>
      <c r="P699" s="15">
        <f t="shared" si="112"/>
        <v>250.05</v>
      </c>
      <c r="Q699" s="5">
        <f t="shared" si="113"/>
        <v>1</v>
      </c>
    </row>
    <row r="700" spans="1:17" x14ac:dyDescent="0.25">
      <c r="A700" s="7">
        <v>46264.083333333336</v>
      </c>
      <c r="B700" s="6">
        <v>0</v>
      </c>
      <c r="C700" s="13">
        <v>0</v>
      </c>
      <c r="D700" s="18">
        <f t="shared" si="110"/>
        <v>0</v>
      </c>
      <c r="E700" s="14">
        <v>677.25</v>
      </c>
      <c r="F700" s="18">
        <f t="shared" si="114"/>
        <v>0</v>
      </c>
      <c r="G700" s="18">
        <f t="shared" si="115"/>
        <v>677.25</v>
      </c>
      <c r="H700" s="14">
        <v>33.119999999999997</v>
      </c>
      <c r="I700" s="18">
        <f t="shared" si="116"/>
        <v>0</v>
      </c>
      <c r="J700" s="18">
        <f t="shared" si="117"/>
        <v>33.119999999999997</v>
      </c>
      <c r="K700" s="14">
        <v>3.6</v>
      </c>
      <c r="L700" s="18">
        <f t="shared" si="118"/>
        <v>0</v>
      </c>
      <c r="M700" s="18">
        <f t="shared" si="119"/>
        <v>3.6</v>
      </c>
      <c r="N700" s="15">
        <f t="shared" si="120"/>
        <v>713.97</v>
      </c>
      <c r="O700" s="15">
        <f t="shared" si="111"/>
        <v>0</v>
      </c>
      <c r="P700" s="15">
        <f t="shared" si="112"/>
        <v>713.97</v>
      </c>
      <c r="Q700" s="5">
        <f t="shared" si="113"/>
        <v>1</v>
      </c>
    </row>
    <row r="701" spans="1:17" x14ac:dyDescent="0.25">
      <c r="A701" s="7">
        <v>46264.125</v>
      </c>
      <c r="B701" s="6">
        <v>0</v>
      </c>
      <c r="C701" s="13">
        <v>0</v>
      </c>
      <c r="D701" s="18">
        <f t="shared" si="110"/>
        <v>0</v>
      </c>
      <c r="E701" s="14">
        <v>841.05</v>
      </c>
      <c r="F701" s="18">
        <f t="shared" si="114"/>
        <v>0</v>
      </c>
      <c r="G701" s="18">
        <f t="shared" si="115"/>
        <v>841.05</v>
      </c>
      <c r="H701" s="14">
        <v>36.6</v>
      </c>
      <c r="I701" s="18">
        <f t="shared" si="116"/>
        <v>0</v>
      </c>
      <c r="J701" s="18">
        <f t="shared" si="117"/>
        <v>36.6</v>
      </c>
      <c r="K701" s="14">
        <v>4.8</v>
      </c>
      <c r="L701" s="18">
        <f t="shared" si="118"/>
        <v>0</v>
      </c>
      <c r="M701" s="18">
        <f t="shared" si="119"/>
        <v>4.8</v>
      </c>
      <c r="N701" s="15">
        <f t="shared" si="120"/>
        <v>882.44999999999993</v>
      </c>
      <c r="O701" s="15">
        <f t="shared" si="111"/>
        <v>0</v>
      </c>
      <c r="P701" s="15">
        <f t="shared" si="112"/>
        <v>882.44999999999993</v>
      </c>
      <c r="Q701" s="5">
        <f t="shared" si="113"/>
        <v>1</v>
      </c>
    </row>
    <row r="702" spans="1:17" x14ac:dyDescent="0.25">
      <c r="A702" s="7">
        <v>46264.166666666664</v>
      </c>
      <c r="B702" s="6">
        <v>0</v>
      </c>
      <c r="C702" s="13">
        <v>0</v>
      </c>
      <c r="D702" s="18">
        <f t="shared" si="110"/>
        <v>0</v>
      </c>
      <c r="E702" s="14">
        <v>869.4</v>
      </c>
      <c r="F702" s="18">
        <f t="shared" si="114"/>
        <v>0</v>
      </c>
      <c r="G702" s="18">
        <f t="shared" si="115"/>
        <v>869.4</v>
      </c>
      <c r="H702" s="14">
        <v>37.08</v>
      </c>
      <c r="I702" s="18">
        <f t="shared" si="116"/>
        <v>0</v>
      </c>
      <c r="J702" s="18">
        <f t="shared" si="117"/>
        <v>37.08</v>
      </c>
      <c r="K702" s="14">
        <v>3.72</v>
      </c>
      <c r="L702" s="18">
        <f t="shared" si="118"/>
        <v>0</v>
      </c>
      <c r="M702" s="18">
        <f t="shared" si="119"/>
        <v>3.72</v>
      </c>
      <c r="N702" s="15">
        <f t="shared" si="120"/>
        <v>910.2</v>
      </c>
      <c r="O702" s="15">
        <f t="shared" si="111"/>
        <v>0</v>
      </c>
      <c r="P702" s="15">
        <f t="shared" si="112"/>
        <v>910.2</v>
      </c>
      <c r="Q702" s="5">
        <f t="shared" si="113"/>
        <v>1</v>
      </c>
    </row>
    <row r="703" spans="1:17" x14ac:dyDescent="0.25">
      <c r="A703" s="7">
        <v>46264.208333333336</v>
      </c>
      <c r="B703" s="6">
        <v>0</v>
      </c>
      <c r="C703" s="13">
        <v>0</v>
      </c>
      <c r="D703" s="18">
        <f t="shared" si="110"/>
        <v>0</v>
      </c>
      <c r="E703" s="14">
        <v>894.6</v>
      </c>
      <c r="F703" s="18">
        <f t="shared" si="114"/>
        <v>0</v>
      </c>
      <c r="G703" s="18">
        <f t="shared" si="115"/>
        <v>894.6</v>
      </c>
      <c r="H703" s="14">
        <v>38.04</v>
      </c>
      <c r="I703" s="18">
        <f t="shared" si="116"/>
        <v>0</v>
      </c>
      <c r="J703" s="18">
        <f t="shared" si="117"/>
        <v>38.04</v>
      </c>
      <c r="K703" s="14">
        <v>3.72</v>
      </c>
      <c r="L703" s="18">
        <f t="shared" si="118"/>
        <v>0</v>
      </c>
      <c r="M703" s="18">
        <f t="shared" si="119"/>
        <v>3.72</v>
      </c>
      <c r="N703" s="15">
        <f t="shared" si="120"/>
        <v>936.36</v>
      </c>
      <c r="O703" s="15">
        <f t="shared" si="111"/>
        <v>0</v>
      </c>
      <c r="P703" s="15">
        <f t="shared" si="112"/>
        <v>936.36</v>
      </c>
      <c r="Q703" s="5">
        <f t="shared" si="113"/>
        <v>1</v>
      </c>
    </row>
    <row r="704" spans="1:17" x14ac:dyDescent="0.25">
      <c r="A704" s="7">
        <v>46264.25</v>
      </c>
      <c r="B704" s="6">
        <v>0</v>
      </c>
      <c r="C704" s="13">
        <v>0</v>
      </c>
      <c r="D704" s="18">
        <f t="shared" si="110"/>
        <v>0</v>
      </c>
      <c r="E704" s="14">
        <v>185.85</v>
      </c>
      <c r="F704" s="18">
        <f t="shared" si="114"/>
        <v>0</v>
      </c>
      <c r="G704" s="18">
        <f t="shared" si="115"/>
        <v>185.85</v>
      </c>
      <c r="H704" s="14">
        <v>45.24</v>
      </c>
      <c r="I704" s="18">
        <f t="shared" si="116"/>
        <v>0</v>
      </c>
      <c r="J704" s="18">
        <f t="shared" si="117"/>
        <v>45.24</v>
      </c>
      <c r="K704" s="14">
        <v>3.12</v>
      </c>
      <c r="L704" s="18">
        <f t="shared" si="118"/>
        <v>0</v>
      </c>
      <c r="M704" s="18">
        <f t="shared" si="119"/>
        <v>3.12</v>
      </c>
      <c r="N704" s="15">
        <f t="shared" si="120"/>
        <v>234.21</v>
      </c>
      <c r="O704" s="15">
        <f t="shared" si="111"/>
        <v>0</v>
      </c>
      <c r="P704" s="15">
        <f t="shared" si="112"/>
        <v>234.21</v>
      </c>
      <c r="Q704" s="5">
        <f t="shared" si="113"/>
        <v>1</v>
      </c>
    </row>
    <row r="705" spans="1:17" x14ac:dyDescent="0.25">
      <c r="A705" s="7">
        <v>46264.291666666664</v>
      </c>
      <c r="B705" s="6">
        <v>85.05</v>
      </c>
      <c r="C705" s="13">
        <v>0</v>
      </c>
      <c r="D705" s="18">
        <f t="shared" si="110"/>
        <v>85.05</v>
      </c>
      <c r="E705" s="14">
        <v>3.15</v>
      </c>
      <c r="F705" s="18">
        <f t="shared" si="114"/>
        <v>3.15</v>
      </c>
      <c r="G705" s="18">
        <f t="shared" si="115"/>
        <v>0</v>
      </c>
      <c r="H705" s="14">
        <v>33</v>
      </c>
      <c r="I705" s="18">
        <f t="shared" si="116"/>
        <v>33</v>
      </c>
      <c r="J705" s="18">
        <f t="shared" si="117"/>
        <v>0</v>
      </c>
      <c r="K705" s="14">
        <v>17.399999999999999</v>
      </c>
      <c r="L705" s="18">
        <f t="shared" si="118"/>
        <v>17.399999999999999</v>
      </c>
      <c r="M705" s="18">
        <f t="shared" si="119"/>
        <v>0</v>
      </c>
      <c r="N705" s="15">
        <f t="shared" si="120"/>
        <v>53.55</v>
      </c>
      <c r="O705" s="15">
        <f t="shared" si="111"/>
        <v>53.55</v>
      </c>
      <c r="P705" s="15">
        <f t="shared" si="112"/>
        <v>0</v>
      </c>
      <c r="Q705" s="5">
        <f t="shared" si="113"/>
        <v>0</v>
      </c>
    </row>
    <row r="706" spans="1:17" x14ac:dyDescent="0.25">
      <c r="A706" s="7">
        <v>46264.333333333336</v>
      </c>
      <c r="B706" s="6">
        <v>296.10000000000002</v>
      </c>
      <c r="C706" s="13">
        <v>0</v>
      </c>
      <c r="D706" s="18">
        <f t="shared" ref="D706:D745" si="121">+B706+C706</f>
        <v>296.10000000000002</v>
      </c>
      <c r="E706" s="14">
        <v>6.3</v>
      </c>
      <c r="F706" s="18">
        <f t="shared" si="114"/>
        <v>6.3</v>
      </c>
      <c r="G706" s="18">
        <f t="shared" si="115"/>
        <v>0</v>
      </c>
      <c r="H706" s="14">
        <v>175.08</v>
      </c>
      <c r="I706" s="18">
        <f t="shared" si="116"/>
        <v>175.08</v>
      </c>
      <c r="J706" s="18">
        <f t="shared" si="117"/>
        <v>0</v>
      </c>
      <c r="K706" s="14">
        <v>2.04</v>
      </c>
      <c r="L706" s="18">
        <f t="shared" si="118"/>
        <v>2.04</v>
      </c>
      <c r="M706" s="18">
        <f t="shared" si="119"/>
        <v>0</v>
      </c>
      <c r="N706" s="15">
        <f t="shared" si="120"/>
        <v>183.42000000000002</v>
      </c>
      <c r="O706" s="15">
        <f t="shared" ref="O706:O745" si="122">+N706-P706</f>
        <v>183.42000000000002</v>
      </c>
      <c r="P706" s="15">
        <f t="shared" ref="P706:P745" si="123">+IF(N706&gt;D706,N706-D706,0)</f>
        <v>0</v>
      </c>
      <c r="Q706" s="5">
        <f t="shared" ref="Q706:Q745" si="124">+IF(P706=0,P706,P706/N706)</f>
        <v>0</v>
      </c>
    </row>
    <row r="707" spans="1:17" x14ac:dyDescent="0.25">
      <c r="A707" s="7">
        <v>46264.375</v>
      </c>
      <c r="B707" s="6">
        <v>1014.3</v>
      </c>
      <c r="C707" s="13">
        <v>0</v>
      </c>
      <c r="D707" s="18">
        <f t="shared" si="121"/>
        <v>1014.3</v>
      </c>
      <c r="E707" s="14">
        <v>0</v>
      </c>
      <c r="F707" s="18">
        <f t="shared" ref="F707:F745" si="125">+E707-G707</f>
        <v>0</v>
      </c>
      <c r="G707" s="18">
        <f t="shared" ref="G707:G745" si="126">+E707*Q707</f>
        <v>0</v>
      </c>
      <c r="H707" s="14">
        <v>87.72</v>
      </c>
      <c r="I707" s="18">
        <f t="shared" ref="I707:I745" si="127">+H707-J707</f>
        <v>87.72</v>
      </c>
      <c r="J707" s="18">
        <f t="shared" ref="J707:J745" si="128">+H707*Q707</f>
        <v>0</v>
      </c>
      <c r="K707" s="14">
        <v>36.479999999999997</v>
      </c>
      <c r="L707" s="18">
        <f t="shared" ref="L707:L745" si="129">+K707-M707</f>
        <v>36.479999999999997</v>
      </c>
      <c r="M707" s="18">
        <f t="shared" ref="M707:M745" si="130">+K707*Q707</f>
        <v>0</v>
      </c>
      <c r="N707" s="15">
        <f t="shared" ref="N707:N745" si="131">+E707+H707+K707</f>
        <v>124.19999999999999</v>
      </c>
      <c r="O707" s="15">
        <f t="shared" si="122"/>
        <v>124.19999999999999</v>
      </c>
      <c r="P707" s="15">
        <f t="shared" si="123"/>
        <v>0</v>
      </c>
      <c r="Q707" s="5">
        <f t="shared" si="124"/>
        <v>0</v>
      </c>
    </row>
    <row r="708" spans="1:17" x14ac:dyDescent="0.25">
      <c r="A708" s="7">
        <v>46264.416666666664</v>
      </c>
      <c r="B708" s="6">
        <v>1502.55</v>
      </c>
      <c r="C708" s="13">
        <v>1.2</v>
      </c>
      <c r="D708" s="18">
        <f t="shared" si="121"/>
        <v>1503.75</v>
      </c>
      <c r="E708" s="14">
        <v>0</v>
      </c>
      <c r="F708" s="18">
        <f t="shared" si="125"/>
        <v>0</v>
      </c>
      <c r="G708" s="18">
        <f t="shared" si="126"/>
        <v>0</v>
      </c>
      <c r="H708" s="14">
        <v>69.599999999999994</v>
      </c>
      <c r="I708" s="18">
        <f t="shared" si="127"/>
        <v>69.599999999999994</v>
      </c>
      <c r="J708" s="18">
        <f t="shared" si="128"/>
        <v>0</v>
      </c>
      <c r="K708" s="14">
        <v>58.44</v>
      </c>
      <c r="L708" s="18">
        <f t="shared" si="129"/>
        <v>58.44</v>
      </c>
      <c r="M708" s="18">
        <f t="shared" si="130"/>
        <v>0</v>
      </c>
      <c r="N708" s="15">
        <f t="shared" si="131"/>
        <v>128.04</v>
      </c>
      <c r="O708" s="15">
        <f t="shared" si="122"/>
        <v>128.04</v>
      </c>
      <c r="P708" s="15">
        <f t="shared" si="123"/>
        <v>0</v>
      </c>
      <c r="Q708" s="5">
        <f t="shared" si="124"/>
        <v>0</v>
      </c>
    </row>
    <row r="709" spans="1:17" x14ac:dyDescent="0.25">
      <c r="A709" s="7">
        <v>46264.458333333336</v>
      </c>
      <c r="B709" s="6">
        <v>1808.1</v>
      </c>
      <c r="C709" s="13">
        <v>8.76</v>
      </c>
      <c r="D709" s="18">
        <f t="shared" si="121"/>
        <v>1816.86</v>
      </c>
      <c r="E709" s="14">
        <v>0</v>
      </c>
      <c r="F709" s="18">
        <f t="shared" si="125"/>
        <v>0</v>
      </c>
      <c r="G709" s="18">
        <f t="shared" si="126"/>
        <v>0</v>
      </c>
      <c r="H709" s="14">
        <v>30</v>
      </c>
      <c r="I709" s="18">
        <f t="shared" si="127"/>
        <v>30</v>
      </c>
      <c r="J709" s="18">
        <f t="shared" si="128"/>
        <v>0</v>
      </c>
      <c r="K709" s="14">
        <v>45</v>
      </c>
      <c r="L709" s="18">
        <f t="shared" si="129"/>
        <v>45</v>
      </c>
      <c r="M709" s="18">
        <f t="shared" si="130"/>
        <v>0</v>
      </c>
      <c r="N709" s="15">
        <f t="shared" si="131"/>
        <v>75</v>
      </c>
      <c r="O709" s="15">
        <f t="shared" si="122"/>
        <v>75</v>
      </c>
      <c r="P709" s="15">
        <f t="shared" si="123"/>
        <v>0</v>
      </c>
      <c r="Q709" s="5">
        <f t="shared" si="124"/>
        <v>0</v>
      </c>
    </row>
    <row r="710" spans="1:17" x14ac:dyDescent="0.25">
      <c r="A710" s="7">
        <v>46264.5</v>
      </c>
      <c r="B710" s="6">
        <v>2056.9499999999998</v>
      </c>
      <c r="C710" s="13">
        <v>10.56</v>
      </c>
      <c r="D710" s="18">
        <f t="shared" si="121"/>
        <v>2067.5099999999998</v>
      </c>
      <c r="E710" s="14">
        <v>0</v>
      </c>
      <c r="F710" s="18">
        <f t="shared" si="125"/>
        <v>0</v>
      </c>
      <c r="G710" s="18">
        <f t="shared" si="126"/>
        <v>0</v>
      </c>
      <c r="H710" s="14">
        <v>29.16</v>
      </c>
      <c r="I710" s="18">
        <f t="shared" si="127"/>
        <v>29.16</v>
      </c>
      <c r="J710" s="18">
        <f t="shared" si="128"/>
        <v>0</v>
      </c>
      <c r="K710" s="14">
        <v>30.12</v>
      </c>
      <c r="L710" s="18">
        <f t="shared" si="129"/>
        <v>30.12</v>
      </c>
      <c r="M710" s="18">
        <f t="shared" si="130"/>
        <v>0</v>
      </c>
      <c r="N710" s="15">
        <f t="shared" si="131"/>
        <v>59.28</v>
      </c>
      <c r="O710" s="15">
        <f t="shared" si="122"/>
        <v>59.28</v>
      </c>
      <c r="P710" s="15">
        <f t="shared" si="123"/>
        <v>0</v>
      </c>
      <c r="Q710" s="5">
        <f t="shared" si="124"/>
        <v>0</v>
      </c>
    </row>
    <row r="711" spans="1:17" x14ac:dyDescent="0.25">
      <c r="A711" s="7">
        <v>46264.541666666664</v>
      </c>
      <c r="B711" s="6">
        <v>2709</v>
      </c>
      <c r="C711" s="13">
        <v>5.28</v>
      </c>
      <c r="D711" s="18">
        <f t="shared" si="121"/>
        <v>2714.28</v>
      </c>
      <c r="E711" s="14">
        <v>0</v>
      </c>
      <c r="F711" s="18">
        <f t="shared" si="125"/>
        <v>0</v>
      </c>
      <c r="G711" s="18">
        <f t="shared" si="126"/>
        <v>0</v>
      </c>
      <c r="H711" s="14">
        <v>35.04</v>
      </c>
      <c r="I711" s="18">
        <f t="shared" si="127"/>
        <v>35.04</v>
      </c>
      <c r="J711" s="18">
        <f t="shared" si="128"/>
        <v>0</v>
      </c>
      <c r="K711" s="14">
        <v>22.56</v>
      </c>
      <c r="L711" s="18">
        <f t="shared" si="129"/>
        <v>22.56</v>
      </c>
      <c r="M711" s="18">
        <f t="shared" si="130"/>
        <v>0</v>
      </c>
      <c r="N711" s="15">
        <f t="shared" si="131"/>
        <v>57.599999999999994</v>
      </c>
      <c r="O711" s="15">
        <f t="shared" si="122"/>
        <v>57.599999999999994</v>
      </c>
      <c r="P711" s="15">
        <f t="shared" si="123"/>
        <v>0</v>
      </c>
      <c r="Q711" s="5">
        <f t="shared" si="124"/>
        <v>0</v>
      </c>
    </row>
    <row r="712" spans="1:17" x14ac:dyDescent="0.25">
      <c r="A712" s="7">
        <v>46264.583333333336</v>
      </c>
      <c r="B712" s="6">
        <v>2006.55</v>
      </c>
      <c r="C712" s="13">
        <v>1.32</v>
      </c>
      <c r="D712" s="18">
        <f t="shared" si="121"/>
        <v>2007.87</v>
      </c>
      <c r="E712" s="14">
        <v>0</v>
      </c>
      <c r="F712" s="18">
        <f t="shared" si="125"/>
        <v>0</v>
      </c>
      <c r="G712" s="18">
        <f t="shared" si="126"/>
        <v>0</v>
      </c>
      <c r="H712" s="14">
        <v>50.64</v>
      </c>
      <c r="I712" s="18">
        <f t="shared" si="127"/>
        <v>50.64</v>
      </c>
      <c r="J712" s="18">
        <f t="shared" si="128"/>
        <v>0</v>
      </c>
      <c r="K712" s="14">
        <v>29.4</v>
      </c>
      <c r="L712" s="18">
        <f t="shared" si="129"/>
        <v>29.4</v>
      </c>
      <c r="M712" s="18">
        <f t="shared" si="130"/>
        <v>0</v>
      </c>
      <c r="N712" s="15">
        <f t="shared" si="131"/>
        <v>80.039999999999992</v>
      </c>
      <c r="O712" s="15">
        <f t="shared" si="122"/>
        <v>80.039999999999992</v>
      </c>
      <c r="P712" s="15">
        <f t="shared" si="123"/>
        <v>0</v>
      </c>
      <c r="Q712" s="5">
        <f t="shared" si="124"/>
        <v>0</v>
      </c>
    </row>
    <row r="713" spans="1:17" x14ac:dyDescent="0.25">
      <c r="A713" s="7">
        <v>46264.625</v>
      </c>
      <c r="B713" s="6">
        <v>1326.15</v>
      </c>
      <c r="C713" s="13">
        <v>0</v>
      </c>
      <c r="D713" s="18">
        <f t="shared" si="121"/>
        <v>1326.15</v>
      </c>
      <c r="E713" s="14">
        <v>0</v>
      </c>
      <c r="F713" s="18">
        <f t="shared" si="125"/>
        <v>0</v>
      </c>
      <c r="G713" s="18">
        <f t="shared" si="126"/>
        <v>0</v>
      </c>
      <c r="H713" s="14">
        <v>100.32</v>
      </c>
      <c r="I713" s="18">
        <f t="shared" si="127"/>
        <v>100.32</v>
      </c>
      <c r="J713" s="18">
        <f t="shared" si="128"/>
        <v>0</v>
      </c>
      <c r="K713" s="14">
        <v>33.119999999999997</v>
      </c>
      <c r="L713" s="18">
        <f t="shared" si="129"/>
        <v>33.119999999999997</v>
      </c>
      <c r="M713" s="18">
        <f t="shared" si="130"/>
        <v>0</v>
      </c>
      <c r="N713" s="15">
        <f t="shared" si="131"/>
        <v>133.44</v>
      </c>
      <c r="O713" s="15">
        <f t="shared" si="122"/>
        <v>133.44</v>
      </c>
      <c r="P713" s="15">
        <f t="shared" si="123"/>
        <v>0</v>
      </c>
      <c r="Q713" s="5">
        <f t="shared" si="124"/>
        <v>0</v>
      </c>
    </row>
    <row r="714" spans="1:17" x14ac:dyDescent="0.25">
      <c r="A714" s="7">
        <v>46264.666666666664</v>
      </c>
      <c r="B714" s="6">
        <v>633.15</v>
      </c>
      <c r="C714" s="13">
        <v>0</v>
      </c>
      <c r="D714" s="18">
        <f t="shared" si="121"/>
        <v>633.15</v>
      </c>
      <c r="E714" s="14">
        <v>0</v>
      </c>
      <c r="F714" s="18">
        <f t="shared" si="125"/>
        <v>0</v>
      </c>
      <c r="G714" s="18">
        <f t="shared" si="126"/>
        <v>0</v>
      </c>
      <c r="H714" s="14">
        <v>109.32</v>
      </c>
      <c r="I714" s="18">
        <f t="shared" si="127"/>
        <v>109.32</v>
      </c>
      <c r="J714" s="18">
        <f t="shared" si="128"/>
        <v>0</v>
      </c>
      <c r="K714" s="14">
        <v>49.08</v>
      </c>
      <c r="L714" s="18">
        <f t="shared" si="129"/>
        <v>49.08</v>
      </c>
      <c r="M714" s="18">
        <f t="shared" si="130"/>
        <v>0</v>
      </c>
      <c r="N714" s="15">
        <f t="shared" si="131"/>
        <v>158.39999999999998</v>
      </c>
      <c r="O714" s="15">
        <f t="shared" si="122"/>
        <v>158.39999999999998</v>
      </c>
      <c r="P714" s="15">
        <f t="shared" si="123"/>
        <v>0</v>
      </c>
      <c r="Q714" s="5">
        <f t="shared" si="124"/>
        <v>0</v>
      </c>
    </row>
    <row r="715" spans="1:17" x14ac:dyDescent="0.25">
      <c r="A715" s="7">
        <v>46264.708333333336</v>
      </c>
      <c r="B715" s="6">
        <v>56.7</v>
      </c>
      <c r="C715" s="13">
        <v>0</v>
      </c>
      <c r="D715" s="18">
        <f t="shared" si="121"/>
        <v>56.7</v>
      </c>
      <c r="E715" s="14">
        <v>166.95</v>
      </c>
      <c r="F715" s="18">
        <f t="shared" si="125"/>
        <v>29.387678122380549</v>
      </c>
      <c r="G715" s="18">
        <f t="shared" si="126"/>
        <v>137.56232187761944</v>
      </c>
      <c r="H715" s="14">
        <v>118.44</v>
      </c>
      <c r="I715" s="18">
        <f t="shared" si="127"/>
        <v>20.848616932103937</v>
      </c>
      <c r="J715" s="18">
        <f t="shared" si="128"/>
        <v>97.591383067896061</v>
      </c>
      <c r="K715" s="14">
        <v>36.72</v>
      </c>
      <c r="L715" s="18">
        <f t="shared" si="129"/>
        <v>6.4637049455155058</v>
      </c>
      <c r="M715" s="18">
        <f t="shared" si="130"/>
        <v>30.256295054484493</v>
      </c>
      <c r="N715" s="15">
        <f t="shared" si="131"/>
        <v>322.11</v>
      </c>
      <c r="O715" s="15">
        <f t="shared" si="122"/>
        <v>56.699999999999989</v>
      </c>
      <c r="P715" s="15">
        <f t="shared" si="123"/>
        <v>265.41000000000003</v>
      </c>
      <c r="Q715" s="5">
        <f t="shared" si="124"/>
        <v>0.82397317686504612</v>
      </c>
    </row>
    <row r="716" spans="1:17" x14ac:dyDescent="0.25">
      <c r="A716" s="7">
        <v>46264.75</v>
      </c>
      <c r="B716" s="6">
        <v>0</v>
      </c>
      <c r="C716" s="13">
        <v>0</v>
      </c>
      <c r="D716" s="18">
        <f t="shared" si="121"/>
        <v>0</v>
      </c>
      <c r="E716" s="14">
        <v>393.75</v>
      </c>
      <c r="F716" s="18">
        <f t="shared" si="125"/>
        <v>0</v>
      </c>
      <c r="G716" s="18">
        <f t="shared" si="126"/>
        <v>393.75</v>
      </c>
      <c r="H716" s="14">
        <v>44.4</v>
      </c>
      <c r="I716" s="18">
        <f t="shared" si="127"/>
        <v>0</v>
      </c>
      <c r="J716" s="18">
        <f t="shared" si="128"/>
        <v>44.4</v>
      </c>
      <c r="K716" s="14">
        <v>32.28</v>
      </c>
      <c r="L716" s="18">
        <f t="shared" si="129"/>
        <v>0</v>
      </c>
      <c r="M716" s="18">
        <f t="shared" si="130"/>
        <v>32.28</v>
      </c>
      <c r="N716" s="15">
        <f t="shared" si="131"/>
        <v>470.42999999999995</v>
      </c>
      <c r="O716" s="15">
        <f t="shared" si="122"/>
        <v>0</v>
      </c>
      <c r="P716" s="15">
        <f t="shared" si="123"/>
        <v>470.42999999999995</v>
      </c>
      <c r="Q716" s="5">
        <f t="shared" si="124"/>
        <v>1</v>
      </c>
    </row>
    <row r="717" spans="1:17" x14ac:dyDescent="0.25">
      <c r="A717" s="7">
        <v>46264.791666666664</v>
      </c>
      <c r="B717" s="6">
        <v>0</v>
      </c>
      <c r="C717" s="13">
        <v>0</v>
      </c>
      <c r="D717" s="18">
        <f t="shared" si="121"/>
        <v>0</v>
      </c>
      <c r="E717" s="14">
        <v>56.7</v>
      </c>
      <c r="F717" s="18">
        <f t="shared" si="125"/>
        <v>0</v>
      </c>
      <c r="G717" s="18">
        <f t="shared" si="126"/>
        <v>56.7</v>
      </c>
      <c r="H717" s="14">
        <v>45.96</v>
      </c>
      <c r="I717" s="18">
        <f t="shared" si="127"/>
        <v>0</v>
      </c>
      <c r="J717" s="18">
        <f t="shared" si="128"/>
        <v>45.96</v>
      </c>
      <c r="K717" s="14">
        <v>28.68</v>
      </c>
      <c r="L717" s="18">
        <f t="shared" si="129"/>
        <v>0</v>
      </c>
      <c r="M717" s="18">
        <f t="shared" si="130"/>
        <v>28.68</v>
      </c>
      <c r="N717" s="15">
        <f t="shared" si="131"/>
        <v>131.34</v>
      </c>
      <c r="O717" s="15">
        <f t="shared" si="122"/>
        <v>0</v>
      </c>
      <c r="P717" s="15">
        <f t="shared" si="123"/>
        <v>131.34</v>
      </c>
      <c r="Q717" s="5">
        <f t="shared" si="124"/>
        <v>1</v>
      </c>
    </row>
    <row r="718" spans="1:17" x14ac:dyDescent="0.25">
      <c r="A718" s="7">
        <v>46264.833333333336</v>
      </c>
      <c r="B718" s="6">
        <v>0</v>
      </c>
      <c r="C718" s="13">
        <v>0</v>
      </c>
      <c r="D718" s="18">
        <f t="shared" si="121"/>
        <v>0</v>
      </c>
      <c r="E718" s="14">
        <v>702.45</v>
      </c>
      <c r="F718" s="18">
        <f t="shared" si="125"/>
        <v>0</v>
      </c>
      <c r="G718" s="18">
        <f t="shared" si="126"/>
        <v>702.45</v>
      </c>
      <c r="H718" s="14">
        <v>34.08</v>
      </c>
      <c r="I718" s="18">
        <f t="shared" si="127"/>
        <v>0</v>
      </c>
      <c r="J718" s="18">
        <f t="shared" si="128"/>
        <v>34.08</v>
      </c>
      <c r="K718" s="14">
        <v>8.4</v>
      </c>
      <c r="L718" s="18">
        <f t="shared" si="129"/>
        <v>0</v>
      </c>
      <c r="M718" s="18">
        <f t="shared" si="130"/>
        <v>8.4</v>
      </c>
      <c r="N718" s="15">
        <f t="shared" si="131"/>
        <v>744.93000000000006</v>
      </c>
      <c r="O718" s="15">
        <f t="shared" si="122"/>
        <v>0</v>
      </c>
      <c r="P718" s="15">
        <f t="shared" si="123"/>
        <v>744.93000000000006</v>
      </c>
      <c r="Q718" s="5">
        <f t="shared" si="124"/>
        <v>1</v>
      </c>
    </row>
    <row r="719" spans="1:17" x14ac:dyDescent="0.25">
      <c r="A719" s="7">
        <v>46264.875</v>
      </c>
      <c r="B719" s="6">
        <v>0</v>
      </c>
      <c r="C719" s="13">
        <v>0</v>
      </c>
      <c r="D719" s="18">
        <f t="shared" si="121"/>
        <v>0</v>
      </c>
      <c r="E719" s="14">
        <v>891.45</v>
      </c>
      <c r="F719" s="18">
        <f t="shared" si="125"/>
        <v>0</v>
      </c>
      <c r="G719" s="18">
        <f t="shared" si="126"/>
        <v>891.45</v>
      </c>
      <c r="H719" s="14">
        <v>34.44</v>
      </c>
      <c r="I719" s="18">
        <f t="shared" si="127"/>
        <v>0</v>
      </c>
      <c r="J719" s="18">
        <f t="shared" si="128"/>
        <v>34.44</v>
      </c>
      <c r="K719" s="14">
        <v>3.84</v>
      </c>
      <c r="L719" s="18">
        <f t="shared" si="129"/>
        <v>0</v>
      </c>
      <c r="M719" s="18">
        <f t="shared" si="130"/>
        <v>3.84</v>
      </c>
      <c r="N719" s="15">
        <f t="shared" si="131"/>
        <v>929.73000000000013</v>
      </c>
      <c r="O719" s="15">
        <f t="shared" si="122"/>
        <v>0</v>
      </c>
      <c r="P719" s="15">
        <f t="shared" si="123"/>
        <v>929.73000000000013</v>
      </c>
      <c r="Q719" s="5">
        <f t="shared" si="124"/>
        <v>1</v>
      </c>
    </row>
    <row r="720" spans="1:17" x14ac:dyDescent="0.25">
      <c r="A720" s="7">
        <v>46264.916666666664</v>
      </c>
      <c r="B720" s="6">
        <v>0</v>
      </c>
      <c r="C720" s="13">
        <v>0</v>
      </c>
      <c r="D720" s="18">
        <f t="shared" si="121"/>
        <v>0</v>
      </c>
      <c r="E720" s="14">
        <v>913.5</v>
      </c>
      <c r="F720" s="18">
        <f t="shared" si="125"/>
        <v>0</v>
      </c>
      <c r="G720" s="18">
        <f t="shared" si="126"/>
        <v>913.5</v>
      </c>
      <c r="H720" s="14">
        <v>33.96</v>
      </c>
      <c r="I720" s="18">
        <f t="shared" si="127"/>
        <v>0</v>
      </c>
      <c r="J720" s="18">
        <f t="shared" si="128"/>
        <v>33.96</v>
      </c>
      <c r="K720" s="14">
        <v>2.04</v>
      </c>
      <c r="L720" s="18">
        <f t="shared" si="129"/>
        <v>0</v>
      </c>
      <c r="M720" s="18">
        <f t="shared" si="130"/>
        <v>2.04</v>
      </c>
      <c r="N720" s="15">
        <f t="shared" si="131"/>
        <v>949.5</v>
      </c>
      <c r="O720" s="15">
        <f t="shared" si="122"/>
        <v>0</v>
      </c>
      <c r="P720" s="15">
        <f t="shared" si="123"/>
        <v>949.5</v>
      </c>
      <c r="Q720" s="5">
        <f t="shared" si="124"/>
        <v>1</v>
      </c>
    </row>
    <row r="721" spans="1:17" x14ac:dyDescent="0.25">
      <c r="A721" s="7">
        <v>46264.958333333336</v>
      </c>
      <c r="B721" s="6">
        <v>0</v>
      </c>
      <c r="C721" s="13">
        <v>0</v>
      </c>
      <c r="D721" s="18">
        <f t="shared" si="121"/>
        <v>0</v>
      </c>
      <c r="E721" s="14">
        <v>875.7</v>
      </c>
      <c r="F721" s="18">
        <f t="shared" si="125"/>
        <v>0</v>
      </c>
      <c r="G721" s="18">
        <f t="shared" si="126"/>
        <v>875.7</v>
      </c>
      <c r="H721" s="14">
        <v>35.159999999999997</v>
      </c>
      <c r="I721" s="18">
        <f t="shared" si="127"/>
        <v>0</v>
      </c>
      <c r="J721" s="18">
        <f t="shared" si="128"/>
        <v>35.159999999999997</v>
      </c>
      <c r="K721" s="14">
        <v>3.12</v>
      </c>
      <c r="L721" s="18">
        <f t="shared" si="129"/>
        <v>0</v>
      </c>
      <c r="M721" s="18">
        <f t="shared" si="130"/>
        <v>3.12</v>
      </c>
      <c r="N721" s="15">
        <f t="shared" si="131"/>
        <v>913.98</v>
      </c>
      <c r="O721" s="15">
        <f t="shared" si="122"/>
        <v>0</v>
      </c>
      <c r="P721" s="15">
        <f t="shared" si="123"/>
        <v>913.98</v>
      </c>
      <c r="Q721" s="5">
        <f t="shared" si="124"/>
        <v>1</v>
      </c>
    </row>
    <row r="722" spans="1:17" x14ac:dyDescent="0.25">
      <c r="A722" s="7">
        <v>46265</v>
      </c>
      <c r="B722" s="6">
        <v>0</v>
      </c>
      <c r="C722" s="13">
        <v>0</v>
      </c>
      <c r="D722" s="18">
        <f t="shared" si="121"/>
        <v>0</v>
      </c>
      <c r="E722" s="14"/>
      <c r="F722" s="18">
        <f t="shared" si="125"/>
        <v>0</v>
      </c>
      <c r="G722" s="18">
        <f t="shared" si="126"/>
        <v>0</v>
      </c>
      <c r="H722" s="14"/>
      <c r="I722" s="18">
        <f t="shared" si="127"/>
        <v>0</v>
      </c>
      <c r="J722" s="18">
        <f t="shared" si="128"/>
        <v>0</v>
      </c>
      <c r="K722" s="14">
        <v>11.08</v>
      </c>
      <c r="L722" s="18">
        <f t="shared" si="129"/>
        <v>0</v>
      </c>
      <c r="M722" s="18">
        <f t="shared" si="130"/>
        <v>11.08</v>
      </c>
      <c r="N722" s="15">
        <f t="shared" si="131"/>
        <v>11.08</v>
      </c>
      <c r="O722" s="15">
        <f t="shared" si="122"/>
        <v>0</v>
      </c>
      <c r="P722" s="15">
        <f t="shared" si="123"/>
        <v>11.08</v>
      </c>
      <c r="Q722" s="5">
        <f t="shared" si="124"/>
        <v>1</v>
      </c>
    </row>
    <row r="723" spans="1:17" x14ac:dyDescent="0.25">
      <c r="A723" s="7">
        <v>46265.041666666664</v>
      </c>
      <c r="B723" s="6">
        <v>0</v>
      </c>
      <c r="C723" s="13">
        <v>0</v>
      </c>
      <c r="D723" s="18">
        <f t="shared" si="121"/>
        <v>0</v>
      </c>
      <c r="E723" s="14"/>
      <c r="F723" s="18">
        <f t="shared" si="125"/>
        <v>0</v>
      </c>
      <c r="G723" s="18">
        <f t="shared" si="126"/>
        <v>0</v>
      </c>
      <c r="H723" s="14"/>
      <c r="I723" s="18">
        <f t="shared" si="127"/>
        <v>0</v>
      </c>
      <c r="J723" s="18">
        <f t="shared" si="128"/>
        <v>0</v>
      </c>
      <c r="K723" s="14">
        <v>12.4</v>
      </c>
      <c r="L723" s="18">
        <f t="shared" si="129"/>
        <v>0</v>
      </c>
      <c r="M723" s="18">
        <f t="shared" si="130"/>
        <v>12.4</v>
      </c>
      <c r="N723" s="15">
        <f t="shared" si="131"/>
        <v>12.4</v>
      </c>
      <c r="O723" s="15">
        <f t="shared" si="122"/>
        <v>0</v>
      </c>
      <c r="P723" s="15">
        <f t="shared" si="123"/>
        <v>12.4</v>
      </c>
      <c r="Q723" s="5">
        <f t="shared" si="124"/>
        <v>1</v>
      </c>
    </row>
    <row r="724" spans="1:17" x14ac:dyDescent="0.25">
      <c r="A724" s="7">
        <v>46265.083333333336</v>
      </c>
      <c r="B724" s="6">
        <v>0</v>
      </c>
      <c r="C724" s="13">
        <v>0</v>
      </c>
      <c r="D724" s="18">
        <f t="shared" si="121"/>
        <v>0</v>
      </c>
      <c r="E724" s="14"/>
      <c r="F724" s="18">
        <f t="shared" si="125"/>
        <v>0</v>
      </c>
      <c r="G724" s="18">
        <f t="shared" si="126"/>
        <v>0</v>
      </c>
      <c r="H724" s="14"/>
      <c r="I724" s="18">
        <f t="shared" si="127"/>
        <v>0</v>
      </c>
      <c r="J724" s="18">
        <f t="shared" si="128"/>
        <v>0</v>
      </c>
      <c r="K724" s="14">
        <v>11.2</v>
      </c>
      <c r="L724" s="18">
        <f t="shared" si="129"/>
        <v>0</v>
      </c>
      <c r="M724" s="18">
        <f t="shared" si="130"/>
        <v>11.2</v>
      </c>
      <c r="N724" s="15">
        <f t="shared" si="131"/>
        <v>11.2</v>
      </c>
      <c r="O724" s="15">
        <f t="shared" si="122"/>
        <v>0</v>
      </c>
      <c r="P724" s="15">
        <f t="shared" si="123"/>
        <v>11.2</v>
      </c>
      <c r="Q724" s="5">
        <f t="shared" si="124"/>
        <v>1</v>
      </c>
    </row>
    <row r="725" spans="1:17" x14ac:dyDescent="0.25">
      <c r="A725" s="7">
        <v>46265.125</v>
      </c>
      <c r="B725" s="6">
        <v>0</v>
      </c>
      <c r="C725" s="13">
        <v>0</v>
      </c>
      <c r="D725" s="18">
        <f t="shared" si="121"/>
        <v>0</v>
      </c>
      <c r="E725" s="14"/>
      <c r="F725" s="18">
        <f t="shared" si="125"/>
        <v>0</v>
      </c>
      <c r="G725" s="18">
        <f t="shared" si="126"/>
        <v>0</v>
      </c>
      <c r="H725" s="14"/>
      <c r="I725" s="18">
        <f t="shared" si="127"/>
        <v>0</v>
      </c>
      <c r="J725" s="18">
        <f t="shared" si="128"/>
        <v>0</v>
      </c>
      <c r="K725" s="14">
        <v>11.32</v>
      </c>
      <c r="L725" s="18">
        <f t="shared" si="129"/>
        <v>0</v>
      </c>
      <c r="M725" s="18">
        <f t="shared" si="130"/>
        <v>11.32</v>
      </c>
      <c r="N725" s="15">
        <f t="shared" si="131"/>
        <v>11.32</v>
      </c>
      <c r="O725" s="15">
        <f t="shared" si="122"/>
        <v>0</v>
      </c>
      <c r="P725" s="15">
        <f t="shared" si="123"/>
        <v>11.32</v>
      </c>
      <c r="Q725" s="5">
        <f t="shared" si="124"/>
        <v>1</v>
      </c>
    </row>
    <row r="726" spans="1:17" x14ac:dyDescent="0.25">
      <c r="A726" s="7">
        <v>46265.166666666664</v>
      </c>
      <c r="B726" s="6">
        <v>0</v>
      </c>
      <c r="C726" s="13">
        <v>0</v>
      </c>
      <c r="D726" s="18">
        <f t="shared" si="121"/>
        <v>0</v>
      </c>
      <c r="E726" s="14"/>
      <c r="F726" s="18">
        <f t="shared" si="125"/>
        <v>0</v>
      </c>
      <c r="G726" s="18">
        <f t="shared" si="126"/>
        <v>0</v>
      </c>
      <c r="H726" s="14"/>
      <c r="I726" s="18">
        <f t="shared" si="127"/>
        <v>0</v>
      </c>
      <c r="J726" s="18">
        <f t="shared" si="128"/>
        <v>0</v>
      </c>
      <c r="K726" s="14">
        <v>11.2</v>
      </c>
      <c r="L726" s="18">
        <f t="shared" si="129"/>
        <v>0</v>
      </c>
      <c r="M726" s="18">
        <f t="shared" si="130"/>
        <v>11.2</v>
      </c>
      <c r="N726" s="15">
        <f t="shared" si="131"/>
        <v>11.2</v>
      </c>
      <c r="O726" s="15">
        <f t="shared" si="122"/>
        <v>0</v>
      </c>
      <c r="P726" s="15">
        <f t="shared" si="123"/>
        <v>11.2</v>
      </c>
      <c r="Q726" s="5">
        <f t="shared" si="124"/>
        <v>1</v>
      </c>
    </row>
    <row r="727" spans="1:17" x14ac:dyDescent="0.25">
      <c r="A727" s="7">
        <v>46265.208333333336</v>
      </c>
      <c r="B727" s="6">
        <v>0</v>
      </c>
      <c r="C727" s="13">
        <v>0</v>
      </c>
      <c r="D727" s="18">
        <f t="shared" si="121"/>
        <v>0</v>
      </c>
      <c r="E727" s="14"/>
      <c r="F727" s="18">
        <f t="shared" si="125"/>
        <v>0</v>
      </c>
      <c r="G727" s="18">
        <f t="shared" si="126"/>
        <v>0</v>
      </c>
      <c r="H727" s="14"/>
      <c r="I727" s="18">
        <f t="shared" si="127"/>
        <v>0</v>
      </c>
      <c r="J727" s="18">
        <f t="shared" si="128"/>
        <v>0</v>
      </c>
      <c r="K727" s="14">
        <v>11.2</v>
      </c>
      <c r="L727" s="18">
        <f t="shared" si="129"/>
        <v>0</v>
      </c>
      <c r="M727" s="18">
        <f t="shared" si="130"/>
        <v>11.2</v>
      </c>
      <c r="N727" s="15">
        <f t="shared" si="131"/>
        <v>11.2</v>
      </c>
      <c r="O727" s="15">
        <f t="shared" si="122"/>
        <v>0</v>
      </c>
      <c r="P727" s="15">
        <f t="shared" si="123"/>
        <v>11.2</v>
      </c>
      <c r="Q727" s="5">
        <f t="shared" si="124"/>
        <v>1</v>
      </c>
    </row>
    <row r="728" spans="1:17" x14ac:dyDescent="0.25">
      <c r="A728" s="7">
        <v>46265.25</v>
      </c>
      <c r="B728" s="6">
        <v>0</v>
      </c>
      <c r="C728" s="13">
        <v>0</v>
      </c>
      <c r="D728" s="18">
        <f t="shared" si="121"/>
        <v>0</v>
      </c>
      <c r="E728" s="14"/>
      <c r="F728" s="18">
        <f t="shared" si="125"/>
        <v>0</v>
      </c>
      <c r="G728" s="18">
        <f t="shared" si="126"/>
        <v>0</v>
      </c>
      <c r="H728" s="14"/>
      <c r="I728" s="18">
        <f t="shared" si="127"/>
        <v>0</v>
      </c>
      <c r="J728" s="18">
        <f t="shared" si="128"/>
        <v>0</v>
      </c>
      <c r="K728" s="14">
        <v>10.48</v>
      </c>
      <c r="L728" s="18">
        <f t="shared" si="129"/>
        <v>0</v>
      </c>
      <c r="M728" s="18">
        <f t="shared" si="130"/>
        <v>10.48</v>
      </c>
      <c r="N728" s="15">
        <f t="shared" si="131"/>
        <v>10.48</v>
      </c>
      <c r="O728" s="15">
        <f t="shared" si="122"/>
        <v>0</v>
      </c>
      <c r="P728" s="15">
        <f t="shared" si="123"/>
        <v>10.48</v>
      </c>
      <c r="Q728" s="5">
        <f t="shared" si="124"/>
        <v>1</v>
      </c>
    </row>
    <row r="729" spans="1:17" x14ac:dyDescent="0.25">
      <c r="A729" s="7">
        <v>46265.291666666664</v>
      </c>
      <c r="B729" s="6">
        <v>0</v>
      </c>
      <c r="C729" s="13">
        <v>0</v>
      </c>
      <c r="D729" s="18">
        <f t="shared" si="121"/>
        <v>0</v>
      </c>
      <c r="E729" s="14"/>
      <c r="F729" s="18">
        <f t="shared" si="125"/>
        <v>0</v>
      </c>
      <c r="G729" s="18">
        <f t="shared" si="126"/>
        <v>0</v>
      </c>
      <c r="H729" s="14"/>
      <c r="I729" s="18">
        <f t="shared" si="127"/>
        <v>0</v>
      </c>
      <c r="J729" s="18">
        <f t="shared" si="128"/>
        <v>0</v>
      </c>
      <c r="K729" s="14">
        <v>2.2000000000000002</v>
      </c>
      <c r="L729" s="18">
        <f t="shared" si="129"/>
        <v>0</v>
      </c>
      <c r="M729" s="18">
        <f t="shared" si="130"/>
        <v>2.2000000000000002</v>
      </c>
      <c r="N729" s="15">
        <f t="shared" si="131"/>
        <v>2.2000000000000002</v>
      </c>
      <c r="O729" s="15">
        <f t="shared" si="122"/>
        <v>0</v>
      </c>
      <c r="P729" s="15">
        <f t="shared" si="123"/>
        <v>2.2000000000000002</v>
      </c>
      <c r="Q729" s="5">
        <f t="shared" si="124"/>
        <v>1</v>
      </c>
    </row>
    <row r="730" spans="1:17" x14ac:dyDescent="0.25">
      <c r="A730" s="7">
        <v>46265.333333333336</v>
      </c>
      <c r="B730" s="6">
        <v>0</v>
      </c>
      <c r="C730" s="13">
        <v>0</v>
      </c>
      <c r="D730" s="18">
        <f t="shared" si="121"/>
        <v>0</v>
      </c>
      <c r="E730" s="14"/>
      <c r="F730" s="18">
        <f t="shared" si="125"/>
        <v>0</v>
      </c>
      <c r="G730" s="18">
        <f t="shared" si="126"/>
        <v>0</v>
      </c>
      <c r="H730" s="14"/>
      <c r="I730" s="18">
        <f t="shared" si="127"/>
        <v>0</v>
      </c>
      <c r="J730" s="18">
        <f t="shared" si="128"/>
        <v>0</v>
      </c>
      <c r="K730" s="14">
        <v>10.24</v>
      </c>
      <c r="L730" s="18">
        <f t="shared" si="129"/>
        <v>0</v>
      </c>
      <c r="M730" s="18">
        <f t="shared" si="130"/>
        <v>10.24</v>
      </c>
      <c r="N730" s="15">
        <f t="shared" si="131"/>
        <v>10.24</v>
      </c>
      <c r="O730" s="15">
        <f t="shared" si="122"/>
        <v>0</v>
      </c>
      <c r="P730" s="15">
        <f t="shared" si="123"/>
        <v>10.24</v>
      </c>
      <c r="Q730" s="5">
        <f t="shared" si="124"/>
        <v>1</v>
      </c>
    </row>
    <row r="731" spans="1:17" x14ac:dyDescent="0.25">
      <c r="A731" s="7">
        <v>46265.375</v>
      </c>
      <c r="B731" s="6">
        <v>0</v>
      </c>
      <c r="C731" s="13">
        <v>0</v>
      </c>
      <c r="D731" s="18">
        <f t="shared" si="121"/>
        <v>0</v>
      </c>
      <c r="E731" s="14"/>
      <c r="F731" s="18">
        <f t="shared" si="125"/>
        <v>0</v>
      </c>
      <c r="G731" s="18">
        <f t="shared" si="126"/>
        <v>0</v>
      </c>
      <c r="H731" s="14"/>
      <c r="I731" s="18">
        <f t="shared" si="127"/>
        <v>0</v>
      </c>
      <c r="J731" s="18">
        <f t="shared" si="128"/>
        <v>0</v>
      </c>
      <c r="K731" s="14">
        <v>68.680000000000007</v>
      </c>
      <c r="L731" s="18">
        <f t="shared" si="129"/>
        <v>0</v>
      </c>
      <c r="M731" s="18">
        <f t="shared" si="130"/>
        <v>68.680000000000007</v>
      </c>
      <c r="N731" s="15">
        <f t="shared" si="131"/>
        <v>68.680000000000007</v>
      </c>
      <c r="O731" s="15">
        <f t="shared" si="122"/>
        <v>0</v>
      </c>
      <c r="P731" s="15">
        <f t="shared" si="123"/>
        <v>68.680000000000007</v>
      </c>
      <c r="Q731" s="5">
        <f t="shared" si="124"/>
        <v>1</v>
      </c>
    </row>
    <row r="732" spans="1:17" x14ac:dyDescent="0.25">
      <c r="A732" s="7">
        <v>46265.416666666664</v>
      </c>
      <c r="B732" s="6">
        <v>0</v>
      </c>
      <c r="C732" s="13">
        <v>0</v>
      </c>
      <c r="D732" s="18">
        <f t="shared" si="121"/>
        <v>0</v>
      </c>
      <c r="E732" s="14"/>
      <c r="F732" s="18">
        <f t="shared" si="125"/>
        <v>0</v>
      </c>
      <c r="G732" s="18">
        <f t="shared" si="126"/>
        <v>0</v>
      </c>
      <c r="H732" s="14"/>
      <c r="I732" s="18">
        <f t="shared" si="127"/>
        <v>0</v>
      </c>
      <c r="J732" s="18">
        <f t="shared" si="128"/>
        <v>0</v>
      </c>
      <c r="K732" s="14">
        <v>47.919999999999995</v>
      </c>
      <c r="L732" s="18">
        <f t="shared" si="129"/>
        <v>0</v>
      </c>
      <c r="M732" s="18">
        <f t="shared" si="130"/>
        <v>47.919999999999995</v>
      </c>
      <c r="N732" s="15">
        <f t="shared" si="131"/>
        <v>47.919999999999995</v>
      </c>
      <c r="O732" s="15">
        <f t="shared" si="122"/>
        <v>0</v>
      </c>
      <c r="P732" s="15">
        <f t="shared" si="123"/>
        <v>47.919999999999995</v>
      </c>
      <c r="Q732" s="5">
        <f t="shared" si="124"/>
        <v>1</v>
      </c>
    </row>
    <row r="733" spans="1:17" x14ac:dyDescent="0.25">
      <c r="A733" s="7">
        <v>46265.458333333336</v>
      </c>
      <c r="B733" s="6">
        <v>0</v>
      </c>
      <c r="C733" s="13">
        <v>0</v>
      </c>
      <c r="D733" s="18">
        <f t="shared" si="121"/>
        <v>0</v>
      </c>
      <c r="E733" s="14"/>
      <c r="F733" s="18">
        <f t="shared" si="125"/>
        <v>0</v>
      </c>
      <c r="G733" s="18">
        <f t="shared" si="126"/>
        <v>0</v>
      </c>
      <c r="H733" s="14"/>
      <c r="I733" s="18">
        <f t="shared" si="127"/>
        <v>0</v>
      </c>
      <c r="J733" s="18">
        <f t="shared" si="128"/>
        <v>0</v>
      </c>
      <c r="K733" s="14">
        <v>37.6</v>
      </c>
      <c r="L733" s="18">
        <f t="shared" si="129"/>
        <v>0</v>
      </c>
      <c r="M733" s="18">
        <f t="shared" si="130"/>
        <v>37.6</v>
      </c>
      <c r="N733" s="15">
        <f t="shared" si="131"/>
        <v>37.6</v>
      </c>
      <c r="O733" s="15">
        <f t="shared" si="122"/>
        <v>0</v>
      </c>
      <c r="P733" s="15">
        <f t="shared" si="123"/>
        <v>37.6</v>
      </c>
      <c r="Q733" s="5">
        <f t="shared" si="124"/>
        <v>1</v>
      </c>
    </row>
    <row r="734" spans="1:17" x14ac:dyDescent="0.25">
      <c r="A734" s="7">
        <v>46265.5</v>
      </c>
      <c r="B734" s="6">
        <v>0</v>
      </c>
      <c r="C734" s="13">
        <v>0</v>
      </c>
      <c r="D734" s="18">
        <f t="shared" si="121"/>
        <v>0</v>
      </c>
      <c r="E734" s="14"/>
      <c r="F734" s="18">
        <f t="shared" si="125"/>
        <v>0</v>
      </c>
      <c r="G734" s="18">
        <f t="shared" si="126"/>
        <v>0</v>
      </c>
      <c r="H734" s="14"/>
      <c r="I734" s="18">
        <f t="shared" si="127"/>
        <v>0</v>
      </c>
      <c r="J734" s="18">
        <f t="shared" si="128"/>
        <v>0</v>
      </c>
      <c r="K734" s="14">
        <v>19.12</v>
      </c>
      <c r="L734" s="18">
        <f t="shared" si="129"/>
        <v>0</v>
      </c>
      <c r="M734" s="18">
        <f t="shared" si="130"/>
        <v>19.12</v>
      </c>
      <c r="N734" s="15">
        <f t="shared" si="131"/>
        <v>19.12</v>
      </c>
      <c r="O734" s="15">
        <f t="shared" si="122"/>
        <v>0</v>
      </c>
      <c r="P734" s="15">
        <f t="shared" si="123"/>
        <v>19.12</v>
      </c>
      <c r="Q734" s="5">
        <f t="shared" si="124"/>
        <v>1</v>
      </c>
    </row>
    <row r="735" spans="1:17" x14ac:dyDescent="0.25">
      <c r="A735" s="7">
        <v>46265.541666666664</v>
      </c>
      <c r="B735" s="6">
        <v>0</v>
      </c>
      <c r="C735" s="13">
        <v>0</v>
      </c>
      <c r="D735" s="18">
        <f t="shared" si="121"/>
        <v>0</v>
      </c>
      <c r="E735" s="14"/>
      <c r="F735" s="18">
        <f t="shared" si="125"/>
        <v>0</v>
      </c>
      <c r="G735" s="18">
        <f t="shared" si="126"/>
        <v>0</v>
      </c>
      <c r="H735" s="14"/>
      <c r="I735" s="18">
        <f t="shared" si="127"/>
        <v>0</v>
      </c>
      <c r="J735" s="18">
        <f t="shared" si="128"/>
        <v>0</v>
      </c>
      <c r="K735" s="14">
        <v>18.04</v>
      </c>
      <c r="L735" s="18">
        <f t="shared" si="129"/>
        <v>0</v>
      </c>
      <c r="M735" s="18">
        <f t="shared" si="130"/>
        <v>18.04</v>
      </c>
      <c r="N735" s="15">
        <f t="shared" si="131"/>
        <v>18.04</v>
      </c>
      <c r="O735" s="15">
        <f t="shared" si="122"/>
        <v>0</v>
      </c>
      <c r="P735" s="15">
        <f t="shared" si="123"/>
        <v>18.04</v>
      </c>
      <c r="Q735" s="5">
        <f t="shared" si="124"/>
        <v>1</v>
      </c>
    </row>
    <row r="736" spans="1:17" x14ac:dyDescent="0.25">
      <c r="A736" s="7">
        <v>46265.583333333336</v>
      </c>
      <c r="B736" s="6">
        <v>0</v>
      </c>
      <c r="C736" s="13">
        <v>0</v>
      </c>
      <c r="D736" s="18">
        <f t="shared" si="121"/>
        <v>0</v>
      </c>
      <c r="E736" s="14"/>
      <c r="F736" s="18">
        <f t="shared" si="125"/>
        <v>0</v>
      </c>
      <c r="G736" s="18">
        <f t="shared" si="126"/>
        <v>0</v>
      </c>
      <c r="H736" s="14"/>
      <c r="I736" s="18">
        <f t="shared" si="127"/>
        <v>0</v>
      </c>
      <c r="J736" s="18">
        <f t="shared" si="128"/>
        <v>0</v>
      </c>
      <c r="K736" s="14">
        <v>36.76</v>
      </c>
      <c r="L736" s="18">
        <f t="shared" si="129"/>
        <v>0</v>
      </c>
      <c r="M736" s="18">
        <f t="shared" si="130"/>
        <v>36.76</v>
      </c>
      <c r="N736" s="15">
        <f t="shared" si="131"/>
        <v>36.76</v>
      </c>
      <c r="O736" s="15">
        <f t="shared" si="122"/>
        <v>0</v>
      </c>
      <c r="P736" s="15">
        <f t="shared" si="123"/>
        <v>36.76</v>
      </c>
      <c r="Q736" s="5">
        <f t="shared" si="124"/>
        <v>1</v>
      </c>
    </row>
    <row r="737" spans="1:17" x14ac:dyDescent="0.25">
      <c r="A737" s="7">
        <v>46265.625</v>
      </c>
      <c r="B737" s="6">
        <v>0</v>
      </c>
      <c r="C737" s="13">
        <v>0</v>
      </c>
      <c r="D737" s="18">
        <f t="shared" si="121"/>
        <v>0</v>
      </c>
      <c r="E737" s="14"/>
      <c r="F737" s="18">
        <f t="shared" si="125"/>
        <v>0</v>
      </c>
      <c r="G737" s="18">
        <f t="shared" si="126"/>
        <v>0</v>
      </c>
      <c r="H737" s="14"/>
      <c r="I737" s="18">
        <f t="shared" si="127"/>
        <v>0</v>
      </c>
      <c r="J737" s="18">
        <f t="shared" si="128"/>
        <v>0</v>
      </c>
      <c r="K737" s="14">
        <v>27.64</v>
      </c>
      <c r="L737" s="18">
        <f t="shared" si="129"/>
        <v>0</v>
      </c>
      <c r="M737" s="18">
        <f t="shared" si="130"/>
        <v>27.64</v>
      </c>
      <c r="N737" s="15">
        <f t="shared" si="131"/>
        <v>27.64</v>
      </c>
      <c r="O737" s="15">
        <f t="shared" si="122"/>
        <v>0</v>
      </c>
      <c r="P737" s="15">
        <f t="shared" si="123"/>
        <v>27.64</v>
      </c>
      <c r="Q737" s="5">
        <f t="shared" si="124"/>
        <v>1</v>
      </c>
    </row>
    <row r="738" spans="1:17" x14ac:dyDescent="0.25">
      <c r="A738" s="7">
        <v>46265.666666666664</v>
      </c>
      <c r="B738" s="6">
        <v>0</v>
      </c>
      <c r="C738" s="13">
        <v>0</v>
      </c>
      <c r="D738" s="18">
        <f t="shared" si="121"/>
        <v>0</v>
      </c>
      <c r="E738" s="14"/>
      <c r="F738" s="18">
        <f t="shared" si="125"/>
        <v>0</v>
      </c>
      <c r="G738" s="18">
        <f t="shared" si="126"/>
        <v>0</v>
      </c>
      <c r="H738" s="14"/>
      <c r="I738" s="18">
        <f t="shared" si="127"/>
        <v>0</v>
      </c>
      <c r="J738" s="18">
        <f t="shared" si="128"/>
        <v>0</v>
      </c>
      <c r="K738" s="14">
        <v>17.32</v>
      </c>
      <c r="L738" s="18">
        <f t="shared" si="129"/>
        <v>0</v>
      </c>
      <c r="M738" s="18">
        <f t="shared" si="130"/>
        <v>17.32</v>
      </c>
      <c r="N738" s="15">
        <f t="shared" si="131"/>
        <v>17.32</v>
      </c>
      <c r="O738" s="15">
        <f t="shared" si="122"/>
        <v>0</v>
      </c>
      <c r="P738" s="15">
        <f t="shared" si="123"/>
        <v>17.32</v>
      </c>
      <c r="Q738" s="5">
        <f t="shared" si="124"/>
        <v>1</v>
      </c>
    </row>
    <row r="739" spans="1:17" x14ac:dyDescent="0.25">
      <c r="A739" s="7">
        <v>46265.708333333336</v>
      </c>
      <c r="B739" s="6">
        <v>0</v>
      </c>
      <c r="C739" s="13">
        <v>0</v>
      </c>
      <c r="D739" s="18">
        <f t="shared" si="121"/>
        <v>0</v>
      </c>
      <c r="E739" s="14"/>
      <c r="F739" s="18">
        <f t="shared" si="125"/>
        <v>0</v>
      </c>
      <c r="G739" s="18">
        <f t="shared" si="126"/>
        <v>0</v>
      </c>
      <c r="H739" s="14"/>
      <c r="I739" s="18">
        <f t="shared" si="127"/>
        <v>0</v>
      </c>
      <c r="J739" s="18">
        <f t="shared" si="128"/>
        <v>0</v>
      </c>
      <c r="K739" s="14">
        <v>16.72</v>
      </c>
      <c r="L739" s="18">
        <f t="shared" si="129"/>
        <v>0</v>
      </c>
      <c r="M739" s="18">
        <f t="shared" si="130"/>
        <v>16.72</v>
      </c>
      <c r="N739" s="15">
        <f t="shared" si="131"/>
        <v>16.72</v>
      </c>
      <c r="O739" s="15">
        <f t="shared" si="122"/>
        <v>0</v>
      </c>
      <c r="P739" s="15">
        <f t="shared" si="123"/>
        <v>16.72</v>
      </c>
      <c r="Q739" s="5">
        <f t="shared" si="124"/>
        <v>1</v>
      </c>
    </row>
    <row r="740" spans="1:17" x14ac:dyDescent="0.25">
      <c r="A740" s="7">
        <v>46265.75</v>
      </c>
      <c r="B740" s="6">
        <v>0</v>
      </c>
      <c r="C740" s="13">
        <v>0</v>
      </c>
      <c r="D740" s="18">
        <f t="shared" si="121"/>
        <v>0</v>
      </c>
      <c r="E740" s="14"/>
      <c r="F740" s="18">
        <f t="shared" si="125"/>
        <v>0</v>
      </c>
      <c r="G740" s="18">
        <f t="shared" si="126"/>
        <v>0</v>
      </c>
      <c r="H740" s="14"/>
      <c r="I740" s="18">
        <f t="shared" si="127"/>
        <v>0</v>
      </c>
      <c r="J740" s="18">
        <f t="shared" si="128"/>
        <v>0</v>
      </c>
      <c r="K740" s="14">
        <v>21.64</v>
      </c>
      <c r="L740" s="18">
        <f t="shared" si="129"/>
        <v>0</v>
      </c>
      <c r="M740" s="18">
        <f t="shared" si="130"/>
        <v>21.64</v>
      </c>
      <c r="N740" s="15">
        <f t="shared" si="131"/>
        <v>21.64</v>
      </c>
      <c r="O740" s="15">
        <f t="shared" si="122"/>
        <v>0</v>
      </c>
      <c r="P740" s="15">
        <f t="shared" si="123"/>
        <v>21.64</v>
      </c>
      <c r="Q740" s="5">
        <f t="shared" si="124"/>
        <v>1</v>
      </c>
    </row>
    <row r="741" spans="1:17" x14ac:dyDescent="0.25">
      <c r="A741" s="7">
        <v>46265.791666666664</v>
      </c>
      <c r="B741" s="6">
        <v>0</v>
      </c>
      <c r="C741" s="13">
        <v>0</v>
      </c>
      <c r="D741" s="18">
        <f t="shared" si="121"/>
        <v>0</v>
      </c>
      <c r="E741" s="14"/>
      <c r="F741" s="18">
        <f t="shared" si="125"/>
        <v>0</v>
      </c>
      <c r="G741" s="18">
        <f t="shared" si="126"/>
        <v>0</v>
      </c>
      <c r="H741" s="14"/>
      <c r="I741" s="18">
        <f t="shared" si="127"/>
        <v>0</v>
      </c>
      <c r="J741" s="18">
        <f t="shared" si="128"/>
        <v>0</v>
      </c>
      <c r="K741" s="14">
        <v>2.44</v>
      </c>
      <c r="L741" s="18">
        <f t="shared" si="129"/>
        <v>0</v>
      </c>
      <c r="M741" s="18">
        <f t="shared" si="130"/>
        <v>2.44</v>
      </c>
      <c r="N741" s="15">
        <f t="shared" si="131"/>
        <v>2.44</v>
      </c>
      <c r="O741" s="15">
        <f t="shared" si="122"/>
        <v>0</v>
      </c>
      <c r="P741" s="15">
        <f t="shared" si="123"/>
        <v>2.44</v>
      </c>
      <c r="Q741" s="5">
        <f t="shared" si="124"/>
        <v>1</v>
      </c>
    </row>
    <row r="742" spans="1:17" x14ac:dyDescent="0.25">
      <c r="A742" s="7">
        <v>46265.833333333336</v>
      </c>
      <c r="B742" s="6">
        <v>0</v>
      </c>
      <c r="C742" s="13">
        <v>0</v>
      </c>
      <c r="D742" s="18">
        <f t="shared" si="121"/>
        <v>0</v>
      </c>
      <c r="E742" s="14"/>
      <c r="F742" s="18">
        <f t="shared" si="125"/>
        <v>0</v>
      </c>
      <c r="G742" s="18">
        <f t="shared" si="126"/>
        <v>0</v>
      </c>
      <c r="H742" s="14"/>
      <c r="I742" s="18">
        <f t="shared" si="127"/>
        <v>0</v>
      </c>
      <c r="J742" s="18">
        <f t="shared" si="128"/>
        <v>0</v>
      </c>
      <c r="K742" s="14">
        <v>3.52</v>
      </c>
      <c r="L742" s="18">
        <f t="shared" si="129"/>
        <v>0</v>
      </c>
      <c r="M742" s="18">
        <f t="shared" si="130"/>
        <v>3.52</v>
      </c>
      <c r="N742" s="15">
        <f t="shared" si="131"/>
        <v>3.52</v>
      </c>
      <c r="O742" s="15">
        <f t="shared" si="122"/>
        <v>0</v>
      </c>
      <c r="P742" s="15">
        <f t="shared" si="123"/>
        <v>3.52</v>
      </c>
      <c r="Q742" s="5">
        <f t="shared" si="124"/>
        <v>1</v>
      </c>
    </row>
    <row r="743" spans="1:17" x14ac:dyDescent="0.25">
      <c r="A743" s="7">
        <v>46265.875</v>
      </c>
      <c r="B743" s="6">
        <v>0</v>
      </c>
      <c r="C743" s="13">
        <v>0</v>
      </c>
      <c r="D743" s="18">
        <f t="shared" si="121"/>
        <v>0</v>
      </c>
      <c r="E743" s="14"/>
      <c r="F743" s="18">
        <f t="shared" si="125"/>
        <v>0</v>
      </c>
      <c r="G743" s="18">
        <f t="shared" si="126"/>
        <v>0</v>
      </c>
      <c r="H743" s="14"/>
      <c r="I743" s="18">
        <f t="shared" si="127"/>
        <v>0</v>
      </c>
      <c r="J743" s="18">
        <f t="shared" si="128"/>
        <v>0</v>
      </c>
      <c r="K743" s="14">
        <v>4.12</v>
      </c>
      <c r="L743" s="18">
        <f t="shared" si="129"/>
        <v>0</v>
      </c>
      <c r="M743" s="18">
        <f t="shared" si="130"/>
        <v>4.12</v>
      </c>
      <c r="N743" s="15">
        <f t="shared" si="131"/>
        <v>4.12</v>
      </c>
      <c r="O743" s="15">
        <f t="shared" si="122"/>
        <v>0</v>
      </c>
      <c r="P743" s="15">
        <f t="shared" si="123"/>
        <v>4.12</v>
      </c>
      <c r="Q743" s="5">
        <f t="shared" si="124"/>
        <v>1</v>
      </c>
    </row>
    <row r="744" spans="1:17" x14ac:dyDescent="0.25">
      <c r="A744" s="7">
        <v>46265.916666666664</v>
      </c>
      <c r="B744" s="6">
        <v>0</v>
      </c>
      <c r="C744" s="13">
        <v>0</v>
      </c>
      <c r="D744" s="18">
        <f t="shared" si="121"/>
        <v>0</v>
      </c>
      <c r="E744" s="14"/>
      <c r="F744" s="18">
        <f t="shared" si="125"/>
        <v>0</v>
      </c>
      <c r="G744" s="18">
        <f t="shared" si="126"/>
        <v>0</v>
      </c>
      <c r="H744" s="14"/>
      <c r="I744" s="18">
        <f t="shared" si="127"/>
        <v>0</v>
      </c>
      <c r="J744" s="18">
        <f t="shared" si="128"/>
        <v>0</v>
      </c>
      <c r="K744" s="14">
        <v>4.96</v>
      </c>
      <c r="L744" s="18">
        <f t="shared" si="129"/>
        <v>0</v>
      </c>
      <c r="M744" s="18">
        <f t="shared" si="130"/>
        <v>4.96</v>
      </c>
      <c r="N744" s="15">
        <f t="shared" si="131"/>
        <v>4.96</v>
      </c>
      <c r="O744" s="15">
        <f t="shared" si="122"/>
        <v>0</v>
      </c>
      <c r="P744" s="15">
        <f t="shared" si="123"/>
        <v>4.96</v>
      </c>
      <c r="Q744" s="5">
        <f t="shared" si="124"/>
        <v>1</v>
      </c>
    </row>
    <row r="745" spans="1:17" x14ac:dyDescent="0.25">
      <c r="A745" s="7">
        <v>46265.958333333336</v>
      </c>
      <c r="B745" s="6">
        <v>0</v>
      </c>
      <c r="C745" s="13">
        <v>0</v>
      </c>
      <c r="D745" s="18">
        <f t="shared" si="121"/>
        <v>0</v>
      </c>
      <c r="E745" s="14"/>
      <c r="F745" s="18">
        <f t="shared" si="125"/>
        <v>0</v>
      </c>
      <c r="G745" s="18">
        <f t="shared" si="126"/>
        <v>0</v>
      </c>
      <c r="H745" s="14"/>
      <c r="I745" s="18">
        <f t="shared" si="127"/>
        <v>0</v>
      </c>
      <c r="J745" s="18">
        <f t="shared" si="128"/>
        <v>0</v>
      </c>
      <c r="K745" s="14">
        <v>4.12</v>
      </c>
      <c r="L745" s="18">
        <f t="shared" si="129"/>
        <v>0</v>
      </c>
      <c r="M745" s="18">
        <f t="shared" si="130"/>
        <v>4.12</v>
      </c>
      <c r="N745" s="15">
        <f t="shared" si="131"/>
        <v>4.12</v>
      </c>
      <c r="O745" s="15">
        <f t="shared" si="122"/>
        <v>0</v>
      </c>
      <c r="P745" s="15">
        <f t="shared" si="123"/>
        <v>4.12</v>
      </c>
      <c r="Q745" s="5">
        <f t="shared" si="124"/>
        <v>1</v>
      </c>
    </row>
    <row r="746" spans="1:17" x14ac:dyDescent="0.25">
      <c r="A746" s="4"/>
      <c r="B746" s="16">
        <f>SUM(B2:B745)</f>
        <v>416571.75000000047</v>
      </c>
      <c r="C746" s="16">
        <f>SUM(C2:C745)</f>
        <v>4373.2799999999979</v>
      </c>
      <c r="D746" s="15">
        <f>SUM(D2:D745)</f>
        <v>420945.03</v>
      </c>
      <c r="E746" s="16">
        <f t="shared" ref="E746:H746" si="132">SUM(E2:E745)</f>
        <v>177625.34999999995</v>
      </c>
      <c r="F746" s="15">
        <f t="shared" ref="F746" si="133">SUM(F2:F745)</f>
        <v>2669.8594173819679</v>
      </c>
      <c r="G746" s="15">
        <f t="shared" ref="G746" si="134">SUM(G2:G745)</f>
        <v>174955.49058261808</v>
      </c>
      <c r="H746" s="16">
        <f t="shared" si="132"/>
        <v>39250.800000000017</v>
      </c>
      <c r="I746" s="15">
        <f t="shared" ref="I746" si="135">SUM(I2:I745)</f>
        <v>16585.007385818211</v>
      </c>
      <c r="J746" s="15">
        <f t="shared" ref="J746" si="136">SUM(J2:J745)</f>
        <v>22665.792614181806</v>
      </c>
      <c r="K746" s="16">
        <f t="shared" ref="K746" si="137">SUM(K2:K745)</f>
        <v>13041.960000000012</v>
      </c>
      <c r="L746" s="15">
        <f t="shared" ref="L746" si="138">SUM(L2:L745)</f>
        <v>9616.3231967998236</v>
      </c>
      <c r="M746" s="15">
        <f t="shared" ref="M746" si="139">SUM(M2:M745)</f>
        <v>3425.6368032001806</v>
      </c>
      <c r="N746" s="15">
        <f>SUM(N2:N745)</f>
        <v>229918.10999999996</v>
      </c>
      <c r="O746" s="15">
        <f>SUM(O2:O745)</f>
        <v>28871.190000000013</v>
      </c>
      <c r="P746" s="15">
        <f>SUM(P2:P745)</f>
        <v>201046.9199999999</v>
      </c>
      <c r="Q746" s="3">
        <f>SUM(Q2:Q745)</f>
        <v>428.19829923086519</v>
      </c>
    </row>
    <row r="747" spans="1:17" x14ac:dyDescent="0.25">
      <c r="O747" s="2"/>
    </row>
    <row r="750" spans="1:17" x14ac:dyDescent="0.25">
      <c r="O750" s="20"/>
    </row>
    <row r="751" spans="1:17" x14ac:dyDescent="0.25">
      <c r="O751" s="20"/>
    </row>
    <row r="752" spans="1:17" x14ac:dyDescent="0.25">
      <c r="O752" s="20"/>
    </row>
    <row r="753" spans="15:16" x14ac:dyDescent="0.25">
      <c r="O753" s="21"/>
      <c r="P753" s="21"/>
    </row>
  </sheetData>
  <autoFilter ref="A1:Q746" xr:uid="{8CC65E0F-C2C1-4373-AD6E-5B5D47F47BD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3202-685C-49A6-8B97-F0D3C3FC75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E7AF-ACDE-4A13-9144-2C6A3CB90039}">
  <dimension ref="A1:Q753"/>
  <sheetViews>
    <sheetView tabSelected="1" workbookViewId="0">
      <pane ySplit="1" topLeftCell="A719" activePane="bottomLeft" state="frozen"/>
      <selection pane="bottomLeft" activeCell="G751" sqref="G751"/>
    </sheetView>
  </sheetViews>
  <sheetFormatPr defaultRowHeight="15" x14ac:dyDescent="0.25"/>
  <cols>
    <col min="1" max="1" width="17.28515625" style="1" bestFit="1" customWidth="1"/>
    <col min="2" max="2" width="17.28515625" style="1" customWidth="1"/>
    <col min="3" max="3" width="17.28515625" style="1" bestFit="1" customWidth="1"/>
    <col min="4" max="4" width="13.140625" style="1" bestFit="1" customWidth="1"/>
    <col min="5" max="5" width="18" style="1" bestFit="1" customWidth="1"/>
    <col min="6" max="6" width="20.5703125" style="1" bestFit="1" customWidth="1"/>
    <col min="7" max="7" width="16.28515625" style="1" bestFit="1" customWidth="1"/>
    <col min="8" max="8" width="18" style="1" bestFit="1" customWidth="1"/>
    <col min="9" max="9" width="20.5703125" style="1" bestFit="1" customWidth="1"/>
    <col min="10" max="10" width="18" style="1" customWidth="1"/>
    <col min="11" max="11" width="15.28515625" style="12" bestFit="1" customWidth="1"/>
    <col min="12" max="12" width="18" style="12" bestFit="1" customWidth="1"/>
    <col min="13" max="13" width="13.7109375" style="12" bestFit="1" customWidth="1"/>
    <col min="14" max="14" width="17.140625" bestFit="1" customWidth="1"/>
    <col min="15" max="17" width="17.140625" customWidth="1"/>
  </cols>
  <sheetData>
    <row r="1" spans="1:17" s="8" customFormat="1" x14ac:dyDescent="0.25">
      <c r="A1" s="10" t="s">
        <v>5</v>
      </c>
      <c r="B1" s="10" t="s">
        <v>6</v>
      </c>
      <c r="C1" s="10" t="s">
        <v>7</v>
      </c>
      <c r="D1" s="17" t="s">
        <v>4</v>
      </c>
      <c r="E1" s="10" t="s">
        <v>8</v>
      </c>
      <c r="F1" s="17" t="s">
        <v>11</v>
      </c>
      <c r="G1" s="17" t="s">
        <v>12</v>
      </c>
      <c r="H1" s="10" t="s">
        <v>9</v>
      </c>
      <c r="I1" s="17" t="s">
        <v>13</v>
      </c>
      <c r="J1" s="17" t="s">
        <v>14</v>
      </c>
      <c r="K1" s="11" t="s">
        <v>10</v>
      </c>
      <c r="L1" s="19" t="s">
        <v>15</v>
      </c>
      <c r="M1" s="19" t="s">
        <v>16</v>
      </c>
      <c r="N1" s="9" t="s">
        <v>3</v>
      </c>
      <c r="O1" s="9" t="s">
        <v>2</v>
      </c>
      <c r="P1" s="9" t="s">
        <v>1</v>
      </c>
      <c r="Q1" s="9" t="s">
        <v>0</v>
      </c>
    </row>
    <row r="2" spans="1:17" x14ac:dyDescent="0.25">
      <c r="A2" s="7">
        <v>46266</v>
      </c>
      <c r="B2" s="22">
        <v>0</v>
      </c>
      <c r="C2" s="22">
        <v>0</v>
      </c>
      <c r="D2" s="18">
        <f t="shared" ref="D2:D65" si="0">+B2+C2</f>
        <v>0</v>
      </c>
      <c r="E2" s="22">
        <v>337.05</v>
      </c>
      <c r="F2" s="18">
        <f>+E2-G2</f>
        <v>0</v>
      </c>
      <c r="G2" s="18">
        <f>+E2*Q2</f>
        <v>337.05</v>
      </c>
      <c r="H2" s="22">
        <v>85.84</v>
      </c>
      <c r="I2" s="18">
        <f>+H2-J2</f>
        <v>0</v>
      </c>
      <c r="J2" s="18">
        <f>+H2*Q2</f>
        <v>85.84</v>
      </c>
      <c r="K2" s="22">
        <v>2.8</v>
      </c>
      <c r="L2" s="18">
        <f>+K2-M2</f>
        <v>0</v>
      </c>
      <c r="M2" s="18">
        <f>+K2*Q2</f>
        <v>2.8</v>
      </c>
      <c r="N2" s="15">
        <f>+E2+H2+K2</f>
        <v>425.69</v>
      </c>
      <c r="O2" s="15">
        <f t="shared" ref="O2:O65" si="1">+N2-P2</f>
        <v>0</v>
      </c>
      <c r="P2" s="15">
        <f t="shared" ref="P2:P65" si="2">+IF(N2&gt;D2,N2-D2,0)</f>
        <v>425.69</v>
      </c>
      <c r="Q2" s="5">
        <f t="shared" ref="Q2:Q65" si="3">+IF(P2=0,P2,P2/N2)</f>
        <v>1</v>
      </c>
    </row>
    <row r="3" spans="1:17" x14ac:dyDescent="0.25">
      <c r="A3" s="7">
        <v>46266.041666666664</v>
      </c>
      <c r="B3" s="22">
        <v>0</v>
      </c>
      <c r="C3" s="22">
        <v>0</v>
      </c>
      <c r="D3" s="18">
        <f t="shared" si="0"/>
        <v>0</v>
      </c>
      <c r="E3" s="22">
        <v>53.55</v>
      </c>
      <c r="F3" s="18">
        <f t="shared" ref="F3:F66" si="4">+E3-G3</f>
        <v>0</v>
      </c>
      <c r="G3" s="18">
        <f t="shared" ref="G3:G66" si="5">+E3*Q3</f>
        <v>53.55</v>
      </c>
      <c r="H3" s="22">
        <v>97.24</v>
      </c>
      <c r="I3" s="18">
        <f t="shared" ref="I3:I66" si="6">+H3-J3</f>
        <v>0</v>
      </c>
      <c r="J3" s="18">
        <f t="shared" ref="J3:J66" si="7">+H3*Q3</f>
        <v>97.24</v>
      </c>
      <c r="K3" s="22">
        <v>17.8</v>
      </c>
      <c r="L3" s="18">
        <f t="shared" ref="L3:L66" si="8">+K3-M3</f>
        <v>0</v>
      </c>
      <c r="M3" s="18">
        <f t="shared" ref="M3:M66" si="9">+K3*Q3</f>
        <v>17.8</v>
      </c>
      <c r="N3" s="15">
        <f t="shared" ref="N3:N66" si="10">+E3+H3+K3</f>
        <v>168.59</v>
      </c>
      <c r="O3" s="15">
        <f t="shared" si="1"/>
        <v>0</v>
      </c>
      <c r="P3" s="15">
        <f t="shared" si="2"/>
        <v>168.59</v>
      </c>
      <c r="Q3" s="5">
        <f t="shared" si="3"/>
        <v>1</v>
      </c>
    </row>
    <row r="4" spans="1:17" x14ac:dyDescent="0.25">
      <c r="A4" s="7">
        <v>46266.083333333336</v>
      </c>
      <c r="B4" s="22">
        <v>0</v>
      </c>
      <c r="C4" s="22">
        <v>0</v>
      </c>
      <c r="D4" s="18">
        <f t="shared" si="0"/>
        <v>0</v>
      </c>
      <c r="E4" s="22">
        <v>352.8</v>
      </c>
      <c r="F4" s="18">
        <f t="shared" si="4"/>
        <v>0</v>
      </c>
      <c r="G4" s="18">
        <f t="shared" si="5"/>
        <v>352.8</v>
      </c>
      <c r="H4" s="22">
        <v>84.88</v>
      </c>
      <c r="I4" s="18">
        <f t="shared" si="6"/>
        <v>0</v>
      </c>
      <c r="J4" s="18">
        <f t="shared" si="7"/>
        <v>84.88</v>
      </c>
      <c r="K4" s="22">
        <v>2.8</v>
      </c>
      <c r="L4" s="18">
        <f t="shared" si="8"/>
        <v>0</v>
      </c>
      <c r="M4" s="18">
        <f t="shared" si="9"/>
        <v>2.8</v>
      </c>
      <c r="N4" s="15">
        <f t="shared" si="10"/>
        <v>440.48</v>
      </c>
      <c r="O4" s="15">
        <f t="shared" si="1"/>
        <v>0</v>
      </c>
      <c r="P4" s="15">
        <f t="shared" si="2"/>
        <v>440.48</v>
      </c>
      <c r="Q4" s="5">
        <f t="shared" si="3"/>
        <v>1</v>
      </c>
    </row>
    <row r="5" spans="1:17" x14ac:dyDescent="0.25">
      <c r="A5" s="7">
        <v>46266.125</v>
      </c>
      <c r="B5" s="22">
        <v>0</v>
      </c>
      <c r="C5" s="22">
        <v>0</v>
      </c>
      <c r="D5" s="18">
        <f t="shared" si="0"/>
        <v>0</v>
      </c>
      <c r="E5" s="22">
        <v>198.45</v>
      </c>
      <c r="F5" s="18">
        <f t="shared" si="4"/>
        <v>0</v>
      </c>
      <c r="G5" s="18">
        <f t="shared" si="5"/>
        <v>198.45</v>
      </c>
      <c r="H5" s="22">
        <v>104.32</v>
      </c>
      <c r="I5" s="18">
        <f t="shared" si="6"/>
        <v>0</v>
      </c>
      <c r="J5" s="18">
        <f t="shared" si="7"/>
        <v>104.32</v>
      </c>
      <c r="K5" s="22">
        <v>3.04</v>
      </c>
      <c r="L5" s="18">
        <f t="shared" si="8"/>
        <v>0</v>
      </c>
      <c r="M5" s="18">
        <f t="shared" si="9"/>
        <v>3.04</v>
      </c>
      <c r="N5" s="15">
        <f t="shared" si="10"/>
        <v>305.81</v>
      </c>
      <c r="O5" s="15">
        <f t="shared" si="1"/>
        <v>0</v>
      </c>
      <c r="P5" s="15">
        <f t="shared" si="2"/>
        <v>305.81</v>
      </c>
      <c r="Q5" s="5">
        <f t="shared" si="3"/>
        <v>1</v>
      </c>
    </row>
    <row r="6" spans="1:17" x14ac:dyDescent="0.25">
      <c r="A6" s="7">
        <v>46266.166666666664</v>
      </c>
      <c r="B6" s="22">
        <v>0</v>
      </c>
      <c r="C6" s="22">
        <v>0</v>
      </c>
      <c r="D6" s="18">
        <f t="shared" si="0"/>
        <v>0</v>
      </c>
      <c r="E6" s="22">
        <v>132.30000000000001</v>
      </c>
      <c r="F6" s="18">
        <f t="shared" si="4"/>
        <v>0</v>
      </c>
      <c r="G6" s="18">
        <f t="shared" si="5"/>
        <v>132.30000000000001</v>
      </c>
      <c r="H6" s="22">
        <v>73.599999999999994</v>
      </c>
      <c r="I6" s="18">
        <f t="shared" si="6"/>
        <v>0</v>
      </c>
      <c r="J6" s="18">
        <f t="shared" si="7"/>
        <v>73.599999999999994</v>
      </c>
      <c r="K6" s="22">
        <v>2.8</v>
      </c>
      <c r="L6" s="18">
        <f t="shared" si="8"/>
        <v>0</v>
      </c>
      <c r="M6" s="18">
        <f t="shared" si="9"/>
        <v>2.8</v>
      </c>
      <c r="N6" s="15">
        <f t="shared" si="10"/>
        <v>208.70000000000002</v>
      </c>
      <c r="O6" s="15">
        <f t="shared" si="1"/>
        <v>0</v>
      </c>
      <c r="P6" s="15">
        <f t="shared" si="2"/>
        <v>208.70000000000002</v>
      </c>
      <c r="Q6" s="5">
        <f t="shared" si="3"/>
        <v>1</v>
      </c>
    </row>
    <row r="7" spans="1:17" x14ac:dyDescent="0.25">
      <c r="A7" s="7">
        <v>46266.208333333336</v>
      </c>
      <c r="B7" s="22">
        <v>0</v>
      </c>
      <c r="C7" s="22">
        <v>0</v>
      </c>
      <c r="D7" s="18">
        <f t="shared" si="0"/>
        <v>0</v>
      </c>
      <c r="E7" s="22">
        <v>374.85</v>
      </c>
      <c r="F7" s="18">
        <f t="shared" si="4"/>
        <v>0</v>
      </c>
      <c r="G7" s="18">
        <f t="shared" si="5"/>
        <v>374.85</v>
      </c>
      <c r="H7" s="22">
        <v>67.84</v>
      </c>
      <c r="I7" s="18">
        <f t="shared" si="6"/>
        <v>0</v>
      </c>
      <c r="J7" s="18">
        <f t="shared" si="7"/>
        <v>67.84</v>
      </c>
      <c r="K7" s="22">
        <v>3.04</v>
      </c>
      <c r="L7" s="18">
        <f t="shared" si="8"/>
        <v>0</v>
      </c>
      <c r="M7" s="18">
        <f t="shared" si="9"/>
        <v>3.04</v>
      </c>
      <c r="N7" s="15">
        <f t="shared" si="10"/>
        <v>445.73000000000008</v>
      </c>
      <c r="O7" s="15">
        <f t="shared" si="1"/>
        <v>0</v>
      </c>
      <c r="P7" s="15">
        <f t="shared" si="2"/>
        <v>445.73000000000008</v>
      </c>
      <c r="Q7" s="5">
        <f t="shared" si="3"/>
        <v>1</v>
      </c>
    </row>
    <row r="8" spans="1:17" x14ac:dyDescent="0.25">
      <c r="A8" s="7">
        <v>46266.25</v>
      </c>
      <c r="B8" s="22">
        <v>31.5</v>
      </c>
      <c r="C8" s="22">
        <v>0</v>
      </c>
      <c r="D8" s="18">
        <f t="shared" si="0"/>
        <v>31.5</v>
      </c>
      <c r="E8" s="22">
        <v>9.4499999999999993</v>
      </c>
      <c r="F8" s="18">
        <f t="shared" si="4"/>
        <v>6.3214058186451485</v>
      </c>
      <c r="G8" s="18">
        <f t="shared" si="5"/>
        <v>3.1285941813548512</v>
      </c>
      <c r="H8" s="22">
        <v>33.880000000000003</v>
      </c>
      <c r="I8" s="18">
        <f t="shared" si="6"/>
        <v>22.663410490550014</v>
      </c>
      <c r="J8" s="18">
        <f t="shared" si="7"/>
        <v>11.216589509449987</v>
      </c>
      <c r="K8" s="22">
        <v>3.76</v>
      </c>
      <c r="L8" s="18">
        <f t="shared" si="8"/>
        <v>2.5151836908048422</v>
      </c>
      <c r="M8" s="18">
        <f t="shared" si="9"/>
        <v>1.2448163091951578</v>
      </c>
      <c r="N8" s="15">
        <f t="shared" si="10"/>
        <v>47.089999999999996</v>
      </c>
      <c r="O8" s="15">
        <f t="shared" si="1"/>
        <v>31.5</v>
      </c>
      <c r="P8" s="15">
        <f t="shared" si="2"/>
        <v>15.589999999999996</v>
      </c>
      <c r="Q8" s="5">
        <f t="shared" si="3"/>
        <v>0.33106816733913774</v>
      </c>
    </row>
    <row r="9" spans="1:17" x14ac:dyDescent="0.25">
      <c r="A9" s="7">
        <v>46266.291666666664</v>
      </c>
      <c r="B9" s="22">
        <v>481.95</v>
      </c>
      <c r="C9" s="22">
        <v>0.24000000000000002</v>
      </c>
      <c r="D9" s="18">
        <f t="shared" si="0"/>
        <v>482.19</v>
      </c>
      <c r="E9" s="22">
        <v>0</v>
      </c>
      <c r="F9" s="18">
        <f t="shared" si="4"/>
        <v>0</v>
      </c>
      <c r="G9" s="18">
        <f t="shared" si="5"/>
        <v>0</v>
      </c>
      <c r="H9" s="22">
        <v>40</v>
      </c>
      <c r="I9" s="18">
        <f t="shared" si="6"/>
        <v>40</v>
      </c>
      <c r="J9" s="18">
        <f t="shared" si="7"/>
        <v>0</v>
      </c>
      <c r="K9" s="22">
        <v>2.68</v>
      </c>
      <c r="L9" s="18">
        <f t="shared" si="8"/>
        <v>2.68</v>
      </c>
      <c r="M9" s="18">
        <f t="shared" si="9"/>
        <v>0</v>
      </c>
      <c r="N9" s="15">
        <f t="shared" si="10"/>
        <v>42.68</v>
      </c>
      <c r="O9" s="15">
        <f t="shared" si="1"/>
        <v>42.68</v>
      </c>
      <c r="P9" s="15">
        <f t="shared" si="2"/>
        <v>0</v>
      </c>
      <c r="Q9" s="5">
        <f t="shared" si="3"/>
        <v>0</v>
      </c>
    </row>
    <row r="10" spans="1:17" x14ac:dyDescent="0.25">
      <c r="A10" s="7">
        <v>46266.333333333336</v>
      </c>
      <c r="B10" s="22">
        <v>693</v>
      </c>
      <c r="C10" s="22">
        <v>2.76</v>
      </c>
      <c r="D10" s="18">
        <f t="shared" si="0"/>
        <v>695.76</v>
      </c>
      <c r="E10" s="22">
        <v>0</v>
      </c>
      <c r="F10" s="18">
        <f t="shared" si="4"/>
        <v>0</v>
      </c>
      <c r="G10" s="18">
        <f t="shared" si="5"/>
        <v>0</v>
      </c>
      <c r="H10" s="22">
        <v>54.04</v>
      </c>
      <c r="I10" s="18">
        <f t="shared" si="6"/>
        <v>54.04</v>
      </c>
      <c r="J10" s="18">
        <f t="shared" si="7"/>
        <v>0</v>
      </c>
      <c r="K10" s="22">
        <v>4.96</v>
      </c>
      <c r="L10" s="18">
        <f t="shared" si="8"/>
        <v>4.96</v>
      </c>
      <c r="M10" s="18">
        <f t="shared" si="9"/>
        <v>0</v>
      </c>
      <c r="N10" s="15">
        <f t="shared" si="10"/>
        <v>59</v>
      </c>
      <c r="O10" s="15">
        <f t="shared" si="1"/>
        <v>59</v>
      </c>
      <c r="P10" s="15">
        <f t="shared" si="2"/>
        <v>0</v>
      </c>
      <c r="Q10" s="5">
        <f t="shared" si="3"/>
        <v>0</v>
      </c>
    </row>
    <row r="11" spans="1:17" x14ac:dyDescent="0.25">
      <c r="A11" s="7">
        <v>46266.375</v>
      </c>
      <c r="B11" s="22">
        <v>1074.1499999999999</v>
      </c>
      <c r="C11" s="22">
        <v>3.48</v>
      </c>
      <c r="D11" s="18">
        <f t="shared" si="0"/>
        <v>1077.6299999999999</v>
      </c>
      <c r="E11" s="22">
        <v>0</v>
      </c>
      <c r="F11" s="18">
        <f t="shared" si="4"/>
        <v>0</v>
      </c>
      <c r="G11" s="18">
        <f t="shared" si="5"/>
        <v>0</v>
      </c>
      <c r="H11" s="22">
        <v>47.559999999999995</v>
      </c>
      <c r="I11" s="18">
        <f t="shared" si="6"/>
        <v>47.559999999999995</v>
      </c>
      <c r="J11" s="18">
        <f t="shared" si="7"/>
        <v>0</v>
      </c>
      <c r="K11" s="22">
        <v>32.800000000000004</v>
      </c>
      <c r="L11" s="18">
        <f t="shared" si="8"/>
        <v>32.800000000000004</v>
      </c>
      <c r="M11" s="18">
        <f t="shared" si="9"/>
        <v>0</v>
      </c>
      <c r="N11" s="15">
        <f t="shared" si="10"/>
        <v>80.36</v>
      </c>
      <c r="O11" s="15">
        <f t="shared" si="1"/>
        <v>80.36</v>
      </c>
      <c r="P11" s="15">
        <f t="shared" si="2"/>
        <v>0</v>
      </c>
      <c r="Q11" s="5">
        <f t="shared" si="3"/>
        <v>0</v>
      </c>
    </row>
    <row r="12" spans="1:17" x14ac:dyDescent="0.25">
      <c r="A12" s="7">
        <v>46266.416666666664</v>
      </c>
      <c r="B12" s="22">
        <v>1606.5</v>
      </c>
      <c r="C12" s="22">
        <v>19.68</v>
      </c>
      <c r="D12" s="18">
        <f t="shared" si="0"/>
        <v>1626.18</v>
      </c>
      <c r="E12" s="22">
        <v>0</v>
      </c>
      <c r="F12" s="18">
        <f t="shared" si="4"/>
        <v>0</v>
      </c>
      <c r="G12" s="18">
        <f t="shared" si="5"/>
        <v>0</v>
      </c>
      <c r="H12" s="22">
        <v>16.96</v>
      </c>
      <c r="I12" s="18">
        <f t="shared" si="6"/>
        <v>16.96</v>
      </c>
      <c r="J12" s="18">
        <f t="shared" si="7"/>
        <v>0</v>
      </c>
      <c r="K12" s="22">
        <v>49.84</v>
      </c>
      <c r="L12" s="18">
        <f t="shared" si="8"/>
        <v>49.84</v>
      </c>
      <c r="M12" s="18">
        <f t="shared" si="9"/>
        <v>0</v>
      </c>
      <c r="N12" s="15">
        <f t="shared" si="10"/>
        <v>66.800000000000011</v>
      </c>
      <c r="O12" s="15">
        <f t="shared" si="1"/>
        <v>66.800000000000011</v>
      </c>
      <c r="P12" s="15">
        <f t="shared" si="2"/>
        <v>0</v>
      </c>
      <c r="Q12" s="5">
        <f t="shared" si="3"/>
        <v>0</v>
      </c>
    </row>
    <row r="13" spans="1:17" x14ac:dyDescent="0.25">
      <c r="A13" s="7">
        <v>46266.458333333336</v>
      </c>
      <c r="B13" s="22">
        <v>1842.75</v>
      </c>
      <c r="C13" s="22">
        <v>60.6</v>
      </c>
      <c r="D13" s="18">
        <f t="shared" si="0"/>
        <v>1903.35</v>
      </c>
      <c r="E13" s="22">
        <v>0</v>
      </c>
      <c r="F13" s="18">
        <f t="shared" si="4"/>
        <v>0</v>
      </c>
      <c r="G13" s="18">
        <f t="shared" si="5"/>
        <v>0</v>
      </c>
      <c r="H13" s="22">
        <v>1.24</v>
      </c>
      <c r="I13" s="18">
        <f t="shared" si="6"/>
        <v>1.24</v>
      </c>
      <c r="J13" s="18">
        <f t="shared" si="7"/>
        <v>0</v>
      </c>
      <c r="K13" s="22">
        <v>59.08</v>
      </c>
      <c r="L13" s="18">
        <f t="shared" si="8"/>
        <v>59.08</v>
      </c>
      <c r="M13" s="18">
        <f t="shared" si="9"/>
        <v>0</v>
      </c>
      <c r="N13" s="15">
        <f t="shared" si="10"/>
        <v>60.32</v>
      </c>
      <c r="O13" s="15">
        <f t="shared" si="1"/>
        <v>60.32</v>
      </c>
      <c r="P13" s="15">
        <f t="shared" si="2"/>
        <v>0</v>
      </c>
      <c r="Q13" s="5">
        <f t="shared" si="3"/>
        <v>0</v>
      </c>
    </row>
    <row r="14" spans="1:17" x14ac:dyDescent="0.25">
      <c r="A14" s="7">
        <v>46266.5</v>
      </c>
      <c r="B14" s="22">
        <v>2349.9</v>
      </c>
      <c r="C14" s="22">
        <v>99.72</v>
      </c>
      <c r="D14" s="18">
        <f t="shared" si="0"/>
        <v>2449.62</v>
      </c>
      <c r="E14" s="22">
        <v>0</v>
      </c>
      <c r="F14" s="18">
        <f t="shared" si="4"/>
        <v>0</v>
      </c>
      <c r="G14" s="18">
        <f t="shared" si="5"/>
        <v>0</v>
      </c>
      <c r="H14" s="22">
        <v>1.24</v>
      </c>
      <c r="I14" s="18">
        <f t="shared" si="6"/>
        <v>1.24</v>
      </c>
      <c r="J14" s="18">
        <f t="shared" si="7"/>
        <v>0</v>
      </c>
      <c r="K14" s="22">
        <v>46.6</v>
      </c>
      <c r="L14" s="18">
        <f t="shared" si="8"/>
        <v>46.6</v>
      </c>
      <c r="M14" s="18">
        <f t="shared" si="9"/>
        <v>0</v>
      </c>
      <c r="N14" s="15">
        <f t="shared" si="10"/>
        <v>47.84</v>
      </c>
      <c r="O14" s="15">
        <f t="shared" si="1"/>
        <v>47.84</v>
      </c>
      <c r="P14" s="15">
        <f t="shared" si="2"/>
        <v>0</v>
      </c>
      <c r="Q14" s="5">
        <f t="shared" si="3"/>
        <v>0</v>
      </c>
    </row>
    <row r="15" spans="1:17" x14ac:dyDescent="0.25">
      <c r="A15" s="7">
        <v>46266.541666666664</v>
      </c>
      <c r="B15" s="22">
        <v>2412.9</v>
      </c>
      <c r="C15" s="22">
        <v>67.559999999999988</v>
      </c>
      <c r="D15" s="18">
        <f t="shared" si="0"/>
        <v>2480.46</v>
      </c>
      <c r="E15" s="22">
        <v>0</v>
      </c>
      <c r="F15" s="18">
        <f t="shared" si="4"/>
        <v>0</v>
      </c>
      <c r="G15" s="18">
        <f t="shared" si="5"/>
        <v>0</v>
      </c>
      <c r="H15" s="22">
        <v>2.56</v>
      </c>
      <c r="I15" s="18">
        <f t="shared" si="6"/>
        <v>2.56</v>
      </c>
      <c r="J15" s="18">
        <f t="shared" si="7"/>
        <v>0</v>
      </c>
      <c r="K15" s="22">
        <v>43</v>
      </c>
      <c r="L15" s="18">
        <f t="shared" si="8"/>
        <v>43</v>
      </c>
      <c r="M15" s="18">
        <f t="shared" si="9"/>
        <v>0</v>
      </c>
      <c r="N15" s="15">
        <f t="shared" si="10"/>
        <v>45.56</v>
      </c>
      <c r="O15" s="15">
        <f t="shared" si="1"/>
        <v>45.56</v>
      </c>
      <c r="P15" s="15">
        <f t="shared" si="2"/>
        <v>0</v>
      </c>
      <c r="Q15" s="5">
        <f t="shared" si="3"/>
        <v>0</v>
      </c>
    </row>
    <row r="16" spans="1:17" x14ac:dyDescent="0.25">
      <c r="A16" s="7">
        <v>46266.583333333336</v>
      </c>
      <c r="B16" s="22">
        <v>1732.5</v>
      </c>
      <c r="C16" s="22">
        <v>47.76</v>
      </c>
      <c r="D16" s="18">
        <f t="shared" si="0"/>
        <v>1780.26</v>
      </c>
      <c r="E16" s="22">
        <v>0</v>
      </c>
      <c r="F16" s="18">
        <f t="shared" si="4"/>
        <v>0</v>
      </c>
      <c r="G16" s="18">
        <f t="shared" si="5"/>
        <v>0</v>
      </c>
      <c r="H16" s="22">
        <v>10</v>
      </c>
      <c r="I16" s="18">
        <f t="shared" si="6"/>
        <v>10</v>
      </c>
      <c r="J16" s="18">
        <f t="shared" si="7"/>
        <v>0</v>
      </c>
      <c r="K16" s="22">
        <v>61.72</v>
      </c>
      <c r="L16" s="18">
        <f t="shared" si="8"/>
        <v>61.72</v>
      </c>
      <c r="M16" s="18">
        <f t="shared" si="9"/>
        <v>0</v>
      </c>
      <c r="N16" s="15">
        <f t="shared" si="10"/>
        <v>71.72</v>
      </c>
      <c r="O16" s="15">
        <f t="shared" si="1"/>
        <v>71.72</v>
      </c>
      <c r="P16" s="15">
        <f t="shared" si="2"/>
        <v>0</v>
      </c>
      <c r="Q16" s="5">
        <f t="shared" si="3"/>
        <v>0</v>
      </c>
    </row>
    <row r="17" spans="1:17" x14ac:dyDescent="0.25">
      <c r="A17" s="7">
        <v>46266.625</v>
      </c>
      <c r="B17" s="22">
        <v>1534.05</v>
      </c>
      <c r="C17" s="22">
        <v>8.0400000000000009</v>
      </c>
      <c r="D17" s="18">
        <f t="shared" si="0"/>
        <v>1542.09</v>
      </c>
      <c r="E17" s="22">
        <v>6.3</v>
      </c>
      <c r="F17" s="18">
        <f t="shared" si="4"/>
        <v>6.3</v>
      </c>
      <c r="G17" s="18">
        <f t="shared" si="5"/>
        <v>0</v>
      </c>
      <c r="H17" s="22">
        <v>36.64</v>
      </c>
      <c r="I17" s="18">
        <f t="shared" si="6"/>
        <v>36.64</v>
      </c>
      <c r="J17" s="18">
        <f t="shared" si="7"/>
        <v>0</v>
      </c>
      <c r="K17" s="22">
        <v>57.52</v>
      </c>
      <c r="L17" s="18">
        <f t="shared" si="8"/>
        <v>57.52</v>
      </c>
      <c r="M17" s="18">
        <f t="shared" si="9"/>
        <v>0</v>
      </c>
      <c r="N17" s="15">
        <f t="shared" si="10"/>
        <v>100.46000000000001</v>
      </c>
      <c r="O17" s="15">
        <f t="shared" si="1"/>
        <v>100.46000000000001</v>
      </c>
      <c r="P17" s="15">
        <f t="shared" si="2"/>
        <v>0</v>
      </c>
      <c r="Q17" s="5">
        <f t="shared" si="3"/>
        <v>0</v>
      </c>
    </row>
    <row r="18" spans="1:17" x14ac:dyDescent="0.25">
      <c r="A18" s="7">
        <v>46266.666666666664</v>
      </c>
      <c r="B18" s="22">
        <v>582.75</v>
      </c>
      <c r="C18" s="22">
        <v>5.04</v>
      </c>
      <c r="D18" s="18">
        <f t="shared" si="0"/>
        <v>587.79</v>
      </c>
      <c r="E18" s="22">
        <v>0</v>
      </c>
      <c r="F18" s="18">
        <f t="shared" si="4"/>
        <v>0</v>
      </c>
      <c r="G18" s="18">
        <f t="shared" si="5"/>
        <v>0</v>
      </c>
      <c r="H18" s="22">
        <v>40.239999999999995</v>
      </c>
      <c r="I18" s="18">
        <f t="shared" si="6"/>
        <v>40.239999999999995</v>
      </c>
      <c r="J18" s="18">
        <f t="shared" si="7"/>
        <v>0</v>
      </c>
      <c r="K18" s="22">
        <v>51.52</v>
      </c>
      <c r="L18" s="18">
        <f t="shared" si="8"/>
        <v>51.52</v>
      </c>
      <c r="M18" s="18">
        <f t="shared" si="9"/>
        <v>0</v>
      </c>
      <c r="N18" s="15">
        <f t="shared" si="10"/>
        <v>91.759999999999991</v>
      </c>
      <c r="O18" s="15">
        <f t="shared" si="1"/>
        <v>91.759999999999991</v>
      </c>
      <c r="P18" s="15">
        <f t="shared" si="2"/>
        <v>0</v>
      </c>
      <c r="Q18" s="5">
        <f t="shared" si="3"/>
        <v>0</v>
      </c>
    </row>
    <row r="19" spans="1:17" x14ac:dyDescent="0.25">
      <c r="A19" s="7">
        <v>46266.708333333336</v>
      </c>
      <c r="B19" s="22">
        <v>78.75</v>
      </c>
      <c r="C19" s="22">
        <v>0</v>
      </c>
      <c r="D19" s="18">
        <f t="shared" si="0"/>
        <v>78.75</v>
      </c>
      <c r="E19" s="22">
        <v>141.75</v>
      </c>
      <c r="F19" s="18">
        <f t="shared" si="4"/>
        <v>49.132529775790289</v>
      </c>
      <c r="G19" s="18">
        <f t="shared" si="5"/>
        <v>92.617470224209711</v>
      </c>
      <c r="H19" s="22">
        <v>46.24</v>
      </c>
      <c r="I19" s="18">
        <f t="shared" si="6"/>
        <v>16.027429818924464</v>
      </c>
      <c r="J19" s="18">
        <f t="shared" si="7"/>
        <v>30.212570181075538</v>
      </c>
      <c r="K19" s="22">
        <v>39.207999999999998</v>
      </c>
      <c r="L19" s="18">
        <f t="shared" si="8"/>
        <v>13.590040405285258</v>
      </c>
      <c r="M19" s="18">
        <f t="shared" si="9"/>
        <v>25.61795959471474</v>
      </c>
      <c r="N19" s="15">
        <f t="shared" si="10"/>
        <v>227.19800000000001</v>
      </c>
      <c r="O19" s="15">
        <f t="shared" si="1"/>
        <v>78.75</v>
      </c>
      <c r="P19" s="15">
        <f t="shared" si="2"/>
        <v>148.44800000000001</v>
      </c>
      <c r="Q19" s="5">
        <f t="shared" si="3"/>
        <v>0.65338603332775813</v>
      </c>
    </row>
    <row r="20" spans="1:17" x14ac:dyDescent="0.25">
      <c r="A20" s="7">
        <v>46266.75</v>
      </c>
      <c r="B20" s="22">
        <v>141.75</v>
      </c>
      <c r="C20" s="22">
        <v>0</v>
      </c>
      <c r="D20" s="18">
        <f t="shared" si="0"/>
        <v>141.75</v>
      </c>
      <c r="E20" s="22">
        <v>6.3</v>
      </c>
      <c r="F20" s="18">
        <f t="shared" si="4"/>
        <v>6.3</v>
      </c>
      <c r="G20" s="18">
        <f t="shared" si="5"/>
        <v>0</v>
      </c>
      <c r="H20" s="22">
        <v>65.08</v>
      </c>
      <c r="I20" s="18">
        <f t="shared" si="6"/>
        <v>65.08</v>
      </c>
      <c r="J20" s="18">
        <f t="shared" si="7"/>
        <v>0</v>
      </c>
      <c r="K20" s="22">
        <v>69.507999999999996</v>
      </c>
      <c r="L20" s="18">
        <f t="shared" si="8"/>
        <v>69.507999999999996</v>
      </c>
      <c r="M20" s="18">
        <f t="shared" si="9"/>
        <v>0</v>
      </c>
      <c r="N20" s="15">
        <f t="shared" si="10"/>
        <v>140.88799999999998</v>
      </c>
      <c r="O20" s="15">
        <f t="shared" si="1"/>
        <v>140.88799999999998</v>
      </c>
      <c r="P20" s="15">
        <f t="shared" si="2"/>
        <v>0</v>
      </c>
      <c r="Q20" s="5">
        <f t="shared" si="3"/>
        <v>0</v>
      </c>
    </row>
    <row r="21" spans="1:17" x14ac:dyDescent="0.25">
      <c r="A21" s="7">
        <v>46266.791666666664</v>
      </c>
      <c r="B21" s="22">
        <v>0</v>
      </c>
      <c r="C21" s="22">
        <v>0</v>
      </c>
      <c r="D21" s="18">
        <f t="shared" si="0"/>
        <v>0</v>
      </c>
      <c r="E21" s="22">
        <v>66.150000000000006</v>
      </c>
      <c r="F21" s="18">
        <f t="shared" si="4"/>
        <v>0</v>
      </c>
      <c r="G21" s="18">
        <f t="shared" si="5"/>
        <v>66.150000000000006</v>
      </c>
      <c r="H21" s="22">
        <v>81.28</v>
      </c>
      <c r="I21" s="18">
        <f t="shared" si="6"/>
        <v>0</v>
      </c>
      <c r="J21" s="18">
        <f t="shared" si="7"/>
        <v>81.28</v>
      </c>
      <c r="K21" s="22">
        <v>53.201999999999998</v>
      </c>
      <c r="L21" s="18">
        <f t="shared" si="8"/>
        <v>0</v>
      </c>
      <c r="M21" s="18">
        <f t="shared" si="9"/>
        <v>53.201999999999998</v>
      </c>
      <c r="N21" s="15">
        <f t="shared" si="10"/>
        <v>200.63200000000001</v>
      </c>
      <c r="O21" s="15">
        <f t="shared" si="1"/>
        <v>0</v>
      </c>
      <c r="P21" s="15">
        <f t="shared" si="2"/>
        <v>200.63200000000001</v>
      </c>
      <c r="Q21" s="5">
        <f t="shared" si="3"/>
        <v>1</v>
      </c>
    </row>
    <row r="22" spans="1:17" x14ac:dyDescent="0.25">
      <c r="A22" s="7">
        <v>46266.833333333336</v>
      </c>
      <c r="B22" s="22">
        <v>0</v>
      </c>
      <c r="C22" s="22">
        <v>0</v>
      </c>
      <c r="D22" s="18">
        <f t="shared" si="0"/>
        <v>0</v>
      </c>
      <c r="E22" s="22">
        <v>929.25</v>
      </c>
      <c r="F22" s="18">
        <f t="shared" si="4"/>
        <v>0</v>
      </c>
      <c r="G22" s="18">
        <f t="shared" si="5"/>
        <v>929.25</v>
      </c>
      <c r="H22" s="22">
        <v>110.8</v>
      </c>
      <c r="I22" s="18">
        <f t="shared" si="6"/>
        <v>0</v>
      </c>
      <c r="J22" s="18">
        <f t="shared" si="7"/>
        <v>110.8</v>
      </c>
      <c r="K22" s="22">
        <v>34.219000000000001</v>
      </c>
      <c r="L22" s="18">
        <f t="shared" si="8"/>
        <v>0</v>
      </c>
      <c r="M22" s="18">
        <f t="shared" si="9"/>
        <v>34.219000000000001</v>
      </c>
      <c r="N22" s="15">
        <f t="shared" si="10"/>
        <v>1074.269</v>
      </c>
      <c r="O22" s="15">
        <f t="shared" si="1"/>
        <v>0</v>
      </c>
      <c r="P22" s="15">
        <f t="shared" si="2"/>
        <v>1074.269</v>
      </c>
      <c r="Q22" s="5">
        <f t="shared" si="3"/>
        <v>1</v>
      </c>
    </row>
    <row r="23" spans="1:17" x14ac:dyDescent="0.25">
      <c r="A23" s="7">
        <v>46266.875</v>
      </c>
      <c r="B23" s="22">
        <v>0</v>
      </c>
      <c r="C23" s="22">
        <v>0</v>
      </c>
      <c r="D23" s="18">
        <f t="shared" si="0"/>
        <v>0</v>
      </c>
      <c r="E23" s="22">
        <v>976.5</v>
      </c>
      <c r="F23" s="18">
        <f t="shared" si="4"/>
        <v>0</v>
      </c>
      <c r="G23" s="18">
        <f t="shared" si="5"/>
        <v>976.5</v>
      </c>
      <c r="H23" s="22">
        <v>106.12</v>
      </c>
      <c r="I23" s="18">
        <f t="shared" si="6"/>
        <v>0</v>
      </c>
      <c r="J23" s="18">
        <f t="shared" si="7"/>
        <v>106.12</v>
      </c>
      <c r="K23" s="22">
        <v>24.241</v>
      </c>
      <c r="L23" s="18">
        <f t="shared" si="8"/>
        <v>0</v>
      </c>
      <c r="M23" s="18">
        <f t="shared" si="9"/>
        <v>24.241</v>
      </c>
      <c r="N23" s="15">
        <f t="shared" si="10"/>
        <v>1106.8609999999999</v>
      </c>
      <c r="O23" s="15">
        <f t="shared" si="1"/>
        <v>0</v>
      </c>
      <c r="P23" s="15">
        <f t="shared" si="2"/>
        <v>1106.8609999999999</v>
      </c>
      <c r="Q23" s="5">
        <f t="shared" si="3"/>
        <v>1</v>
      </c>
    </row>
    <row r="24" spans="1:17" x14ac:dyDescent="0.25">
      <c r="A24" s="7">
        <v>46266.916666666664</v>
      </c>
      <c r="B24" s="22">
        <v>0</v>
      </c>
      <c r="C24" s="22">
        <v>0</v>
      </c>
      <c r="D24" s="18">
        <f t="shared" si="0"/>
        <v>0</v>
      </c>
      <c r="E24" s="22">
        <v>1055.25</v>
      </c>
      <c r="F24" s="18">
        <f t="shared" si="4"/>
        <v>0</v>
      </c>
      <c r="G24" s="18">
        <f t="shared" si="5"/>
        <v>1055.25</v>
      </c>
      <c r="H24" s="22">
        <v>106.12</v>
      </c>
      <c r="I24" s="18">
        <f t="shared" si="6"/>
        <v>0</v>
      </c>
      <c r="J24" s="18">
        <f t="shared" si="7"/>
        <v>106.12</v>
      </c>
      <c r="K24" s="22">
        <v>26.8</v>
      </c>
      <c r="L24" s="18">
        <f t="shared" si="8"/>
        <v>0</v>
      </c>
      <c r="M24" s="18">
        <f t="shared" si="9"/>
        <v>26.8</v>
      </c>
      <c r="N24" s="15">
        <f t="shared" si="10"/>
        <v>1188.1699999999998</v>
      </c>
      <c r="O24" s="15">
        <f t="shared" si="1"/>
        <v>0</v>
      </c>
      <c r="P24" s="15">
        <f t="shared" si="2"/>
        <v>1188.1699999999998</v>
      </c>
      <c r="Q24" s="5">
        <f t="shared" si="3"/>
        <v>1</v>
      </c>
    </row>
    <row r="25" spans="1:17" x14ac:dyDescent="0.25">
      <c r="A25" s="7">
        <v>46266.958333333336</v>
      </c>
      <c r="B25" s="22">
        <v>0</v>
      </c>
      <c r="C25" s="22">
        <v>0</v>
      </c>
      <c r="D25" s="18">
        <f t="shared" si="0"/>
        <v>0</v>
      </c>
      <c r="E25" s="22">
        <v>696.15000000000009</v>
      </c>
      <c r="F25" s="18">
        <f t="shared" si="4"/>
        <v>0</v>
      </c>
      <c r="G25" s="18">
        <f t="shared" si="5"/>
        <v>696.15000000000009</v>
      </c>
      <c r="H25" s="22">
        <v>103.12</v>
      </c>
      <c r="I25" s="18">
        <f t="shared" si="6"/>
        <v>0</v>
      </c>
      <c r="J25" s="18">
        <f t="shared" si="7"/>
        <v>103.12</v>
      </c>
      <c r="K25" s="22">
        <v>2.8</v>
      </c>
      <c r="L25" s="18">
        <f t="shared" si="8"/>
        <v>0</v>
      </c>
      <c r="M25" s="18">
        <f t="shared" si="9"/>
        <v>2.8</v>
      </c>
      <c r="N25" s="15">
        <f t="shared" si="10"/>
        <v>802.07</v>
      </c>
      <c r="O25" s="15">
        <f t="shared" si="1"/>
        <v>0</v>
      </c>
      <c r="P25" s="15">
        <f t="shared" si="2"/>
        <v>802.07</v>
      </c>
      <c r="Q25" s="5">
        <f t="shared" si="3"/>
        <v>1</v>
      </c>
    </row>
    <row r="26" spans="1:17" x14ac:dyDescent="0.25">
      <c r="A26" s="7">
        <v>46267</v>
      </c>
      <c r="B26" s="22">
        <v>0</v>
      </c>
      <c r="C26" s="22">
        <v>0</v>
      </c>
      <c r="D26" s="18">
        <f t="shared" si="0"/>
        <v>0</v>
      </c>
      <c r="E26" s="22">
        <v>658.35</v>
      </c>
      <c r="F26" s="18">
        <f t="shared" si="4"/>
        <v>0</v>
      </c>
      <c r="G26" s="18">
        <f t="shared" si="5"/>
        <v>658.35</v>
      </c>
      <c r="H26" s="22">
        <v>103.6</v>
      </c>
      <c r="I26" s="18">
        <f t="shared" si="6"/>
        <v>0</v>
      </c>
      <c r="J26" s="18">
        <f t="shared" si="7"/>
        <v>103.6</v>
      </c>
      <c r="K26" s="22">
        <v>3.04</v>
      </c>
      <c r="L26" s="18">
        <f t="shared" si="8"/>
        <v>0</v>
      </c>
      <c r="M26" s="18">
        <f t="shared" si="9"/>
        <v>3.04</v>
      </c>
      <c r="N26" s="15">
        <f t="shared" si="10"/>
        <v>764.99</v>
      </c>
      <c r="O26" s="15">
        <f t="shared" si="1"/>
        <v>0</v>
      </c>
      <c r="P26" s="15">
        <f t="shared" si="2"/>
        <v>764.99</v>
      </c>
      <c r="Q26" s="5">
        <f t="shared" si="3"/>
        <v>1</v>
      </c>
    </row>
    <row r="27" spans="1:17" x14ac:dyDescent="0.25">
      <c r="A27" s="7">
        <v>46267.041666666664</v>
      </c>
      <c r="B27" s="22">
        <v>0</v>
      </c>
      <c r="C27" s="22">
        <v>0</v>
      </c>
      <c r="D27" s="18">
        <f t="shared" si="0"/>
        <v>0</v>
      </c>
      <c r="E27" s="22">
        <v>91.35</v>
      </c>
      <c r="F27" s="18">
        <f t="shared" si="4"/>
        <v>0</v>
      </c>
      <c r="G27" s="18">
        <f t="shared" si="5"/>
        <v>91.35</v>
      </c>
      <c r="H27" s="22">
        <v>102.64</v>
      </c>
      <c r="I27" s="18">
        <f t="shared" si="6"/>
        <v>0</v>
      </c>
      <c r="J27" s="18">
        <f t="shared" si="7"/>
        <v>102.64</v>
      </c>
      <c r="K27" s="22">
        <v>2.8</v>
      </c>
      <c r="L27" s="18">
        <f t="shared" si="8"/>
        <v>0</v>
      </c>
      <c r="M27" s="18">
        <f t="shared" si="9"/>
        <v>2.8</v>
      </c>
      <c r="N27" s="15">
        <f t="shared" si="10"/>
        <v>196.79000000000002</v>
      </c>
      <c r="O27" s="15">
        <f t="shared" si="1"/>
        <v>0</v>
      </c>
      <c r="P27" s="15">
        <f t="shared" si="2"/>
        <v>196.79000000000002</v>
      </c>
      <c r="Q27" s="5">
        <f t="shared" si="3"/>
        <v>1</v>
      </c>
    </row>
    <row r="28" spans="1:17" x14ac:dyDescent="0.25">
      <c r="A28" s="7">
        <v>46267.083333333336</v>
      </c>
      <c r="B28" s="22">
        <v>0</v>
      </c>
      <c r="C28" s="22">
        <v>0</v>
      </c>
      <c r="D28" s="18">
        <f t="shared" si="0"/>
        <v>0</v>
      </c>
      <c r="E28" s="22">
        <v>1014.3</v>
      </c>
      <c r="F28" s="18">
        <f t="shared" si="4"/>
        <v>0</v>
      </c>
      <c r="G28" s="18">
        <f t="shared" si="5"/>
        <v>1014.3</v>
      </c>
      <c r="H28" s="22">
        <v>115.12</v>
      </c>
      <c r="I28" s="18">
        <f t="shared" si="6"/>
        <v>0</v>
      </c>
      <c r="J28" s="18">
        <f t="shared" si="7"/>
        <v>115.12</v>
      </c>
      <c r="K28" s="22">
        <v>2.92</v>
      </c>
      <c r="L28" s="18">
        <f t="shared" si="8"/>
        <v>0</v>
      </c>
      <c r="M28" s="18">
        <f t="shared" si="9"/>
        <v>2.92</v>
      </c>
      <c r="N28" s="15">
        <f t="shared" si="10"/>
        <v>1132.3400000000001</v>
      </c>
      <c r="O28" s="15">
        <f t="shared" si="1"/>
        <v>0</v>
      </c>
      <c r="P28" s="15">
        <f t="shared" si="2"/>
        <v>1132.3400000000001</v>
      </c>
      <c r="Q28" s="5">
        <f t="shared" si="3"/>
        <v>1</v>
      </c>
    </row>
    <row r="29" spans="1:17" x14ac:dyDescent="0.25">
      <c r="A29" s="7">
        <v>46267.125</v>
      </c>
      <c r="B29" s="22">
        <v>0</v>
      </c>
      <c r="C29" s="22">
        <v>0</v>
      </c>
      <c r="D29" s="18">
        <f t="shared" si="0"/>
        <v>0</v>
      </c>
      <c r="E29" s="22">
        <v>1008</v>
      </c>
      <c r="F29" s="18">
        <f t="shared" si="4"/>
        <v>0</v>
      </c>
      <c r="G29" s="18">
        <f t="shared" si="5"/>
        <v>1008</v>
      </c>
      <c r="H29" s="22">
        <v>105.76</v>
      </c>
      <c r="I29" s="18">
        <f t="shared" si="6"/>
        <v>0</v>
      </c>
      <c r="J29" s="18">
        <f t="shared" si="7"/>
        <v>105.76</v>
      </c>
      <c r="K29" s="22">
        <v>2.92</v>
      </c>
      <c r="L29" s="18">
        <f t="shared" si="8"/>
        <v>0</v>
      </c>
      <c r="M29" s="18">
        <f t="shared" si="9"/>
        <v>2.92</v>
      </c>
      <c r="N29" s="15">
        <f t="shared" si="10"/>
        <v>1116.68</v>
      </c>
      <c r="O29" s="15">
        <f t="shared" si="1"/>
        <v>0</v>
      </c>
      <c r="P29" s="15">
        <f t="shared" si="2"/>
        <v>1116.68</v>
      </c>
      <c r="Q29" s="5">
        <f t="shared" si="3"/>
        <v>1</v>
      </c>
    </row>
    <row r="30" spans="1:17" x14ac:dyDescent="0.25">
      <c r="A30" s="7">
        <v>46267.166666666664</v>
      </c>
      <c r="B30" s="22">
        <v>0</v>
      </c>
      <c r="C30" s="22">
        <v>0</v>
      </c>
      <c r="D30" s="18">
        <f t="shared" si="0"/>
        <v>0</v>
      </c>
      <c r="E30" s="22">
        <v>1058.4000000000001</v>
      </c>
      <c r="F30" s="18">
        <f t="shared" si="4"/>
        <v>0</v>
      </c>
      <c r="G30" s="18">
        <f t="shared" si="5"/>
        <v>1058.4000000000001</v>
      </c>
      <c r="H30" s="22">
        <v>72.64</v>
      </c>
      <c r="I30" s="18">
        <f t="shared" si="6"/>
        <v>0</v>
      </c>
      <c r="J30" s="18">
        <f t="shared" si="7"/>
        <v>72.64</v>
      </c>
      <c r="K30" s="22">
        <v>16.84</v>
      </c>
      <c r="L30" s="18">
        <f t="shared" si="8"/>
        <v>0</v>
      </c>
      <c r="M30" s="18">
        <f t="shared" si="9"/>
        <v>16.84</v>
      </c>
      <c r="N30" s="15">
        <f t="shared" si="10"/>
        <v>1147.8800000000001</v>
      </c>
      <c r="O30" s="15">
        <f t="shared" si="1"/>
        <v>0</v>
      </c>
      <c r="P30" s="15">
        <f t="shared" si="2"/>
        <v>1147.8800000000001</v>
      </c>
      <c r="Q30" s="5">
        <f t="shared" si="3"/>
        <v>1</v>
      </c>
    </row>
    <row r="31" spans="1:17" x14ac:dyDescent="0.25">
      <c r="A31" s="7">
        <v>46267.208333333336</v>
      </c>
      <c r="B31" s="22">
        <v>0</v>
      </c>
      <c r="C31" s="22">
        <v>0</v>
      </c>
      <c r="D31" s="18">
        <f t="shared" si="0"/>
        <v>0</v>
      </c>
      <c r="E31" s="22">
        <v>626.85</v>
      </c>
      <c r="F31" s="18">
        <f t="shared" si="4"/>
        <v>0</v>
      </c>
      <c r="G31" s="18">
        <f t="shared" si="5"/>
        <v>626.85</v>
      </c>
      <c r="H31" s="22">
        <v>55.84</v>
      </c>
      <c r="I31" s="18">
        <f t="shared" si="6"/>
        <v>0</v>
      </c>
      <c r="J31" s="18">
        <f t="shared" si="7"/>
        <v>55.84</v>
      </c>
      <c r="K31" s="22">
        <v>2.92</v>
      </c>
      <c r="L31" s="18">
        <f t="shared" si="8"/>
        <v>0</v>
      </c>
      <c r="M31" s="18">
        <f t="shared" si="9"/>
        <v>2.92</v>
      </c>
      <c r="N31" s="15">
        <f t="shared" si="10"/>
        <v>685.61</v>
      </c>
      <c r="O31" s="15">
        <f t="shared" si="1"/>
        <v>0</v>
      </c>
      <c r="P31" s="15">
        <f t="shared" si="2"/>
        <v>685.61</v>
      </c>
      <c r="Q31" s="5">
        <f t="shared" si="3"/>
        <v>1</v>
      </c>
    </row>
    <row r="32" spans="1:17" x14ac:dyDescent="0.25">
      <c r="A32" s="7">
        <v>46267.25</v>
      </c>
      <c r="B32" s="22">
        <v>25.2</v>
      </c>
      <c r="C32" s="22">
        <v>0</v>
      </c>
      <c r="D32" s="18">
        <f t="shared" si="0"/>
        <v>25.2</v>
      </c>
      <c r="E32" s="22">
        <v>9.4499999999999993</v>
      </c>
      <c r="F32" s="18">
        <f t="shared" si="4"/>
        <v>4.5472598816116099</v>
      </c>
      <c r="G32" s="18">
        <f t="shared" si="5"/>
        <v>4.9027401183883894</v>
      </c>
      <c r="H32" s="22">
        <v>38.68</v>
      </c>
      <c r="I32" s="18">
        <f t="shared" si="6"/>
        <v>18.612488065686463</v>
      </c>
      <c r="J32" s="18">
        <f t="shared" si="7"/>
        <v>20.067511934313536</v>
      </c>
      <c r="K32" s="22">
        <v>4.24</v>
      </c>
      <c r="L32" s="18">
        <f t="shared" si="8"/>
        <v>2.0402520527019288</v>
      </c>
      <c r="M32" s="18">
        <f t="shared" si="9"/>
        <v>2.1997479472980714</v>
      </c>
      <c r="N32" s="15">
        <f t="shared" si="10"/>
        <v>52.37</v>
      </c>
      <c r="O32" s="15">
        <f t="shared" si="1"/>
        <v>25.2</v>
      </c>
      <c r="P32" s="15">
        <f t="shared" si="2"/>
        <v>27.169999999999998</v>
      </c>
      <c r="Q32" s="5">
        <f t="shared" si="3"/>
        <v>0.51880847813633757</v>
      </c>
    </row>
    <row r="33" spans="1:17" x14ac:dyDescent="0.25">
      <c r="A33" s="7">
        <v>46267.291666666664</v>
      </c>
      <c r="B33" s="22">
        <v>529.20000000000005</v>
      </c>
      <c r="C33" s="22">
        <v>0.6</v>
      </c>
      <c r="D33" s="18">
        <f t="shared" si="0"/>
        <v>529.80000000000007</v>
      </c>
      <c r="E33" s="22">
        <v>0</v>
      </c>
      <c r="F33" s="18">
        <f t="shared" si="4"/>
        <v>0</v>
      </c>
      <c r="G33" s="18">
        <f t="shared" si="5"/>
        <v>0</v>
      </c>
      <c r="H33" s="22">
        <v>30.16</v>
      </c>
      <c r="I33" s="18">
        <f t="shared" si="6"/>
        <v>30.16</v>
      </c>
      <c r="J33" s="18">
        <f t="shared" si="7"/>
        <v>0</v>
      </c>
      <c r="K33" s="22">
        <v>2.44</v>
      </c>
      <c r="L33" s="18">
        <f t="shared" si="8"/>
        <v>2.44</v>
      </c>
      <c r="M33" s="18">
        <f t="shared" si="9"/>
        <v>0</v>
      </c>
      <c r="N33" s="15">
        <f t="shared" si="10"/>
        <v>32.6</v>
      </c>
      <c r="O33" s="15">
        <f t="shared" si="1"/>
        <v>32.6</v>
      </c>
      <c r="P33" s="15">
        <f t="shared" si="2"/>
        <v>0</v>
      </c>
      <c r="Q33" s="5">
        <f t="shared" si="3"/>
        <v>0</v>
      </c>
    </row>
    <row r="34" spans="1:17" x14ac:dyDescent="0.25">
      <c r="A34" s="7">
        <v>46267.333333333336</v>
      </c>
      <c r="B34" s="22">
        <v>626.85</v>
      </c>
      <c r="C34" s="22">
        <v>0.24000000000000002</v>
      </c>
      <c r="D34" s="18">
        <f t="shared" si="0"/>
        <v>627.09</v>
      </c>
      <c r="E34" s="22">
        <v>0</v>
      </c>
      <c r="F34" s="18">
        <f t="shared" si="4"/>
        <v>0</v>
      </c>
      <c r="G34" s="18">
        <f t="shared" si="5"/>
        <v>0</v>
      </c>
      <c r="H34" s="22">
        <v>71.56</v>
      </c>
      <c r="I34" s="18">
        <f t="shared" si="6"/>
        <v>71.56</v>
      </c>
      <c r="J34" s="18">
        <f t="shared" si="7"/>
        <v>0</v>
      </c>
      <c r="K34" s="22">
        <v>7.1199999999999992</v>
      </c>
      <c r="L34" s="18">
        <f t="shared" si="8"/>
        <v>7.1199999999999992</v>
      </c>
      <c r="M34" s="18">
        <f t="shared" si="9"/>
        <v>0</v>
      </c>
      <c r="N34" s="15">
        <f t="shared" si="10"/>
        <v>78.680000000000007</v>
      </c>
      <c r="O34" s="15">
        <f t="shared" si="1"/>
        <v>78.680000000000007</v>
      </c>
      <c r="P34" s="15">
        <f t="shared" si="2"/>
        <v>0</v>
      </c>
      <c r="Q34" s="5">
        <f t="shared" si="3"/>
        <v>0</v>
      </c>
    </row>
    <row r="35" spans="1:17" x14ac:dyDescent="0.25">
      <c r="A35" s="7">
        <v>46267.375</v>
      </c>
      <c r="B35" s="22">
        <v>1108.8</v>
      </c>
      <c r="C35" s="22">
        <v>1.56</v>
      </c>
      <c r="D35" s="18">
        <f t="shared" si="0"/>
        <v>1110.3599999999999</v>
      </c>
      <c r="E35" s="22">
        <v>0</v>
      </c>
      <c r="F35" s="18">
        <f t="shared" si="4"/>
        <v>0</v>
      </c>
      <c r="G35" s="18">
        <f t="shared" si="5"/>
        <v>0</v>
      </c>
      <c r="H35" s="22">
        <v>35.680000000000007</v>
      </c>
      <c r="I35" s="18">
        <f t="shared" si="6"/>
        <v>35.680000000000007</v>
      </c>
      <c r="J35" s="18">
        <f t="shared" si="7"/>
        <v>0</v>
      </c>
      <c r="K35" s="22">
        <v>52.48</v>
      </c>
      <c r="L35" s="18">
        <f t="shared" si="8"/>
        <v>52.48</v>
      </c>
      <c r="M35" s="18">
        <f t="shared" si="9"/>
        <v>0</v>
      </c>
      <c r="N35" s="15">
        <f t="shared" si="10"/>
        <v>88.16</v>
      </c>
      <c r="O35" s="15">
        <f t="shared" si="1"/>
        <v>88.16</v>
      </c>
      <c r="P35" s="15">
        <f t="shared" si="2"/>
        <v>0</v>
      </c>
      <c r="Q35" s="5">
        <f t="shared" si="3"/>
        <v>0</v>
      </c>
    </row>
    <row r="36" spans="1:17" x14ac:dyDescent="0.25">
      <c r="A36" s="7">
        <v>46267.416666666664</v>
      </c>
      <c r="B36" s="22">
        <v>1625.3999999999999</v>
      </c>
      <c r="C36" s="22">
        <v>11.76</v>
      </c>
      <c r="D36" s="18">
        <f t="shared" si="0"/>
        <v>1637.1599999999999</v>
      </c>
      <c r="E36" s="22">
        <v>0</v>
      </c>
      <c r="F36" s="18">
        <f t="shared" si="4"/>
        <v>0</v>
      </c>
      <c r="G36" s="18">
        <f t="shared" si="5"/>
        <v>0</v>
      </c>
      <c r="H36" s="22">
        <v>21.64</v>
      </c>
      <c r="I36" s="18">
        <f t="shared" si="6"/>
        <v>21.64</v>
      </c>
      <c r="J36" s="18">
        <f t="shared" si="7"/>
        <v>0</v>
      </c>
      <c r="K36" s="22">
        <v>46.96</v>
      </c>
      <c r="L36" s="18">
        <f t="shared" si="8"/>
        <v>46.96</v>
      </c>
      <c r="M36" s="18">
        <f t="shared" si="9"/>
        <v>0</v>
      </c>
      <c r="N36" s="15">
        <f t="shared" si="10"/>
        <v>68.599999999999994</v>
      </c>
      <c r="O36" s="15">
        <f t="shared" si="1"/>
        <v>68.599999999999994</v>
      </c>
      <c r="P36" s="15">
        <f t="shared" si="2"/>
        <v>0</v>
      </c>
      <c r="Q36" s="5">
        <f t="shared" si="3"/>
        <v>0</v>
      </c>
    </row>
    <row r="37" spans="1:17" x14ac:dyDescent="0.25">
      <c r="A37" s="7">
        <v>46267.458333333336</v>
      </c>
      <c r="B37" s="22">
        <v>1833.3</v>
      </c>
      <c r="C37" s="22">
        <v>43.8</v>
      </c>
      <c r="D37" s="18">
        <f t="shared" si="0"/>
        <v>1877.1</v>
      </c>
      <c r="E37" s="22">
        <v>0</v>
      </c>
      <c r="F37" s="18">
        <f t="shared" si="4"/>
        <v>0</v>
      </c>
      <c r="G37" s="18">
        <f t="shared" si="5"/>
        <v>0</v>
      </c>
      <c r="H37" s="22">
        <v>4.84</v>
      </c>
      <c r="I37" s="18">
        <f t="shared" si="6"/>
        <v>4.84</v>
      </c>
      <c r="J37" s="18">
        <f t="shared" si="7"/>
        <v>0</v>
      </c>
      <c r="K37" s="22">
        <v>61.24</v>
      </c>
      <c r="L37" s="18">
        <f t="shared" si="8"/>
        <v>61.24</v>
      </c>
      <c r="M37" s="18">
        <f t="shared" si="9"/>
        <v>0</v>
      </c>
      <c r="N37" s="15">
        <f t="shared" si="10"/>
        <v>66.08</v>
      </c>
      <c r="O37" s="15">
        <f t="shared" si="1"/>
        <v>66.08</v>
      </c>
      <c r="P37" s="15">
        <f t="shared" si="2"/>
        <v>0</v>
      </c>
      <c r="Q37" s="5">
        <f t="shared" si="3"/>
        <v>0</v>
      </c>
    </row>
    <row r="38" spans="1:17" x14ac:dyDescent="0.25">
      <c r="A38" s="7">
        <v>46267.5</v>
      </c>
      <c r="B38" s="22">
        <v>2327.8500000000004</v>
      </c>
      <c r="C38" s="22">
        <v>61.440000000000005</v>
      </c>
      <c r="D38" s="18">
        <f t="shared" si="0"/>
        <v>2389.2900000000004</v>
      </c>
      <c r="E38" s="22">
        <v>0</v>
      </c>
      <c r="F38" s="18">
        <f t="shared" si="4"/>
        <v>0</v>
      </c>
      <c r="G38" s="18">
        <f t="shared" si="5"/>
        <v>0</v>
      </c>
      <c r="H38" s="22">
        <v>1.1199999999999999</v>
      </c>
      <c r="I38" s="18">
        <f t="shared" si="6"/>
        <v>1.1199999999999999</v>
      </c>
      <c r="J38" s="18">
        <f t="shared" si="7"/>
        <v>0</v>
      </c>
      <c r="K38" s="22">
        <v>32.919999999999995</v>
      </c>
      <c r="L38" s="18">
        <f t="shared" si="8"/>
        <v>32.919999999999995</v>
      </c>
      <c r="M38" s="18">
        <f t="shared" si="9"/>
        <v>0</v>
      </c>
      <c r="N38" s="15">
        <f t="shared" si="10"/>
        <v>34.039999999999992</v>
      </c>
      <c r="O38" s="15">
        <f t="shared" si="1"/>
        <v>34.039999999999992</v>
      </c>
      <c r="P38" s="15">
        <f t="shared" si="2"/>
        <v>0</v>
      </c>
      <c r="Q38" s="5">
        <f t="shared" si="3"/>
        <v>0</v>
      </c>
    </row>
    <row r="39" spans="1:17" x14ac:dyDescent="0.25">
      <c r="A39" s="7">
        <v>46267.541666666664</v>
      </c>
      <c r="B39" s="22">
        <v>2516.85</v>
      </c>
      <c r="C39" s="22">
        <v>43.92</v>
      </c>
      <c r="D39" s="18">
        <f t="shared" si="0"/>
        <v>2560.77</v>
      </c>
      <c r="E39" s="22">
        <v>0</v>
      </c>
      <c r="F39" s="18">
        <f t="shared" si="4"/>
        <v>0</v>
      </c>
      <c r="G39" s="18">
        <f t="shared" si="5"/>
        <v>0</v>
      </c>
      <c r="H39" s="22">
        <v>6.88</v>
      </c>
      <c r="I39" s="18">
        <f t="shared" si="6"/>
        <v>6.88</v>
      </c>
      <c r="J39" s="18">
        <f t="shared" si="7"/>
        <v>0</v>
      </c>
      <c r="K39" s="22">
        <v>40.480000000000004</v>
      </c>
      <c r="L39" s="18">
        <f t="shared" si="8"/>
        <v>40.480000000000004</v>
      </c>
      <c r="M39" s="18">
        <f t="shared" si="9"/>
        <v>0</v>
      </c>
      <c r="N39" s="15">
        <f t="shared" si="10"/>
        <v>47.360000000000007</v>
      </c>
      <c r="O39" s="15">
        <f t="shared" si="1"/>
        <v>47.360000000000007</v>
      </c>
      <c r="P39" s="15">
        <f t="shared" si="2"/>
        <v>0</v>
      </c>
      <c r="Q39" s="5">
        <f t="shared" si="3"/>
        <v>0</v>
      </c>
    </row>
    <row r="40" spans="1:17" x14ac:dyDescent="0.25">
      <c r="A40" s="7">
        <v>46267.583333333336</v>
      </c>
      <c r="B40" s="22">
        <v>1710.45</v>
      </c>
      <c r="C40" s="22">
        <v>34.56</v>
      </c>
      <c r="D40" s="18">
        <f t="shared" si="0"/>
        <v>1745.01</v>
      </c>
      <c r="E40" s="22">
        <v>0</v>
      </c>
      <c r="F40" s="18">
        <f t="shared" si="4"/>
        <v>0</v>
      </c>
      <c r="G40" s="18">
        <f t="shared" si="5"/>
        <v>0</v>
      </c>
      <c r="H40" s="22">
        <v>7.24</v>
      </c>
      <c r="I40" s="18">
        <f t="shared" si="6"/>
        <v>7.24</v>
      </c>
      <c r="J40" s="18">
        <f t="shared" si="7"/>
        <v>0</v>
      </c>
      <c r="K40" s="22">
        <v>33.880000000000003</v>
      </c>
      <c r="L40" s="18">
        <f t="shared" si="8"/>
        <v>33.880000000000003</v>
      </c>
      <c r="M40" s="18">
        <f t="shared" si="9"/>
        <v>0</v>
      </c>
      <c r="N40" s="15">
        <f t="shared" si="10"/>
        <v>41.120000000000005</v>
      </c>
      <c r="O40" s="15">
        <f t="shared" si="1"/>
        <v>41.120000000000005</v>
      </c>
      <c r="P40" s="15">
        <f t="shared" si="2"/>
        <v>0</v>
      </c>
      <c r="Q40" s="5">
        <f t="shared" si="3"/>
        <v>0</v>
      </c>
    </row>
    <row r="41" spans="1:17" x14ac:dyDescent="0.25">
      <c r="A41" s="7">
        <v>46267.625</v>
      </c>
      <c r="B41" s="22">
        <v>1297.8</v>
      </c>
      <c r="C41" s="22">
        <v>13.440000000000001</v>
      </c>
      <c r="D41" s="18">
        <f t="shared" si="0"/>
        <v>1311.24</v>
      </c>
      <c r="E41" s="22">
        <v>0</v>
      </c>
      <c r="F41" s="18">
        <f t="shared" si="4"/>
        <v>0</v>
      </c>
      <c r="G41" s="18">
        <f t="shared" si="5"/>
        <v>0</v>
      </c>
      <c r="H41" s="22">
        <v>15.520000000000001</v>
      </c>
      <c r="I41" s="18">
        <f t="shared" si="6"/>
        <v>15.520000000000001</v>
      </c>
      <c r="J41" s="18">
        <f t="shared" si="7"/>
        <v>0</v>
      </c>
      <c r="K41" s="22">
        <v>19.84</v>
      </c>
      <c r="L41" s="18">
        <f t="shared" si="8"/>
        <v>19.84</v>
      </c>
      <c r="M41" s="18">
        <f t="shared" si="9"/>
        <v>0</v>
      </c>
      <c r="N41" s="15">
        <f t="shared" si="10"/>
        <v>35.36</v>
      </c>
      <c r="O41" s="15">
        <f t="shared" si="1"/>
        <v>35.36</v>
      </c>
      <c r="P41" s="15">
        <f t="shared" si="2"/>
        <v>0</v>
      </c>
      <c r="Q41" s="5">
        <f t="shared" si="3"/>
        <v>0</v>
      </c>
    </row>
    <row r="42" spans="1:17" x14ac:dyDescent="0.25">
      <c r="A42" s="7">
        <v>46267.666666666664</v>
      </c>
      <c r="B42" s="22">
        <v>1011.15</v>
      </c>
      <c r="C42" s="22">
        <v>8.2799999999999994</v>
      </c>
      <c r="D42" s="18">
        <f t="shared" si="0"/>
        <v>1019.43</v>
      </c>
      <c r="E42" s="22">
        <v>0</v>
      </c>
      <c r="F42" s="18">
        <f t="shared" si="4"/>
        <v>0</v>
      </c>
      <c r="G42" s="18">
        <f t="shared" si="5"/>
        <v>0</v>
      </c>
      <c r="H42" s="22">
        <v>11.799999999999999</v>
      </c>
      <c r="I42" s="18">
        <f t="shared" si="6"/>
        <v>11.799999999999999</v>
      </c>
      <c r="J42" s="18">
        <f t="shared" si="7"/>
        <v>0</v>
      </c>
      <c r="K42" s="22">
        <v>27.64</v>
      </c>
      <c r="L42" s="18">
        <f t="shared" si="8"/>
        <v>27.64</v>
      </c>
      <c r="M42" s="18">
        <f t="shared" si="9"/>
        <v>0</v>
      </c>
      <c r="N42" s="15">
        <f t="shared" si="10"/>
        <v>39.44</v>
      </c>
      <c r="O42" s="15">
        <f t="shared" si="1"/>
        <v>39.44</v>
      </c>
      <c r="P42" s="15">
        <f t="shared" si="2"/>
        <v>0</v>
      </c>
      <c r="Q42" s="5">
        <f t="shared" si="3"/>
        <v>0</v>
      </c>
    </row>
    <row r="43" spans="1:17" x14ac:dyDescent="0.25">
      <c r="A43" s="7">
        <v>46267.708333333336</v>
      </c>
      <c r="B43" s="22">
        <v>40.950000000000003</v>
      </c>
      <c r="C43" s="22">
        <v>1.6800000000000002</v>
      </c>
      <c r="D43" s="18">
        <f t="shared" si="0"/>
        <v>42.63</v>
      </c>
      <c r="E43" s="22">
        <v>195.3</v>
      </c>
      <c r="F43" s="18">
        <f t="shared" si="4"/>
        <v>33.764590658571905</v>
      </c>
      <c r="G43" s="18">
        <f t="shared" si="5"/>
        <v>161.53540934142811</v>
      </c>
      <c r="H43" s="22">
        <v>35.799999999999997</v>
      </c>
      <c r="I43" s="18">
        <f t="shared" si="6"/>
        <v>6.1893105252272065</v>
      </c>
      <c r="J43" s="18">
        <f t="shared" si="7"/>
        <v>29.610689474772791</v>
      </c>
      <c r="K43" s="22">
        <v>15.478999999999999</v>
      </c>
      <c r="L43" s="18">
        <f t="shared" si="8"/>
        <v>2.6760988162008932</v>
      </c>
      <c r="M43" s="18">
        <f t="shared" si="9"/>
        <v>12.802901183799106</v>
      </c>
      <c r="N43" s="15">
        <f t="shared" si="10"/>
        <v>246.57900000000001</v>
      </c>
      <c r="O43" s="15">
        <f t="shared" si="1"/>
        <v>42.629999999999995</v>
      </c>
      <c r="P43" s="15">
        <f t="shared" si="2"/>
        <v>203.94900000000001</v>
      </c>
      <c r="Q43" s="5">
        <f t="shared" si="3"/>
        <v>0.82711423113890481</v>
      </c>
    </row>
    <row r="44" spans="1:17" x14ac:dyDescent="0.25">
      <c r="A44" s="7">
        <v>46267.75</v>
      </c>
      <c r="B44" s="22">
        <v>18.899999999999999</v>
      </c>
      <c r="C44" s="22">
        <v>0</v>
      </c>
      <c r="D44" s="18">
        <f t="shared" si="0"/>
        <v>18.899999999999999</v>
      </c>
      <c r="E44" s="22">
        <v>31.5</v>
      </c>
      <c r="F44" s="18">
        <f t="shared" si="4"/>
        <v>5.0543339842091832</v>
      </c>
      <c r="G44" s="18">
        <f t="shared" si="5"/>
        <v>26.445666015790817</v>
      </c>
      <c r="H44" s="22">
        <v>64.240000000000009</v>
      </c>
      <c r="I44" s="18">
        <f t="shared" si="6"/>
        <v>10.307632226844376</v>
      </c>
      <c r="J44" s="18">
        <f t="shared" si="7"/>
        <v>53.932367773155633</v>
      </c>
      <c r="K44" s="22">
        <v>22.05</v>
      </c>
      <c r="L44" s="18">
        <f t="shared" si="8"/>
        <v>3.5380337889464286</v>
      </c>
      <c r="M44" s="18">
        <f t="shared" si="9"/>
        <v>18.511966211053572</v>
      </c>
      <c r="N44" s="15">
        <f t="shared" si="10"/>
        <v>117.79</v>
      </c>
      <c r="O44" s="15">
        <f t="shared" si="1"/>
        <v>18.899999999999991</v>
      </c>
      <c r="P44" s="15">
        <f t="shared" si="2"/>
        <v>98.890000000000015</v>
      </c>
      <c r="Q44" s="5">
        <f t="shared" si="3"/>
        <v>0.83954495288224817</v>
      </c>
    </row>
    <row r="45" spans="1:17" x14ac:dyDescent="0.25">
      <c r="A45" s="7">
        <v>46267.791666666664</v>
      </c>
      <c r="B45" s="22">
        <v>0</v>
      </c>
      <c r="C45" s="22">
        <v>0</v>
      </c>
      <c r="D45" s="18">
        <f t="shared" si="0"/>
        <v>0</v>
      </c>
      <c r="E45" s="22">
        <v>88.2</v>
      </c>
      <c r="F45" s="18">
        <f t="shared" si="4"/>
        <v>0</v>
      </c>
      <c r="G45" s="18">
        <f t="shared" si="5"/>
        <v>88.2</v>
      </c>
      <c r="H45" s="22">
        <v>76.48</v>
      </c>
      <c r="I45" s="18">
        <f t="shared" si="6"/>
        <v>0</v>
      </c>
      <c r="J45" s="18">
        <f t="shared" si="7"/>
        <v>76.48</v>
      </c>
      <c r="K45" s="22">
        <v>13.167</v>
      </c>
      <c r="L45" s="18">
        <f t="shared" si="8"/>
        <v>0</v>
      </c>
      <c r="M45" s="18">
        <f t="shared" si="9"/>
        <v>13.167</v>
      </c>
      <c r="N45" s="15">
        <f t="shared" si="10"/>
        <v>177.84700000000001</v>
      </c>
      <c r="O45" s="15">
        <f t="shared" si="1"/>
        <v>0</v>
      </c>
      <c r="P45" s="15">
        <f t="shared" si="2"/>
        <v>177.84700000000001</v>
      </c>
      <c r="Q45" s="5">
        <f t="shared" si="3"/>
        <v>1</v>
      </c>
    </row>
    <row r="46" spans="1:17" x14ac:dyDescent="0.25">
      <c r="A46" s="7">
        <v>46267.833333333336</v>
      </c>
      <c r="B46" s="22">
        <v>0</v>
      </c>
      <c r="C46" s="22">
        <v>0</v>
      </c>
      <c r="D46" s="18">
        <f t="shared" si="0"/>
        <v>0</v>
      </c>
      <c r="E46" s="22">
        <v>967.05</v>
      </c>
      <c r="F46" s="18">
        <f t="shared" si="4"/>
        <v>0</v>
      </c>
      <c r="G46" s="18">
        <f t="shared" si="5"/>
        <v>967.05</v>
      </c>
      <c r="H46" s="22">
        <v>105.76</v>
      </c>
      <c r="I46" s="18">
        <f t="shared" si="6"/>
        <v>0</v>
      </c>
      <c r="J46" s="18">
        <f t="shared" si="7"/>
        <v>105.76</v>
      </c>
      <c r="K46" s="22">
        <v>17.303999999999998</v>
      </c>
      <c r="L46" s="18">
        <f t="shared" si="8"/>
        <v>0</v>
      </c>
      <c r="M46" s="18">
        <f t="shared" si="9"/>
        <v>17.303999999999998</v>
      </c>
      <c r="N46" s="15">
        <f t="shared" si="10"/>
        <v>1090.114</v>
      </c>
      <c r="O46" s="15">
        <f t="shared" si="1"/>
        <v>0</v>
      </c>
      <c r="P46" s="15">
        <f t="shared" si="2"/>
        <v>1090.114</v>
      </c>
      <c r="Q46" s="5">
        <f t="shared" si="3"/>
        <v>1</v>
      </c>
    </row>
    <row r="47" spans="1:17" x14ac:dyDescent="0.25">
      <c r="A47" s="7">
        <v>46267.875</v>
      </c>
      <c r="B47" s="22">
        <v>0</v>
      </c>
      <c r="C47" s="22">
        <v>0</v>
      </c>
      <c r="D47" s="18">
        <f t="shared" si="0"/>
        <v>0</v>
      </c>
      <c r="E47" s="22">
        <v>967.05</v>
      </c>
      <c r="F47" s="18">
        <f t="shared" si="4"/>
        <v>0</v>
      </c>
      <c r="G47" s="18">
        <f t="shared" si="5"/>
        <v>967.05</v>
      </c>
      <c r="H47" s="22">
        <v>106.6</v>
      </c>
      <c r="I47" s="18">
        <f t="shared" si="6"/>
        <v>0</v>
      </c>
      <c r="J47" s="18">
        <f t="shared" si="7"/>
        <v>106.6</v>
      </c>
      <c r="K47" s="22">
        <v>2.9450000000000003</v>
      </c>
      <c r="L47" s="18">
        <f t="shared" si="8"/>
        <v>0</v>
      </c>
      <c r="M47" s="18">
        <f t="shared" si="9"/>
        <v>2.9450000000000003</v>
      </c>
      <c r="N47" s="15">
        <f t="shared" si="10"/>
        <v>1076.5949999999998</v>
      </c>
      <c r="O47" s="15">
        <f t="shared" si="1"/>
        <v>0</v>
      </c>
      <c r="P47" s="15">
        <f t="shared" si="2"/>
        <v>1076.5949999999998</v>
      </c>
      <c r="Q47" s="5">
        <f t="shared" si="3"/>
        <v>1</v>
      </c>
    </row>
    <row r="48" spans="1:17" x14ac:dyDescent="0.25">
      <c r="A48" s="7">
        <v>46267.916666666664</v>
      </c>
      <c r="B48" s="22">
        <v>0</v>
      </c>
      <c r="C48" s="22">
        <v>0</v>
      </c>
      <c r="D48" s="18">
        <f t="shared" si="0"/>
        <v>0</v>
      </c>
      <c r="E48" s="22">
        <v>749.7</v>
      </c>
      <c r="F48" s="18">
        <f t="shared" si="4"/>
        <v>0</v>
      </c>
      <c r="G48" s="18">
        <f t="shared" si="5"/>
        <v>749.7</v>
      </c>
      <c r="H48" s="22">
        <v>109.47999999999999</v>
      </c>
      <c r="I48" s="18">
        <f t="shared" si="6"/>
        <v>0</v>
      </c>
      <c r="J48" s="18">
        <f t="shared" si="7"/>
        <v>109.47999999999999</v>
      </c>
      <c r="K48" s="22">
        <v>2.92</v>
      </c>
      <c r="L48" s="18">
        <f t="shared" si="8"/>
        <v>0</v>
      </c>
      <c r="M48" s="18">
        <f t="shared" si="9"/>
        <v>2.92</v>
      </c>
      <c r="N48" s="15">
        <f t="shared" si="10"/>
        <v>862.1</v>
      </c>
      <c r="O48" s="15">
        <f t="shared" si="1"/>
        <v>0</v>
      </c>
      <c r="P48" s="15">
        <f t="shared" si="2"/>
        <v>862.1</v>
      </c>
      <c r="Q48" s="5">
        <f t="shared" si="3"/>
        <v>1</v>
      </c>
    </row>
    <row r="49" spans="1:17" x14ac:dyDescent="0.25">
      <c r="A49" s="7">
        <v>46267.958333333336</v>
      </c>
      <c r="B49" s="22">
        <v>0</v>
      </c>
      <c r="C49" s="22">
        <v>0</v>
      </c>
      <c r="D49" s="18">
        <f t="shared" si="0"/>
        <v>0</v>
      </c>
      <c r="E49" s="22">
        <v>648.9</v>
      </c>
      <c r="F49" s="18">
        <f t="shared" si="4"/>
        <v>0</v>
      </c>
      <c r="G49" s="18">
        <f t="shared" si="5"/>
        <v>648.9</v>
      </c>
      <c r="H49" s="22">
        <v>104.2</v>
      </c>
      <c r="I49" s="18">
        <f t="shared" si="6"/>
        <v>0</v>
      </c>
      <c r="J49" s="18">
        <f t="shared" si="7"/>
        <v>104.2</v>
      </c>
      <c r="K49" s="22">
        <v>2.68</v>
      </c>
      <c r="L49" s="18">
        <f t="shared" si="8"/>
        <v>0</v>
      </c>
      <c r="M49" s="18">
        <f t="shared" si="9"/>
        <v>2.68</v>
      </c>
      <c r="N49" s="15">
        <f t="shared" si="10"/>
        <v>755.78</v>
      </c>
      <c r="O49" s="15">
        <f t="shared" si="1"/>
        <v>0</v>
      </c>
      <c r="P49" s="15">
        <f t="shared" si="2"/>
        <v>755.78</v>
      </c>
      <c r="Q49" s="5">
        <f t="shared" si="3"/>
        <v>1</v>
      </c>
    </row>
    <row r="50" spans="1:17" x14ac:dyDescent="0.25">
      <c r="A50" s="7">
        <v>46268</v>
      </c>
      <c r="B50" s="22">
        <v>0</v>
      </c>
      <c r="C50" s="22">
        <v>0</v>
      </c>
      <c r="D50" s="18">
        <f t="shared" si="0"/>
        <v>0</v>
      </c>
      <c r="E50" s="22">
        <v>904.05000000000007</v>
      </c>
      <c r="F50" s="18">
        <f t="shared" si="4"/>
        <v>0</v>
      </c>
      <c r="G50" s="18">
        <f t="shared" si="5"/>
        <v>904.05000000000007</v>
      </c>
      <c r="H50" s="22">
        <v>108.52000000000001</v>
      </c>
      <c r="I50" s="18">
        <f t="shared" si="6"/>
        <v>0</v>
      </c>
      <c r="J50" s="18">
        <f t="shared" si="7"/>
        <v>108.52000000000001</v>
      </c>
      <c r="K50" s="22">
        <v>2.92</v>
      </c>
      <c r="L50" s="18">
        <f t="shared" si="8"/>
        <v>0</v>
      </c>
      <c r="M50" s="18">
        <f t="shared" si="9"/>
        <v>2.92</v>
      </c>
      <c r="N50" s="15">
        <f t="shared" si="10"/>
        <v>1015.49</v>
      </c>
      <c r="O50" s="15">
        <f t="shared" si="1"/>
        <v>0</v>
      </c>
      <c r="P50" s="15">
        <f t="shared" si="2"/>
        <v>1015.49</v>
      </c>
      <c r="Q50" s="5">
        <f t="shared" si="3"/>
        <v>1</v>
      </c>
    </row>
    <row r="51" spans="1:17" x14ac:dyDescent="0.25">
      <c r="A51" s="7">
        <v>46268.041666666664</v>
      </c>
      <c r="B51" s="22">
        <v>0</v>
      </c>
      <c r="C51" s="22">
        <v>0</v>
      </c>
      <c r="D51" s="18">
        <f t="shared" si="0"/>
        <v>0</v>
      </c>
      <c r="E51" s="22">
        <v>50.4</v>
      </c>
      <c r="F51" s="18">
        <f t="shared" si="4"/>
        <v>0</v>
      </c>
      <c r="G51" s="18">
        <f t="shared" si="5"/>
        <v>50.4</v>
      </c>
      <c r="H51" s="22">
        <v>105.39999999999999</v>
      </c>
      <c r="I51" s="18">
        <f t="shared" si="6"/>
        <v>0</v>
      </c>
      <c r="J51" s="18">
        <f t="shared" si="7"/>
        <v>105.39999999999999</v>
      </c>
      <c r="K51" s="22">
        <v>2.68</v>
      </c>
      <c r="L51" s="18">
        <f t="shared" si="8"/>
        <v>0</v>
      </c>
      <c r="M51" s="18">
        <f t="shared" si="9"/>
        <v>2.68</v>
      </c>
      <c r="N51" s="15">
        <f t="shared" si="10"/>
        <v>158.47999999999999</v>
      </c>
      <c r="O51" s="15">
        <f t="shared" si="1"/>
        <v>0</v>
      </c>
      <c r="P51" s="15">
        <f t="shared" si="2"/>
        <v>158.47999999999999</v>
      </c>
      <c r="Q51" s="5">
        <f t="shared" si="3"/>
        <v>1</v>
      </c>
    </row>
    <row r="52" spans="1:17" x14ac:dyDescent="0.25">
      <c r="A52" s="7">
        <v>46268.083333333336</v>
      </c>
      <c r="B52" s="22">
        <v>0</v>
      </c>
      <c r="C52" s="22">
        <v>0</v>
      </c>
      <c r="D52" s="18">
        <f t="shared" si="0"/>
        <v>0</v>
      </c>
      <c r="E52" s="22">
        <v>897.75</v>
      </c>
      <c r="F52" s="18">
        <f t="shared" si="4"/>
        <v>0</v>
      </c>
      <c r="G52" s="18">
        <f t="shared" si="5"/>
        <v>897.75</v>
      </c>
      <c r="H52" s="22">
        <v>98.320000000000007</v>
      </c>
      <c r="I52" s="18">
        <f t="shared" si="6"/>
        <v>0</v>
      </c>
      <c r="J52" s="18">
        <f t="shared" si="7"/>
        <v>98.320000000000007</v>
      </c>
      <c r="K52" s="22">
        <v>2.92</v>
      </c>
      <c r="L52" s="18">
        <f t="shared" si="8"/>
        <v>0</v>
      </c>
      <c r="M52" s="18">
        <f t="shared" si="9"/>
        <v>2.92</v>
      </c>
      <c r="N52" s="15">
        <f t="shared" si="10"/>
        <v>998.99</v>
      </c>
      <c r="O52" s="15">
        <f t="shared" si="1"/>
        <v>0</v>
      </c>
      <c r="P52" s="15">
        <f t="shared" si="2"/>
        <v>998.99</v>
      </c>
      <c r="Q52" s="5">
        <f t="shared" si="3"/>
        <v>1</v>
      </c>
    </row>
    <row r="53" spans="1:17" x14ac:dyDescent="0.25">
      <c r="A53" s="7">
        <v>46268.125</v>
      </c>
      <c r="B53" s="22">
        <v>0</v>
      </c>
      <c r="C53" s="22">
        <v>0</v>
      </c>
      <c r="D53" s="18">
        <f t="shared" si="0"/>
        <v>0</v>
      </c>
      <c r="E53" s="22">
        <v>916.65</v>
      </c>
      <c r="F53" s="18">
        <f t="shared" si="4"/>
        <v>0</v>
      </c>
      <c r="G53" s="18">
        <f t="shared" si="5"/>
        <v>916.65</v>
      </c>
      <c r="H53" s="22">
        <v>67.84</v>
      </c>
      <c r="I53" s="18">
        <f t="shared" si="6"/>
        <v>0</v>
      </c>
      <c r="J53" s="18">
        <f t="shared" si="7"/>
        <v>67.84</v>
      </c>
      <c r="K53" s="22">
        <v>2.8</v>
      </c>
      <c r="L53" s="18">
        <f t="shared" si="8"/>
        <v>0</v>
      </c>
      <c r="M53" s="18">
        <f t="shared" si="9"/>
        <v>2.8</v>
      </c>
      <c r="N53" s="15">
        <f t="shared" si="10"/>
        <v>987.29</v>
      </c>
      <c r="O53" s="15">
        <f t="shared" si="1"/>
        <v>0</v>
      </c>
      <c r="P53" s="15">
        <f t="shared" si="2"/>
        <v>987.29</v>
      </c>
      <c r="Q53" s="5">
        <f t="shared" si="3"/>
        <v>1</v>
      </c>
    </row>
    <row r="54" spans="1:17" x14ac:dyDescent="0.25">
      <c r="A54" s="7">
        <v>46268.166666666664</v>
      </c>
      <c r="B54" s="22">
        <v>0</v>
      </c>
      <c r="C54" s="22">
        <v>0</v>
      </c>
      <c r="D54" s="18">
        <f t="shared" si="0"/>
        <v>0</v>
      </c>
      <c r="E54" s="22">
        <v>567</v>
      </c>
      <c r="F54" s="18">
        <f t="shared" si="4"/>
        <v>0</v>
      </c>
      <c r="G54" s="18">
        <f t="shared" si="5"/>
        <v>567</v>
      </c>
      <c r="H54" s="22">
        <v>58.24</v>
      </c>
      <c r="I54" s="18">
        <f t="shared" si="6"/>
        <v>0</v>
      </c>
      <c r="J54" s="18">
        <f t="shared" si="7"/>
        <v>58.24</v>
      </c>
      <c r="K54" s="22">
        <v>2.8</v>
      </c>
      <c r="L54" s="18">
        <f t="shared" si="8"/>
        <v>0</v>
      </c>
      <c r="M54" s="18">
        <f t="shared" si="9"/>
        <v>2.8</v>
      </c>
      <c r="N54" s="15">
        <f t="shared" si="10"/>
        <v>628.04</v>
      </c>
      <c r="O54" s="15">
        <f t="shared" si="1"/>
        <v>0</v>
      </c>
      <c r="P54" s="15">
        <f t="shared" si="2"/>
        <v>628.04</v>
      </c>
      <c r="Q54" s="5">
        <f t="shared" si="3"/>
        <v>1</v>
      </c>
    </row>
    <row r="55" spans="1:17" x14ac:dyDescent="0.25">
      <c r="A55" s="7">
        <v>46268.208333333336</v>
      </c>
      <c r="B55" s="22">
        <v>0</v>
      </c>
      <c r="C55" s="22">
        <v>0</v>
      </c>
      <c r="D55" s="18">
        <f t="shared" si="0"/>
        <v>0</v>
      </c>
      <c r="E55" s="22">
        <v>548.1</v>
      </c>
      <c r="F55" s="18">
        <f t="shared" si="4"/>
        <v>0</v>
      </c>
      <c r="G55" s="18">
        <f t="shared" si="5"/>
        <v>548.1</v>
      </c>
      <c r="H55" s="22">
        <v>61.6</v>
      </c>
      <c r="I55" s="18">
        <f t="shared" si="6"/>
        <v>0</v>
      </c>
      <c r="J55" s="18">
        <f t="shared" si="7"/>
        <v>61.6</v>
      </c>
      <c r="K55" s="22">
        <v>2.8</v>
      </c>
      <c r="L55" s="18">
        <f t="shared" si="8"/>
        <v>0</v>
      </c>
      <c r="M55" s="18">
        <f t="shared" si="9"/>
        <v>2.8</v>
      </c>
      <c r="N55" s="15">
        <f t="shared" si="10"/>
        <v>612.5</v>
      </c>
      <c r="O55" s="15">
        <f t="shared" si="1"/>
        <v>0</v>
      </c>
      <c r="P55" s="15">
        <f t="shared" si="2"/>
        <v>612.5</v>
      </c>
      <c r="Q55" s="5">
        <f t="shared" si="3"/>
        <v>1</v>
      </c>
    </row>
    <row r="56" spans="1:17" x14ac:dyDescent="0.25">
      <c r="A56" s="7">
        <v>46268.25</v>
      </c>
      <c r="B56" s="22">
        <v>25.2</v>
      </c>
      <c r="C56" s="22">
        <v>0</v>
      </c>
      <c r="D56" s="18">
        <f t="shared" si="0"/>
        <v>25.2</v>
      </c>
      <c r="E56" s="22">
        <v>12.6</v>
      </c>
      <c r="F56" s="18">
        <f t="shared" si="4"/>
        <v>5.359891964888587</v>
      </c>
      <c r="G56" s="18">
        <f t="shared" si="5"/>
        <v>7.2401080351114127</v>
      </c>
      <c r="H56" s="22">
        <v>42.52</v>
      </c>
      <c r="I56" s="18">
        <f t="shared" si="6"/>
        <v>18.087508440243077</v>
      </c>
      <c r="J56" s="18">
        <f t="shared" si="7"/>
        <v>24.432491559756926</v>
      </c>
      <c r="K56" s="22">
        <v>4.12</v>
      </c>
      <c r="L56" s="18">
        <f t="shared" si="8"/>
        <v>1.7525995948683319</v>
      </c>
      <c r="M56" s="18">
        <f t="shared" si="9"/>
        <v>2.3674004051316682</v>
      </c>
      <c r="N56" s="15">
        <f t="shared" si="10"/>
        <v>59.24</v>
      </c>
      <c r="O56" s="15">
        <f t="shared" si="1"/>
        <v>25.199999999999996</v>
      </c>
      <c r="P56" s="15">
        <f t="shared" si="2"/>
        <v>34.040000000000006</v>
      </c>
      <c r="Q56" s="5">
        <f t="shared" si="3"/>
        <v>0.57461174881836607</v>
      </c>
    </row>
    <row r="57" spans="1:17" x14ac:dyDescent="0.25">
      <c r="A57" s="7">
        <v>46268.291666666664</v>
      </c>
      <c r="B57" s="22">
        <v>500.85</v>
      </c>
      <c r="C57" s="22">
        <v>0</v>
      </c>
      <c r="D57" s="18">
        <f t="shared" si="0"/>
        <v>500.85</v>
      </c>
      <c r="E57" s="22">
        <v>0</v>
      </c>
      <c r="F57" s="18">
        <f t="shared" si="4"/>
        <v>0</v>
      </c>
      <c r="G57" s="18">
        <f t="shared" si="5"/>
        <v>0</v>
      </c>
      <c r="H57" s="22">
        <v>37</v>
      </c>
      <c r="I57" s="18">
        <f t="shared" si="6"/>
        <v>37</v>
      </c>
      <c r="J57" s="18">
        <f t="shared" si="7"/>
        <v>0</v>
      </c>
      <c r="K57" s="22">
        <v>2.68</v>
      </c>
      <c r="L57" s="18">
        <f t="shared" si="8"/>
        <v>2.68</v>
      </c>
      <c r="M57" s="18">
        <f t="shared" si="9"/>
        <v>0</v>
      </c>
      <c r="N57" s="15">
        <f t="shared" si="10"/>
        <v>39.68</v>
      </c>
      <c r="O57" s="15">
        <f t="shared" si="1"/>
        <v>39.68</v>
      </c>
      <c r="P57" s="15">
        <f t="shared" si="2"/>
        <v>0</v>
      </c>
      <c r="Q57" s="5">
        <f t="shared" si="3"/>
        <v>0</v>
      </c>
    </row>
    <row r="58" spans="1:17" x14ac:dyDescent="0.25">
      <c r="A58" s="7">
        <v>46268.333333333336</v>
      </c>
      <c r="B58" s="22">
        <v>796.95</v>
      </c>
      <c r="C58" s="22">
        <v>0</v>
      </c>
      <c r="D58" s="18">
        <f t="shared" si="0"/>
        <v>796.95</v>
      </c>
      <c r="E58" s="22">
        <v>0</v>
      </c>
      <c r="F58" s="18">
        <f t="shared" si="4"/>
        <v>0</v>
      </c>
      <c r="G58" s="18">
        <f t="shared" si="5"/>
        <v>0</v>
      </c>
      <c r="H58" s="22">
        <v>81.16</v>
      </c>
      <c r="I58" s="18">
        <f t="shared" si="6"/>
        <v>81.16</v>
      </c>
      <c r="J58" s="18">
        <f t="shared" si="7"/>
        <v>0</v>
      </c>
      <c r="K58" s="22">
        <v>6.88</v>
      </c>
      <c r="L58" s="18">
        <f t="shared" si="8"/>
        <v>6.88</v>
      </c>
      <c r="M58" s="18">
        <f t="shared" si="9"/>
        <v>0</v>
      </c>
      <c r="N58" s="15">
        <f t="shared" si="10"/>
        <v>88.039999999999992</v>
      </c>
      <c r="O58" s="15">
        <f t="shared" si="1"/>
        <v>88.039999999999992</v>
      </c>
      <c r="P58" s="15">
        <f t="shared" si="2"/>
        <v>0</v>
      </c>
      <c r="Q58" s="5">
        <f t="shared" si="3"/>
        <v>0</v>
      </c>
    </row>
    <row r="59" spans="1:17" x14ac:dyDescent="0.25">
      <c r="A59" s="7">
        <v>46268.375</v>
      </c>
      <c r="B59" s="22">
        <v>1178.0999999999999</v>
      </c>
      <c r="C59" s="22">
        <v>7.56</v>
      </c>
      <c r="D59" s="18">
        <f t="shared" si="0"/>
        <v>1185.6599999999999</v>
      </c>
      <c r="E59" s="22">
        <v>0</v>
      </c>
      <c r="F59" s="18">
        <f t="shared" si="4"/>
        <v>0</v>
      </c>
      <c r="G59" s="18">
        <f t="shared" si="5"/>
        <v>0</v>
      </c>
      <c r="H59" s="22">
        <v>24.76</v>
      </c>
      <c r="I59" s="18">
        <f t="shared" si="6"/>
        <v>24.76</v>
      </c>
      <c r="J59" s="18">
        <f t="shared" si="7"/>
        <v>0</v>
      </c>
      <c r="K59" s="22">
        <v>47.559999999999995</v>
      </c>
      <c r="L59" s="18">
        <f t="shared" si="8"/>
        <v>47.559999999999995</v>
      </c>
      <c r="M59" s="18">
        <f t="shared" si="9"/>
        <v>0</v>
      </c>
      <c r="N59" s="15">
        <f t="shared" si="10"/>
        <v>72.319999999999993</v>
      </c>
      <c r="O59" s="15">
        <f t="shared" si="1"/>
        <v>72.319999999999993</v>
      </c>
      <c r="P59" s="15">
        <f t="shared" si="2"/>
        <v>0</v>
      </c>
      <c r="Q59" s="5">
        <f t="shared" si="3"/>
        <v>0</v>
      </c>
    </row>
    <row r="60" spans="1:17" x14ac:dyDescent="0.25">
      <c r="A60" s="7">
        <v>46268.416666666664</v>
      </c>
      <c r="B60" s="22">
        <v>1556.1000000000001</v>
      </c>
      <c r="C60" s="22">
        <v>8.52</v>
      </c>
      <c r="D60" s="18">
        <f t="shared" si="0"/>
        <v>1564.6200000000001</v>
      </c>
      <c r="E60" s="22">
        <v>0</v>
      </c>
      <c r="F60" s="18">
        <f t="shared" si="4"/>
        <v>0</v>
      </c>
      <c r="G60" s="18">
        <f t="shared" si="5"/>
        <v>0</v>
      </c>
      <c r="H60" s="22">
        <v>26.44</v>
      </c>
      <c r="I60" s="18">
        <f t="shared" si="6"/>
        <v>26.44</v>
      </c>
      <c r="J60" s="18">
        <f t="shared" si="7"/>
        <v>0</v>
      </c>
      <c r="K60" s="22">
        <v>47.440000000000005</v>
      </c>
      <c r="L60" s="18">
        <f t="shared" si="8"/>
        <v>47.440000000000005</v>
      </c>
      <c r="M60" s="18">
        <f t="shared" si="9"/>
        <v>0</v>
      </c>
      <c r="N60" s="15">
        <f t="shared" si="10"/>
        <v>73.88000000000001</v>
      </c>
      <c r="O60" s="15">
        <f t="shared" si="1"/>
        <v>73.88000000000001</v>
      </c>
      <c r="P60" s="15">
        <f t="shared" si="2"/>
        <v>0</v>
      </c>
      <c r="Q60" s="5">
        <f t="shared" si="3"/>
        <v>0</v>
      </c>
    </row>
    <row r="61" spans="1:17" x14ac:dyDescent="0.25">
      <c r="A61" s="7">
        <v>46268.458333333336</v>
      </c>
      <c r="B61" s="22">
        <v>1883.6999999999998</v>
      </c>
      <c r="C61" s="22">
        <v>10.319999999999999</v>
      </c>
      <c r="D61" s="18">
        <f t="shared" si="0"/>
        <v>1894.0199999999998</v>
      </c>
      <c r="E61" s="22">
        <v>0</v>
      </c>
      <c r="F61" s="18">
        <f t="shared" si="4"/>
        <v>0</v>
      </c>
      <c r="G61" s="18">
        <f t="shared" si="5"/>
        <v>0</v>
      </c>
      <c r="H61" s="22">
        <v>17.68</v>
      </c>
      <c r="I61" s="18">
        <f t="shared" si="6"/>
        <v>17.68</v>
      </c>
      <c r="J61" s="18">
        <f t="shared" si="7"/>
        <v>0</v>
      </c>
      <c r="K61" s="22">
        <v>40.599999999999994</v>
      </c>
      <c r="L61" s="18">
        <f t="shared" si="8"/>
        <v>40.599999999999994</v>
      </c>
      <c r="M61" s="18">
        <f t="shared" si="9"/>
        <v>0</v>
      </c>
      <c r="N61" s="15">
        <f t="shared" si="10"/>
        <v>58.279999999999994</v>
      </c>
      <c r="O61" s="15">
        <f t="shared" si="1"/>
        <v>58.279999999999994</v>
      </c>
      <c r="P61" s="15">
        <f t="shared" si="2"/>
        <v>0</v>
      </c>
      <c r="Q61" s="5">
        <f t="shared" si="3"/>
        <v>0</v>
      </c>
    </row>
    <row r="62" spans="1:17" x14ac:dyDescent="0.25">
      <c r="A62" s="7">
        <v>46268.5</v>
      </c>
      <c r="B62" s="22">
        <v>2523.1499999999996</v>
      </c>
      <c r="C62" s="22">
        <v>23.88</v>
      </c>
      <c r="D62" s="18">
        <f t="shared" si="0"/>
        <v>2547.0299999999997</v>
      </c>
      <c r="E62" s="22">
        <v>0</v>
      </c>
      <c r="F62" s="18">
        <f t="shared" si="4"/>
        <v>0</v>
      </c>
      <c r="G62" s="18">
        <f t="shared" si="5"/>
        <v>0</v>
      </c>
      <c r="H62" s="22">
        <v>9.879999999999999</v>
      </c>
      <c r="I62" s="18">
        <f t="shared" si="6"/>
        <v>9.879999999999999</v>
      </c>
      <c r="J62" s="18">
        <f t="shared" si="7"/>
        <v>0</v>
      </c>
      <c r="K62" s="22">
        <v>37.36</v>
      </c>
      <c r="L62" s="18">
        <f t="shared" si="8"/>
        <v>37.36</v>
      </c>
      <c r="M62" s="18">
        <f t="shared" si="9"/>
        <v>0</v>
      </c>
      <c r="N62" s="15">
        <f t="shared" si="10"/>
        <v>47.239999999999995</v>
      </c>
      <c r="O62" s="15">
        <f t="shared" si="1"/>
        <v>47.239999999999995</v>
      </c>
      <c r="P62" s="15">
        <f t="shared" si="2"/>
        <v>0</v>
      </c>
      <c r="Q62" s="5">
        <f t="shared" si="3"/>
        <v>0</v>
      </c>
    </row>
    <row r="63" spans="1:17" x14ac:dyDescent="0.25">
      <c r="A63" s="7">
        <v>46268.541666666664</v>
      </c>
      <c r="B63" s="22">
        <v>2450.6999999999998</v>
      </c>
      <c r="C63" s="22">
        <v>26.52</v>
      </c>
      <c r="D63" s="18">
        <f t="shared" si="0"/>
        <v>2477.2199999999998</v>
      </c>
      <c r="E63" s="22">
        <v>0</v>
      </c>
      <c r="F63" s="18">
        <f t="shared" si="4"/>
        <v>0</v>
      </c>
      <c r="G63" s="18">
        <f t="shared" si="5"/>
        <v>0</v>
      </c>
      <c r="H63" s="22">
        <v>10.6</v>
      </c>
      <c r="I63" s="18">
        <f t="shared" si="6"/>
        <v>10.6</v>
      </c>
      <c r="J63" s="18">
        <f t="shared" si="7"/>
        <v>0</v>
      </c>
      <c r="K63" s="22">
        <v>36.04</v>
      </c>
      <c r="L63" s="18">
        <f t="shared" si="8"/>
        <v>36.04</v>
      </c>
      <c r="M63" s="18">
        <f t="shared" si="9"/>
        <v>0</v>
      </c>
      <c r="N63" s="15">
        <f t="shared" si="10"/>
        <v>46.64</v>
      </c>
      <c r="O63" s="15">
        <f t="shared" si="1"/>
        <v>46.64</v>
      </c>
      <c r="P63" s="15">
        <f t="shared" si="2"/>
        <v>0</v>
      </c>
      <c r="Q63" s="5">
        <f t="shared" si="3"/>
        <v>0</v>
      </c>
    </row>
    <row r="64" spans="1:17" x14ac:dyDescent="0.25">
      <c r="A64" s="7">
        <v>46268.583333333336</v>
      </c>
      <c r="B64" s="22">
        <v>1716.75</v>
      </c>
      <c r="C64" s="22">
        <v>6.84</v>
      </c>
      <c r="D64" s="18">
        <f t="shared" si="0"/>
        <v>1723.59</v>
      </c>
      <c r="E64" s="22">
        <v>0</v>
      </c>
      <c r="F64" s="18">
        <f t="shared" si="4"/>
        <v>0</v>
      </c>
      <c r="G64" s="18">
        <f t="shared" si="5"/>
        <v>0</v>
      </c>
      <c r="H64" s="22">
        <v>24.16</v>
      </c>
      <c r="I64" s="18">
        <f t="shared" si="6"/>
        <v>24.16</v>
      </c>
      <c r="J64" s="18">
        <f t="shared" si="7"/>
        <v>0</v>
      </c>
      <c r="K64" s="22">
        <v>36.519999999999996</v>
      </c>
      <c r="L64" s="18">
        <f t="shared" si="8"/>
        <v>36.519999999999996</v>
      </c>
      <c r="M64" s="18">
        <f t="shared" si="9"/>
        <v>0</v>
      </c>
      <c r="N64" s="15">
        <f t="shared" si="10"/>
        <v>60.679999999999993</v>
      </c>
      <c r="O64" s="15">
        <f t="shared" si="1"/>
        <v>60.679999999999993</v>
      </c>
      <c r="P64" s="15">
        <f t="shared" si="2"/>
        <v>0</v>
      </c>
      <c r="Q64" s="5">
        <f t="shared" si="3"/>
        <v>0</v>
      </c>
    </row>
    <row r="65" spans="1:17" x14ac:dyDescent="0.25">
      <c r="A65" s="7">
        <v>46268.625</v>
      </c>
      <c r="B65" s="22">
        <v>1307.25</v>
      </c>
      <c r="C65" s="22">
        <v>0.72000000000000008</v>
      </c>
      <c r="D65" s="18">
        <f t="shared" si="0"/>
        <v>1307.97</v>
      </c>
      <c r="E65" s="22">
        <v>0</v>
      </c>
      <c r="F65" s="18">
        <f t="shared" si="4"/>
        <v>0</v>
      </c>
      <c r="G65" s="18">
        <f t="shared" si="5"/>
        <v>0</v>
      </c>
      <c r="H65" s="22">
        <v>54.519999999999996</v>
      </c>
      <c r="I65" s="18">
        <f t="shared" si="6"/>
        <v>54.519999999999996</v>
      </c>
      <c r="J65" s="18">
        <f t="shared" si="7"/>
        <v>0</v>
      </c>
      <c r="K65" s="22">
        <v>34.36</v>
      </c>
      <c r="L65" s="18">
        <f t="shared" si="8"/>
        <v>34.36</v>
      </c>
      <c r="M65" s="18">
        <f t="shared" si="9"/>
        <v>0</v>
      </c>
      <c r="N65" s="15">
        <f t="shared" si="10"/>
        <v>88.88</v>
      </c>
      <c r="O65" s="15">
        <f t="shared" si="1"/>
        <v>88.88</v>
      </c>
      <c r="P65" s="15">
        <f t="shared" si="2"/>
        <v>0</v>
      </c>
      <c r="Q65" s="5">
        <f t="shared" si="3"/>
        <v>0</v>
      </c>
    </row>
    <row r="66" spans="1:17" x14ac:dyDescent="0.25">
      <c r="A66" s="7">
        <v>46268.666666666664</v>
      </c>
      <c r="B66" s="22">
        <v>762.3</v>
      </c>
      <c r="C66" s="22">
        <v>0</v>
      </c>
      <c r="D66" s="18">
        <f t="shared" ref="D66:D129" si="11">+B66+C66</f>
        <v>762.3</v>
      </c>
      <c r="E66" s="22">
        <v>0</v>
      </c>
      <c r="F66" s="18">
        <f t="shared" si="4"/>
        <v>0</v>
      </c>
      <c r="G66" s="18">
        <f t="shared" si="5"/>
        <v>0</v>
      </c>
      <c r="H66" s="22">
        <v>113.19999999999999</v>
      </c>
      <c r="I66" s="18">
        <f t="shared" si="6"/>
        <v>113.19999999999999</v>
      </c>
      <c r="J66" s="18">
        <f t="shared" si="7"/>
        <v>0</v>
      </c>
      <c r="K66" s="22">
        <v>32.200000000000003</v>
      </c>
      <c r="L66" s="18">
        <f t="shared" si="8"/>
        <v>32.200000000000003</v>
      </c>
      <c r="M66" s="18">
        <f t="shared" si="9"/>
        <v>0</v>
      </c>
      <c r="N66" s="15">
        <f t="shared" si="10"/>
        <v>145.39999999999998</v>
      </c>
      <c r="O66" s="15">
        <f t="shared" ref="O66:O129" si="12">+N66-P66</f>
        <v>145.39999999999998</v>
      </c>
      <c r="P66" s="15">
        <f t="shared" ref="P66:P129" si="13">+IF(N66&gt;D66,N66-D66,0)</f>
        <v>0</v>
      </c>
      <c r="Q66" s="5">
        <f t="shared" ref="Q66:Q129" si="14">+IF(P66=0,P66,P66/N66)</f>
        <v>0</v>
      </c>
    </row>
    <row r="67" spans="1:17" x14ac:dyDescent="0.25">
      <c r="A67" s="7">
        <v>46268.708333333336</v>
      </c>
      <c r="B67" s="22">
        <v>59.85</v>
      </c>
      <c r="C67" s="22">
        <v>0</v>
      </c>
      <c r="D67" s="18">
        <f t="shared" si="11"/>
        <v>59.85</v>
      </c>
      <c r="E67" s="22">
        <v>141.75</v>
      </c>
      <c r="F67" s="18">
        <f t="shared" ref="F67:F130" si="15">+E67-G67</f>
        <v>33.716601290045659</v>
      </c>
      <c r="G67" s="18">
        <f t="shared" ref="G67:G130" si="16">+E67*Q67</f>
        <v>108.03339870995434</v>
      </c>
      <c r="H67" s="22">
        <v>83.56</v>
      </c>
      <c r="I67" s="18">
        <f t="shared" ref="I67:I130" si="17">+H67-J67</f>
        <v>19.875549938597644</v>
      </c>
      <c r="J67" s="18">
        <f t="shared" ref="J67:J130" si="18">+H67*Q67</f>
        <v>63.684450061402359</v>
      </c>
      <c r="K67" s="22">
        <v>26.308999999999997</v>
      </c>
      <c r="L67" s="18">
        <f t="shared" ref="L67:L130" si="19">+K67-M67</f>
        <v>6.2578487713566915</v>
      </c>
      <c r="M67" s="18">
        <f t="shared" ref="M67:M130" si="20">+K67*Q67</f>
        <v>20.051151228643306</v>
      </c>
      <c r="N67" s="15">
        <f t="shared" ref="N67:N130" si="21">+E67+H67+K67</f>
        <v>251.619</v>
      </c>
      <c r="O67" s="15">
        <f t="shared" si="12"/>
        <v>59.849999999999994</v>
      </c>
      <c r="P67" s="15">
        <f t="shared" si="13"/>
        <v>191.76900000000001</v>
      </c>
      <c r="Q67" s="5">
        <f t="shared" si="14"/>
        <v>0.76214037890620345</v>
      </c>
    </row>
    <row r="68" spans="1:17" x14ac:dyDescent="0.25">
      <c r="A68" s="7">
        <v>46268.75</v>
      </c>
      <c r="B68" s="22">
        <v>12.6</v>
      </c>
      <c r="C68" s="22">
        <v>0</v>
      </c>
      <c r="D68" s="18">
        <f t="shared" si="11"/>
        <v>12.6</v>
      </c>
      <c r="E68" s="22">
        <v>179.54999999999998</v>
      </c>
      <c r="F68" s="18">
        <f t="shared" si="15"/>
        <v>7.9359951170230829</v>
      </c>
      <c r="G68" s="18">
        <f t="shared" si="16"/>
        <v>171.6140048829769</v>
      </c>
      <c r="H68" s="22">
        <v>81.16</v>
      </c>
      <c r="I68" s="18">
        <f t="shared" si="17"/>
        <v>3.5872200707189847</v>
      </c>
      <c r="J68" s="18">
        <f t="shared" si="18"/>
        <v>77.572779929281012</v>
      </c>
      <c r="K68" s="22">
        <v>24.362000000000002</v>
      </c>
      <c r="L68" s="18">
        <f t="shared" si="19"/>
        <v>1.0767848122579586</v>
      </c>
      <c r="M68" s="18">
        <f t="shared" si="20"/>
        <v>23.285215187742043</v>
      </c>
      <c r="N68" s="15">
        <f t="shared" si="21"/>
        <v>285.072</v>
      </c>
      <c r="O68" s="15">
        <f t="shared" si="12"/>
        <v>12.600000000000023</v>
      </c>
      <c r="P68" s="15">
        <f t="shared" si="13"/>
        <v>272.47199999999998</v>
      </c>
      <c r="Q68" s="5">
        <f t="shared" si="14"/>
        <v>0.9558006398383565</v>
      </c>
    </row>
    <row r="69" spans="1:17" x14ac:dyDescent="0.25">
      <c r="A69" s="7">
        <v>46268.791666666664</v>
      </c>
      <c r="B69" s="22">
        <v>0</v>
      </c>
      <c r="C69" s="22">
        <v>0</v>
      </c>
      <c r="D69" s="18">
        <f t="shared" si="11"/>
        <v>0</v>
      </c>
      <c r="E69" s="22">
        <v>138.6</v>
      </c>
      <c r="F69" s="18">
        <f t="shared" si="15"/>
        <v>0</v>
      </c>
      <c r="G69" s="18">
        <f t="shared" si="16"/>
        <v>138.6</v>
      </c>
      <c r="H69" s="22">
        <v>81.16</v>
      </c>
      <c r="I69" s="18">
        <f t="shared" si="17"/>
        <v>0</v>
      </c>
      <c r="J69" s="18">
        <f t="shared" si="18"/>
        <v>81.16</v>
      </c>
      <c r="K69" s="22">
        <v>3.6749999999999998</v>
      </c>
      <c r="L69" s="18">
        <f t="shared" si="19"/>
        <v>0</v>
      </c>
      <c r="M69" s="18">
        <f t="shared" si="20"/>
        <v>3.6749999999999998</v>
      </c>
      <c r="N69" s="15">
        <f t="shared" si="21"/>
        <v>223.435</v>
      </c>
      <c r="O69" s="15">
        <f t="shared" si="12"/>
        <v>0</v>
      </c>
      <c r="P69" s="15">
        <f t="shared" si="13"/>
        <v>223.435</v>
      </c>
      <c r="Q69" s="5">
        <f t="shared" si="14"/>
        <v>1</v>
      </c>
    </row>
    <row r="70" spans="1:17" x14ac:dyDescent="0.25">
      <c r="A70" s="7">
        <v>46268.833333333336</v>
      </c>
      <c r="B70" s="22">
        <v>0</v>
      </c>
      <c r="C70" s="22">
        <v>0</v>
      </c>
      <c r="D70" s="18">
        <f t="shared" si="11"/>
        <v>0</v>
      </c>
      <c r="E70" s="22">
        <v>869.4</v>
      </c>
      <c r="F70" s="18">
        <f t="shared" si="15"/>
        <v>0</v>
      </c>
      <c r="G70" s="18">
        <f t="shared" si="16"/>
        <v>869.4</v>
      </c>
      <c r="H70" s="22">
        <v>121.36</v>
      </c>
      <c r="I70" s="18">
        <f t="shared" si="17"/>
        <v>0</v>
      </c>
      <c r="J70" s="18">
        <f t="shared" si="18"/>
        <v>121.36</v>
      </c>
      <c r="K70" s="22">
        <v>4.649</v>
      </c>
      <c r="L70" s="18">
        <f t="shared" si="19"/>
        <v>0</v>
      </c>
      <c r="M70" s="18">
        <f t="shared" si="20"/>
        <v>4.649</v>
      </c>
      <c r="N70" s="15">
        <f t="shared" si="21"/>
        <v>995.40899999999999</v>
      </c>
      <c r="O70" s="15">
        <f t="shared" si="12"/>
        <v>0</v>
      </c>
      <c r="P70" s="15">
        <f t="shared" si="13"/>
        <v>995.40899999999999</v>
      </c>
      <c r="Q70" s="5">
        <f t="shared" si="14"/>
        <v>1</v>
      </c>
    </row>
    <row r="71" spans="1:17" x14ac:dyDescent="0.25">
      <c r="A71" s="7">
        <v>46268.875</v>
      </c>
      <c r="B71" s="22">
        <v>0</v>
      </c>
      <c r="C71" s="22">
        <v>0</v>
      </c>
      <c r="D71" s="18">
        <f t="shared" si="11"/>
        <v>0</v>
      </c>
      <c r="E71" s="22">
        <v>718.19999999999993</v>
      </c>
      <c r="F71" s="18">
        <f t="shared" si="15"/>
        <v>0</v>
      </c>
      <c r="G71" s="18">
        <f t="shared" si="16"/>
        <v>718.19999999999993</v>
      </c>
      <c r="H71" s="22">
        <v>119.8</v>
      </c>
      <c r="I71" s="18">
        <f t="shared" si="17"/>
        <v>0</v>
      </c>
      <c r="J71" s="18">
        <f t="shared" si="18"/>
        <v>119.8</v>
      </c>
      <c r="K71" s="22">
        <v>2.9450000000000003</v>
      </c>
      <c r="L71" s="18">
        <f t="shared" si="19"/>
        <v>0</v>
      </c>
      <c r="M71" s="18">
        <f t="shared" si="20"/>
        <v>2.9450000000000003</v>
      </c>
      <c r="N71" s="15">
        <f t="shared" si="21"/>
        <v>840.94499999999994</v>
      </c>
      <c r="O71" s="15">
        <f t="shared" si="12"/>
        <v>0</v>
      </c>
      <c r="P71" s="15">
        <f t="shared" si="13"/>
        <v>840.94499999999994</v>
      </c>
      <c r="Q71" s="5">
        <f t="shared" si="14"/>
        <v>1</v>
      </c>
    </row>
    <row r="72" spans="1:17" x14ac:dyDescent="0.25">
      <c r="A72" s="7">
        <v>46268.916666666664</v>
      </c>
      <c r="B72" s="22">
        <v>0</v>
      </c>
      <c r="C72" s="22">
        <v>0</v>
      </c>
      <c r="D72" s="18">
        <f t="shared" si="11"/>
        <v>0</v>
      </c>
      <c r="E72" s="22">
        <v>878.85</v>
      </c>
      <c r="F72" s="18">
        <f t="shared" si="15"/>
        <v>0</v>
      </c>
      <c r="G72" s="18">
        <f t="shared" si="16"/>
        <v>878.85</v>
      </c>
      <c r="H72" s="22">
        <v>128.92000000000002</v>
      </c>
      <c r="I72" s="18">
        <f t="shared" si="17"/>
        <v>0</v>
      </c>
      <c r="J72" s="18">
        <f t="shared" si="18"/>
        <v>128.92000000000002</v>
      </c>
      <c r="K72" s="22">
        <v>3.04</v>
      </c>
      <c r="L72" s="18">
        <f t="shared" si="19"/>
        <v>0</v>
      </c>
      <c r="M72" s="18">
        <f t="shared" si="20"/>
        <v>3.04</v>
      </c>
      <c r="N72" s="15">
        <f t="shared" si="21"/>
        <v>1010.81</v>
      </c>
      <c r="O72" s="15">
        <f t="shared" si="12"/>
        <v>0</v>
      </c>
      <c r="P72" s="15">
        <f t="shared" si="13"/>
        <v>1010.81</v>
      </c>
      <c r="Q72" s="5">
        <f t="shared" si="14"/>
        <v>1</v>
      </c>
    </row>
    <row r="73" spans="1:17" x14ac:dyDescent="0.25">
      <c r="A73" s="7">
        <v>46268.958333333336</v>
      </c>
      <c r="B73" s="22">
        <v>0</v>
      </c>
      <c r="C73" s="22">
        <v>0</v>
      </c>
      <c r="D73" s="18">
        <f t="shared" si="11"/>
        <v>0</v>
      </c>
      <c r="E73" s="22">
        <v>922.95</v>
      </c>
      <c r="F73" s="18">
        <f t="shared" si="15"/>
        <v>0</v>
      </c>
      <c r="G73" s="18">
        <f t="shared" si="16"/>
        <v>922.95</v>
      </c>
      <c r="H73" s="22">
        <v>106.6</v>
      </c>
      <c r="I73" s="18">
        <f t="shared" si="17"/>
        <v>0</v>
      </c>
      <c r="J73" s="18">
        <f t="shared" si="18"/>
        <v>106.6</v>
      </c>
      <c r="K73" s="22">
        <v>2.8</v>
      </c>
      <c r="L73" s="18">
        <f t="shared" si="19"/>
        <v>0</v>
      </c>
      <c r="M73" s="18">
        <f t="shared" si="20"/>
        <v>2.8</v>
      </c>
      <c r="N73" s="15">
        <f t="shared" si="21"/>
        <v>1032.3499999999999</v>
      </c>
      <c r="O73" s="15">
        <f t="shared" si="12"/>
        <v>0</v>
      </c>
      <c r="P73" s="15">
        <f t="shared" si="13"/>
        <v>1032.3499999999999</v>
      </c>
      <c r="Q73" s="5">
        <f t="shared" si="14"/>
        <v>1</v>
      </c>
    </row>
    <row r="74" spans="1:17" x14ac:dyDescent="0.25">
      <c r="A74" s="7">
        <v>46269</v>
      </c>
      <c r="B74" s="22">
        <v>0</v>
      </c>
      <c r="C74" s="22">
        <v>0</v>
      </c>
      <c r="D74" s="18">
        <f t="shared" si="11"/>
        <v>0</v>
      </c>
      <c r="E74" s="22">
        <v>784.35</v>
      </c>
      <c r="F74" s="18">
        <f t="shared" si="15"/>
        <v>0</v>
      </c>
      <c r="G74" s="18">
        <f t="shared" si="16"/>
        <v>784.35</v>
      </c>
      <c r="H74" s="22">
        <v>102.16</v>
      </c>
      <c r="I74" s="18">
        <f t="shared" si="17"/>
        <v>0</v>
      </c>
      <c r="J74" s="18">
        <f t="shared" si="18"/>
        <v>102.16</v>
      </c>
      <c r="K74" s="22">
        <v>2.92</v>
      </c>
      <c r="L74" s="18">
        <f t="shared" si="19"/>
        <v>0</v>
      </c>
      <c r="M74" s="18">
        <f t="shared" si="20"/>
        <v>2.92</v>
      </c>
      <c r="N74" s="15">
        <f t="shared" si="21"/>
        <v>889.43</v>
      </c>
      <c r="O74" s="15">
        <f t="shared" si="12"/>
        <v>0</v>
      </c>
      <c r="P74" s="15">
        <f t="shared" si="13"/>
        <v>889.43</v>
      </c>
      <c r="Q74" s="5">
        <f t="shared" si="14"/>
        <v>1</v>
      </c>
    </row>
    <row r="75" spans="1:17" x14ac:dyDescent="0.25">
      <c r="A75" s="7">
        <v>46269.041666666664</v>
      </c>
      <c r="B75" s="22">
        <v>0</v>
      </c>
      <c r="C75" s="22">
        <v>0</v>
      </c>
      <c r="D75" s="18">
        <f t="shared" si="11"/>
        <v>0</v>
      </c>
      <c r="E75" s="22">
        <v>53.55</v>
      </c>
      <c r="F75" s="18">
        <f t="shared" si="15"/>
        <v>0</v>
      </c>
      <c r="G75" s="18">
        <f t="shared" si="16"/>
        <v>53.55</v>
      </c>
      <c r="H75" s="22">
        <v>103.36</v>
      </c>
      <c r="I75" s="18">
        <f t="shared" si="17"/>
        <v>0</v>
      </c>
      <c r="J75" s="18">
        <f t="shared" si="18"/>
        <v>103.36</v>
      </c>
      <c r="K75" s="22">
        <v>2.8</v>
      </c>
      <c r="L75" s="18">
        <f t="shared" si="19"/>
        <v>0</v>
      </c>
      <c r="M75" s="18">
        <f t="shared" si="20"/>
        <v>2.8</v>
      </c>
      <c r="N75" s="15">
        <f t="shared" si="21"/>
        <v>159.71</v>
      </c>
      <c r="O75" s="15">
        <f t="shared" si="12"/>
        <v>0</v>
      </c>
      <c r="P75" s="15">
        <f t="shared" si="13"/>
        <v>159.71</v>
      </c>
      <c r="Q75" s="5">
        <f t="shared" si="14"/>
        <v>1</v>
      </c>
    </row>
    <row r="76" spans="1:17" x14ac:dyDescent="0.25">
      <c r="A76" s="7">
        <v>46269.083333333336</v>
      </c>
      <c r="B76" s="22">
        <v>0</v>
      </c>
      <c r="C76" s="22">
        <v>0</v>
      </c>
      <c r="D76" s="18">
        <f t="shared" si="11"/>
        <v>0</v>
      </c>
      <c r="E76" s="22">
        <v>819</v>
      </c>
      <c r="F76" s="18">
        <f t="shared" si="15"/>
        <v>0</v>
      </c>
      <c r="G76" s="18">
        <f t="shared" si="16"/>
        <v>819</v>
      </c>
      <c r="H76" s="22">
        <v>109.96000000000001</v>
      </c>
      <c r="I76" s="18">
        <f t="shared" si="17"/>
        <v>0</v>
      </c>
      <c r="J76" s="18">
        <f t="shared" si="18"/>
        <v>109.96000000000001</v>
      </c>
      <c r="K76" s="22">
        <v>2.8</v>
      </c>
      <c r="L76" s="18">
        <f t="shared" si="19"/>
        <v>0</v>
      </c>
      <c r="M76" s="18">
        <f t="shared" si="20"/>
        <v>2.8</v>
      </c>
      <c r="N76" s="15">
        <f t="shared" si="21"/>
        <v>931.76</v>
      </c>
      <c r="O76" s="15">
        <f t="shared" si="12"/>
        <v>0</v>
      </c>
      <c r="P76" s="15">
        <f t="shared" si="13"/>
        <v>931.76</v>
      </c>
      <c r="Q76" s="5">
        <f t="shared" si="14"/>
        <v>1</v>
      </c>
    </row>
    <row r="77" spans="1:17" x14ac:dyDescent="0.25">
      <c r="A77" s="7">
        <v>46269.125</v>
      </c>
      <c r="B77" s="22">
        <v>0</v>
      </c>
      <c r="C77" s="22">
        <v>0</v>
      </c>
      <c r="D77" s="18">
        <f t="shared" si="11"/>
        <v>0</v>
      </c>
      <c r="E77" s="22">
        <v>919.8</v>
      </c>
      <c r="F77" s="18">
        <f t="shared" si="15"/>
        <v>0</v>
      </c>
      <c r="G77" s="18">
        <f t="shared" si="16"/>
        <v>919.8</v>
      </c>
      <c r="H77" s="22">
        <v>118.24</v>
      </c>
      <c r="I77" s="18">
        <f t="shared" si="17"/>
        <v>0</v>
      </c>
      <c r="J77" s="18">
        <f t="shared" si="18"/>
        <v>118.24</v>
      </c>
      <c r="K77" s="22">
        <v>2.92</v>
      </c>
      <c r="L77" s="18">
        <f t="shared" si="19"/>
        <v>0</v>
      </c>
      <c r="M77" s="18">
        <f t="shared" si="20"/>
        <v>2.92</v>
      </c>
      <c r="N77" s="15">
        <f t="shared" si="21"/>
        <v>1040.96</v>
      </c>
      <c r="O77" s="15">
        <f t="shared" si="12"/>
        <v>0</v>
      </c>
      <c r="P77" s="15">
        <f t="shared" si="13"/>
        <v>1040.96</v>
      </c>
      <c r="Q77" s="5">
        <f t="shared" si="14"/>
        <v>1</v>
      </c>
    </row>
    <row r="78" spans="1:17" x14ac:dyDescent="0.25">
      <c r="A78" s="7">
        <v>46269.166666666664</v>
      </c>
      <c r="B78" s="22">
        <v>0</v>
      </c>
      <c r="C78" s="22">
        <v>0</v>
      </c>
      <c r="D78" s="18">
        <f t="shared" si="11"/>
        <v>0</v>
      </c>
      <c r="E78" s="22">
        <v>853.65</v>
      </c>
      <c r="F78" s="18">
        <f t="shared" si="15"/>
        <v>0</v>
      </c>
      <c r="G78" s="18">
        <f t="shared" si="16"/>
        <v>853.65</v>
      </c>
      <c r="H78" s="22">
        <v>76.84</v>
      </c>
      <c r="I78" s="18">
        <f t="shared" si="17"/>
        <v>0</v>
      </c>
      <c r="J78" s="18">
        <f t="shared" si="18"/>
        <v>76.84</v>
      </c>
      <c r="K78" s="22">
        <v>2.8</v>
      </c>
      <c r="L78" s="18">
        <f t="shared" si="19"/>
        <v>0</v>
      </c>
      <c r="M78" s="18">
        <f t="shared" si="20"/>
        <v>2.8</v>
      </c>
      <c r="N78" s="15">
        <f t="shared" si="21"/>
        <v>933.29</v>
      </c>
      <c r="O78" s="15">
        <f t="shared" si="12"/>
        <v>0</v>
      </c>
      <c r="P78" s="15">
        <f t="shared" si="13"/>
        <v>933.29</v>
      </c>
      <c r="Q78" s="5">
        <f t="shared" si="14"/>
        <v>1</v>
      </c>
    </row>
    <row r="79" spans="1:17" x14ac:dyDescent="0.25">
      <c r="A79" s="7">
        <v>46269.208333333336</v>
      </c>
      <c r="B79" s="22">
        <v>0</v>
      </c>
      <c r="C79" s="22">
        <v>0</v>
      </c>
      <c r="D79" s="18">
        <f t="shared" si="11"/>
        <v>0</v>
      </c>
      <c r="E79" s="22">
        <v>850.5</v>
      </c>
      <c r="F79" s="18">
        <f t="shared" si="15"/>
        <v>0</v>
      </c>
      <c r="G79" s="18">
        <f t="shared" si="16"/>
        <v>850.5</v>
      </c>
      <c r="H79" s="22">
        <v>56.32</v>
      </c>
      <c r="I79" s="18">
        <f t="shared" si="17"/>
        <v>0</v>
      </c>
      <c r="J79" s="18">
        <f t="shared" si="18"/>
        <v>56.32</v>
      </c>
      <c r="K79" s="22">
        <v>4.12</v>
      </c>
      <c r="L79" s="18">
        <f t="shared" si="19"/>
        <v>0</v>
      </c>
      <c r="M79" s="18">
        <f t="shared" si="20"/>
        <v>4.12</v>
      </c>
      <c r="N79" s="15">
        <f t="shared" si="21"/>
        <v>910.94</v>
      </c>
      <c r="O79" s="15">
        <f t="shared" si="12"/>
        <v>0</v>
      </c>
      <c r="P79" s="15">
        <f t="shared" si="13"/>
        <v>910.94</v>
      </c>
      <c r="Q79" s="5">
        <f t="shared" si="14"/>
        <v>1</v>
      </c>
    </row>
    <row r="80" spans="1:17" x14ac:dyDescent="0.25">
      <c r="A80" s="7">
        <v>46269.25</v>
      </c>
      <c r="B80" s="22">
        <v>22.05</v>
      </c>
      <c r="C80" s="22">
        <v>0</v>
      </c>
      <c r="D80" s="18">
        <f t="shared" si="11"/>
        <v>22.05</v>
      </c>
      <c r="E80" s="22">
        <v>12.6</v>
      </c>
      <c r="F80" s="18">
        <f t="shared" si="15"/>
        <v>4.5516055045871564</v>
      </c>
      <c r="G80" s="18">
        <f t="shared" si="16"/>
        <v>8.0483944954128432</v>
      </c>
      <c r="H80" s="22">
        <v>44.32</v>
      </c>
      <c r="I80" s="18">
        <f t="shared" si="17"/>
        <v>16.010091743119268</v>
      </c>
      <c r="J80" s="18">
        <f t="shared" si="18"/>
        <v>28.309908256880732</v>
      </c>
      <c r="K80" s="22">
        <v>4.12</v>
      </c>
      <c r="L80" s="18">
        <f t="shared" si="19"/>
        <v>1.4883027522935786</v>
      </c>
      <c r="M80" s="18">
        <f t="shared" si="20"/>
        <v>2.6316972477064215</v>
      </c>
      <c r="N80" s="15">
        <f t="shared" si="21"/>
        <v>61.04</v>
      </c>
      <c r="O80" s="15">
        <f t="shared" si="12"/>
        <v>22.050000000000004</v>
      </c>
      <c r="P80" s="15">
        <f t="shared" si="13"/>
        <v>38.989999999999995</v>
      </c>
      <c r="Q80" s="5">
        <f t="shared" si="14"/>
        <v>0.63876146788990817</v>
      </c>
    </row>
    <row r="81" spans="1:17" x14ac:dyDescent="0.25">
      <c r="A81" s="7">
        <v>46269.291666666664</v>
      </c>
      <c r="B81" s="22">
        <v>469.34999999999997</v>
      </c>
      <c r="C81" s="22">
        <v>0.24000000000000002</v>
      </c>
      <c r="D81" s="18">
        <f t="shared" si="11"/>
        <v>469.59</v>
      </c>
      <c r="E81" s="22">
        <v>0</v>
      </c>
      <c r="F81" s="18">
        <f t="shared" si="15"/>
        <v>0</v>
      </c>
      <c r="G81" s="18">
        <f t="shared" si="16"/>
        <v>0</v>
      </c>
      <c r="H81" s="22">
        <v>40.239999999999995</v>
      </c>
      <c r="I81" s="18">
        <f t="shared" si="17"/>
        <v>40.239999999999995</v>
      </c>
      <c r="J81" s="18">
        <f t="shared" si="18"/>
        <v>0</v>
      </c>
      <c r="K81" s="22">
        <v>2.44</v>
      </c>
      <c r="L81" s="18">
        <f t="shared" si="19"/>
        <v>2.44</v>
      </c>
      <c r="M81" s="18">
        <f t="shared" si="20"/>
        <v>0</v>
      </c>
      <c r="N81" s="15">
        <f t="shared" si="21"/>
        <v>42.679999999999993</v>
      </c>
      <c r="O81" s="15">
        <f t="shared" si="12"/>
        <v>42.679999999999993</v>
      </c>
      <c r="P81" s="15">
        <f t="shared" si="13"/>
        <v>0</v>
      </c>
      <c r="Q81" s="5">
        <f t="shared" si="14"/>
        <v>0</v>
      </c>
    </row>
    <row r="82" spans="1:17" x14ac:dyDescent="0.25">
      <c r="A82" s="7">
        <v>46269.333333333336</v>
      </c>
      <c r="B82" s="22">
        <v>582.75</v>
      </c>
      <c r="C82" s="22">
        <v>0</v>
      </c>
      <c r="D82" s="18">
        <f t="shared" si="11"/>
        <v>582.75</v>
      </c>
      <c r="E82" s="22">
        <v>0</v>
      </c>
      <c r="F82" s="18">
        <f t="shared" si="15"/>
        <v>0</v>
      </c>
      <c r="G82" s="18">
        <f t="shared" si="16"/>
        <v>0</v>
      </c>
      <c r="H82" s="22">
        <v>126.4</v>
      </c>
      <c r="I82" s="18">
        <f t="shared" si="17"/>
        <v>126.4</v>
      </c>
      <c r="J82" s="18">
        <f t="shared" si="18"/>
        <v>0</v>
      </c>
      <c r="K82" s="22">
        <v>18.64</v>
      </c>
      <c r="L82" s="18">
        <f t="shared" si="19"/>
        <v>18.64</v>
      </c>
      <c r="M82" s="18">
        <f t="shared" si="20"/>
        <v>0</v>
      </c>
      <c r="N82" s="15">
        <f t="shared" si="21"/>
        <v>145.04000000000002</v>
      </c>
      <c r="O82" s="15">
        <f t="shared" si="12"/>
        <v>145.04000000000002</v>
      </c>
      <c r="P82" s="15">
        <f t="shared" si="13"/>
        <v>0</v>
      </c>
      <c r="Q82" s="5">
        <f t="shared" si="14"/>
        <v>0</v>
      </c>
    </row>
    <row r="83" spans="1:17" x14ac:dyDescent="0.25">
      <c r="A83" s="7">
        <v>46269.375</v>
      </c>
      <c r="B83" s="22">
        <v>979.65</v>
      </c>
      <c r="C83" s="22">
        <v>0.12000000000000001</v>
      </c>
      <c r="D83" s="18">
        <f t="shared" si="11"/>
        <v>979.77</v>
      </c>
      <c r="E83" s="22">
        <v>0</v>
      </c>
      <c r="F83" s="18">
        <f t="shared" si="15"/>
        <v>0</v>
      </c>
      <c r="G83" s="18">
        <f t="shared" si="16"/>
        <v>0</v>
      </c>
      <c r="H83" s="22">
        <v>89.440000000000012</v>
      </c>
      <c r="I83" s="18">
        <f t="shared" si="17"/>
        <v>89.440000000000012</v>
      </c>
      <c r="J83" s="18">
        <f t="shared" si="18"/>
        <v>0</v>
      </c>
      <c r="K83" s="22">
        <v>50.68</v>
      </c>
      <c r="L83" s="18">
        <f t="shared" si="19"/>
        <v>50.68</v>
      </c>
      <c r="M83" s="18">
        <f t="shared" si="20"/>
        <v>0</v>
      </c>
      <c r="N83" s="15">
        <f t="shared" si="21"/>
        <v>140.12</v>
      </c>
      <c r="O83" s="15">
        <f t="shared" si="12"/>
        <v>140.12</v>
      </c>
      <c r="P83" s="15">
        <f t="shared" si="13"/>
        <v>0</v>
      </c>
      <c r="Q83" s="5">
        <f t="shared" si="14"/>
        <v>0</v>
      </c>
    </row>
    <row r="84" spans="1:17" x14ac:dyDescent="0.25">
      <c r="A84" s="7">
        <v>46269.416666666664</v>
      </c>
      <c r="B84" s="22">
        <v>1568.7</v>
      </c>
      <c r="C84" s="22">
        <v>9.7199999999999989</v>
      </c>
      <c r="D84" s="18">
        <f t="shared" si="11"/>
        <v>1578.42</v>
      </c>
      <c r="E84" s="22">
        <v>0</v>
      </c>
      <c r="F84" s="18">
        <f t="shared" si="15"/>
        <v>0</v>
      </c>
      <c r="G84" s="18">
        <f t="shared" si="16"/>
        <v>0</v>
      </c>
      <c r="H84" s="22">
        <v>32.200000000000003</v>
      </c>
      <c r="I84" s="18">
        <f t="shared" si="17"/>
        <v>32.200000000000003</v>
      </c>
      <c r="J84" s="18">
        <f t="shared" si="18"/>
        <v>0</v>
      </c>
      <c r="K84" s="22">
        <v>14.68</v>
      </c>
      <c r="L84" s="18">
        <f t="shared" si="19"/>
        <v>14.68</v>
      </c>
      <c r="M84" s="18">
        <f t="shared" si="20"/>
        <v>0</v>
      </c>
      <c r="N84" s="15">
        <f t="shared" si="21"/>
        <v>46.88</v>
      </c>
      <c r="O84" s="15">
        <f t="shared" si="12"/>
        <v>46.88</v>
      </c>
      <c r="P84" s="15">
        <f t="shared" si="13"/>
        <v>0</v>
      </c>
      <c r="Q84" s="5">
        <f t="shared" si="14"/>
        <v>0</v>
      </c>
    </row>
    <row r="85" spans="1:17" x14ac:dyDescent="0.25">
      <c r="A85" s="7">
        <v>46269.458333333336</v>
      </c>
      <c r="B85" s="22">
        <v>2198.7000000000003</v>
      </c>
      <c r="C85" s="22">
        <v>26.52</v>
      </c>
      <c r="D85" s="18">
        <f t="shared" si="11"/>
        <v>2225.2200000000003</v>
      </c>
      <c r="E85" s="22">
        <v>0</v>
      </c>
      <c r="F85" s="18">
        <f t="shared" si="15"/>
        <v>0</v>
      </c>
      <c r="G85" s="18">
        <f t="shared" si="16"/>
        <v>0</v>
      </c>
      <c r="H85" s="22">
        <v>8.68</v>
      </c>
      <c r="I85" s="18">
        <f t="shared" si="17"/>
        <v>8.68</v>
      </c>
      <c r="J85" s="18">
        <f t="shared" si="18"/>
        <v>0</v>
      </c>
      <c r="K85" s="22">
        <v>30.880000000000003</v>
      </c>
      <c r="L85" s="18">
        <f t="shared" si="19"/>
        <v>30.880000000000003</v>
      </c>
      <c r="M85" s="18">
        <f t="shared" si="20"/>
        <v>0</v>
      </c>
      <c r="N85" s="15">
        <f t="shared" si="21"/>
        <v>39.56</v>
      </c>
      <c r="O85" s="15">
        <f t="shared" si="12"/>
        <v>39.56</v>
      </c>
      <c r="P85" s="15">
        <f t="shared" si="13"/>
        <v>0</v>
      </c>
      <c r="Q85" s="5">
        <f t="shared" si="14"/>
        <v>0</v>
      </c>
    </row>
    <row r="86" spans="1:17" x14ac:dyDescent="0.25">
      <c r="A86" s="7">
        <v>46269.5</v>
      </c>
      <c r="B86" s="22">
        <v>2891.7000000000003</v>
      </c>
      <c r="C86" s="22">
        <v>32.4</v>
      </c>
      <c r="D86" s="18">
        <f t="shared" si="11"/>
        <v>2924.1000000000004</v>
      </c>
      <c r="E86" s="22">
        <v>0</v>
      </c>
      <c r="F86" s="18">
        <f t="shared" si="15"/>
        <v>0</v>
      </c>
      <c r="G86" s="18">
        <f t="shared" si="16"/>
        <v>0</v>
      </c>
      <c r="H86" s="22">
        <v>4.3600000000000003</v>
      </c>
      <c r="I86" s="18">
        <f t="shared" si="17"/>
        <v>4.3600000000000003</v>
      </c>
      <c r="J86" s="18">
        <f t="shared" si="18"/>
        <v>0</v>
      </c>
      <c r="K86" s="22">
        <v>23.439999999999998</v>
      </c>
      <c r="L86" s="18">
        <f t="shared" si="19"/>
        <v>23.439999999999998</v>
      </c>
      <c r="M86" s="18">
        <f t="shared" si="20"/>
        <v>0</v>
      </c>
      <c r="N86" s="15">
        <f t="shared" si="21"/>
        <v>27.799999999999997</v>
      </c>
      <c r="O86" s="15">
        <f t="shared" si="12"/>
        <v>27.799999999999997</v>
      </c>
      <c r="P86" s="15">
        <f t="shared" si="13"/>
        <v>0</v>
      </c>
      <c r="Q86" s="5">
        <f t="shared" si="14"/>
        <v>0</v>
      </c>
    </row>
    <row r="87" spans="1:17" x14ac:dyDescent="0.25">
      <c r="A87" s="7">
        <v>46269.541666666664</v>
      </c>
      <c r="B87" s="22">
        <v>2765.7</v>
      </c>
      <c r="C87" s="22">
        <v>13.92</v>
      </c>
      <c r="D87" s="18">
        <f t="shared" si="11"/>
        <v>2779.62</v>
      </c>
      <c r="E87" s="22">
        <v>0</v>
      </c>
      <c r="F87" s="18">
        <f t="shared" si="15"/>
        <v>0</v>
      </c>
      <c r="G87" s="18">
        <f t="shared" si="16"/>
        <v>0</v>
      </c>
      <c r="H87" s="22">
        <v>20.68</v>
      </c>
      <c r="I87" s="18">
        <f t="shared" si="17"/>
        <v>20.68</v>
      </c>
      <c r="J87" s="18">
        <f t="shared" si="18"/>
        <v>0</v>
      </c>
      <c r="K87" s="22">
        <v>17.2</v>
      </c>
      <c r="L87" s="18">
        <f t="shared" si="19"/>
        <v>17.2</v>
      </c>
      <c r="M87" s="18">
        <f t="shared" si="20"/>
        <v>0</v>
      </c>
      <c r="N87" s="15">
        <f t="shared" si="21"/>
        <v>37.879999999999995</v>
      </c>
      <c r="O87" s="15">
        <f t="shared" si="12"/>
        <v>37.879999999999995</v>
      </c>
      <c r="P87" s="15">
        <f t="shared" si="13"/>
        <v>0</v>
      </c>
      <c r="Q87" s="5">
        <f t="shared" si="14"/>
        <v>0</v>
      </c>
    </row>
    <row r="88" spans="1:17" x14ac:dyDescent="0.25">
      <c r="A88" s="7">
        <v>46269.583333333336</v>
      </c>
      <c r="B88" s="22">
        <v>1634.85</v>
      </c>
      <c r="C88" s="22">
        <v>4.2</v>
      </c>
      <c r="D88" s="18">
        <f t="shared" si="11"/>
        <v>1639.05</v>
      </c>
      <c r="E88" s="22">
        <v>0</v>
      </c>
      <c r="F88" s="18">
        <f t="shared" si="15"/>
        <v>0</v>
      </c>
      <c r="G88" s="18">
        <f t="shared" si="16"/>
        <v>0</v>
      </c>
      <c r="H88" s="22">
        <v>29.56</v>
      </c>
      <c r="I88" s="18">
        <f t="shared" si="17"/>
        <v>29.56</v>
      </c>
      <c r="J88" s="18">
        <f t="shared" si="18"/>
        <v>0</v>
      </c>
      <c r="K88" s="22">
        <v>26.32</v>
      </c>
      <c r="L88" s="18">
        <f t="shared" si="19"/>
        <v>26.32</v>
      </c>
      <c r="M88" s="18">
        <f t="shared" si="20"/>
        <v>0</v>
      </c>
      <c r="N88" s="15">
        <f t="shared" si="21"/>
        <v>55.879999999999995</v>
      </c>
      <c r="O88" s="15">
        <f t="shared" si="12"/>
        <v>55.879999999999995</v>
      </c>
      <c r="P88" s="15">
        <f t="shared" si="13"/>
        <v>0</v>
      </c>
      <c r="Q88" s="5">
        <f t="shared" si="14"/>
        <v>0</v>
      </c>
    </row>
    <row r="89" spans="1:17" x14ac:dyDescent="0.25">
      <c r="A89" s="7">
        <v>46269.625</v>
      </c>
      <c r="B89" s="22">
        <v>1253.7</v>
      </c>
      <c r="C89" s="22">
        <v>0.24000000000000002</v>
      </c>
      <c r="D89" s="18">
        <f t="shared" si="11"/>
        <v>1253.94</v>
      </c>
      <c r="E89" s="22">
        <v>0</v>
      </c>
      <c r="F89" s="18">
        <f t="shared" si="15"/>
        <v>0</v>
      </c>
      <c r="G89" s="18">
        <f t="shared" si="16"/>
        <v>0</v>
      </c>
      <c r="H89" s="22">
        <v>58.24</v>
      </c>
      <c r="I89" s="18">
        <f t="shared" si="17"/>
        <v>58.24</v>
      </c>
      <c r="J89" s="18">
        <f t="shared" si="18"/>
        <v>0</v>
      </c>
      <c r="K89" s="22">
        <v>56.800000000000004</v>
      </c>
      <c r="L89" s="18">
        <f t="shared" si="19"/>
        <v>56.800000000000004</v>
      </c>
      <c r="M89" s="18">
        <f t="shared" si="20"/>
        <v>0</v>
      </c>
      <c r="N89" s="15">
        <f t="shared" si="21"/>
        <v>115.04</v>
      </c>
      <c r="O89" s="15">
        <f t="shared" si="12"/>
        <v>115.04</v>
      </c>
      <c r="P89" s="15">
        <f t="shared" si="13"/>
        <v>0</v>
      </c>
      <c r="Q89" s="5">
        <f t="shared" si="14"/>
        <v>0</v>
      </c>
    </row>
    <row r="90" spans="1:17" x14ac:dyDescent="0.25">
      <c r="A90" s="7">
        <v>46269.666666666664</v>
      </c>
      <c r="B90" s="22">
        <v>551.25</v>
      </c>
      <c r="C90" s="22">
        <v>0</v>
      </c>
      <c r="D90" s="18">
        <f t="shared" si="11"/>
        <v>551.25</v>
      </c>
      <c r="E90" s="22">
        <v>50.4</v>
      </c>
      <c r="F90" s="18">
        <f t="shared" si="15"/>
        <v>50.4</v>
      </c>
      <c r="G90" s="18">
        <f t="shared" si="16"/>
        <v>0</v>
      </c>
      <c r="H90" s="22">
        <v>90.160000000000011</v>
      </c>
      <c r="I90" s="18">
        <f t="shared" si="17"/>
        <v>90.160000000000011</v>
      </c>
      <c r="J90" s="18">
        <f t="shared" si="18"/>
        <v>0</v>
      </c>
      <c r="K90" s="22">
        <v>40.120000000000005</v>
      </c>
      <c r="L90" s="18">
        <f t="shared" si="19"/>
        <v>40.120000000000005</v>
      </c>
      <c r="M90" s="18">
        <f t="shared" si="20"/>
        <v>0</v>
      </c>
      <c r="N90" s="15">
        <f t="shared" si="21"/>
        <v>180.68</v>
      </c>
      <c r="O90" s="15">
        <f t="shared" si="12"/>
        <v>180.68</v>
      </c>
      <c r="P90" s="15">
        <f t="shared" si="13"/>
        <v>0</v>
      </c>
      <c r="Q90" s="5">
        <f t="shared" si="14"/>
        <v>0</v>
      </c>
    </row>
    <row r="91" spans="1:17" x14ac:dyDescent="0.25">
      <c r="A91" s="7">
        <v>46269.708333333336</v>
      </c>
      <c r="B91" s="22">
        <v>12.6</v>
      </c>
      <c r="C91" s="22">
        <v>0</v>
      </c>
      <c r="D91" s="18">
        <f t="shared" si="11"/>
        <v>12.6</v>
      </c>
      <c r="E91" s="22">
        <v>311.85000000000002</v>
      </c>
      <c r="F91" s="18">
        <f t="shared" si="15"/>
        <v>8.8772287338351816</v>
      </c>
      <c r="G91" s="18">
        <f t="shared" si="16"/>
        <v>302.97277126616484</v>
      </c>
      <c r="H91" s="22">
        <v>93.759999999999991</v>
      </c>
      <c r="I91" s="18">
        <f t="shared" si="17"/>
        <v>2.669004220248155</v>
      </c>
      <c r="J91" s="18">
        <f t="shared" si="18"/>
        <v>91.090995779751836</v>
      </c>
      <c r="K91" s="22">
        <v>37.018000000000001</v>
      </c>
      <c r="L91" s="18">
        <f t="shared" si="19"/>
        <v>1.0537670459166648</v>
      </c>
      <c r="M91" s="18">
        <f t="shared" si="20"/>
        <v>35.964232954083336</v>
      </c>
      <c r="N91" s="15">
        <f t="shared" si="21"/>
        <v>442.62800000000004</v>
      </c>
      <c r="O91" s="15">
        <f t="shared" si="12"/>
        <v>12.600000000000023</v>
      </c>
      <c r="P91" s="15">
        <f t="shared" si="13"/>
        <v>430.02800000000002</v>
      </c>
      <c r="Q91" s="5">
        <f t="shared" si="14"/>
        <v>0.97153365806049319</v>
      </c>
    </row>
    <row r="92" spans="1:17" x14ac:dyDescent="0.25">
      <c r="A92" s="7">
        <v>46269.75</v>
      </c>
      <c r="B92" s="22">
        <v>3.15</v>
      </c>
      <c r="C92" s="22">
        <v>0</v>
      </c>
      <c r="D92" s="18">
        <f t="shared" si="11"/>
        <v>3.15</v>
      </c>
      <c r="E92" s="22">
        <v>148.04999999999998</v>
      </c>
      <c r="F92" s="18">
        <f t="shared" si="15"/>
        <v>1.9619418431481392</v>
      </c>
      <c r="G92" s="18">
        <f t="shared" si="16"/>
        <v>146.08805815685184</v>
      </c>
      <c r="H92" s="22">
        <v>67.48</v>
      </c>
      <c r="I92" s="18">
        <f t="shared" si="17"/>
        <v>0.89423732236161868</v>
      </c>
      <c r="J92" s="18">
        <f t="shared" si="18"/>
        <v>66.585762677638385</v>
      </c>
      <c r="K92" s="22">
        <v>22.172000000000001</v>
      </c>
      <c r="L92" s="18">
        <f t="shared" si="19"/>
        <v>0.29382083449024421</v>
      </c>
      <c r="M92" s="18">
        <f t="shared" si="20"/>
        <v>21.878179165509756</v>
      </c>
      <c r="N92" s="15">
        <f t="shared" si="21"/>
        <v>237.70199999999997</v>
      </c>
      <c r="O92" s="15">
        <f t="shared" si="12"/>
        <v>3.1500000000000057</v>
      </c>
      <c r="P92" s="15">
        <f t="shared" si="13"/>
        <v>234.55199999999996</v>
      </c>
      <c r="Q92" s="5">
        <f t="shared" si="14"/>
        <v>0.98674811318373423</v>
      </c>
    </row>
    <row r="93" spans="1:17" x14ac:dyDescent="0.25">
      <c r="A93" s="7">
        <v>46269.791666666664</v>
      </c>
      <c r="B93" s="22">
        <v>0</v>
      </c>
      <c r="C93" s="22">
        <v>0</v>
      </c>
      <c r="D93" s="18">
        <f t="shared" si="11"/>
        <v>0</v>
      </c>
      <c r="E93" s="22">
        <v>110.25</v>
      </c>
      <c r="F93" s="18">
        <f t="shared" si="15"/>
        <v>0</v>
      </c>
      <c r="G93" s="18">
        <f t="shared" si="16"/>
        <v>110.25</v>
      </c>
      <c r="H93" s="22">
        <v>79.960000000000008</v>
      </c>
      <c r="I93" s="18">
        <f t="shared" si="17"/>
        <v>0</v>
      </c>
      <c r="J93" s="18">
        <f t="shared" si="18"/>
        <v>79.960000000000008</v>
      </c>
      <c r="K93" s="22">
        <v>3.31</v>
      </c>
      <c r="L93" s="18">
        <f t="shared" si="19"/>
        <v>0</v>
      </c>
      <c r="M93" s="18">
        <f t="shared" si="20"/>
        <v>3.31</v>
      </c>
      <c r="N93" s="15">
        <f t="shared" si="21"/>
        <v>193.52</v>
      </c>
      <c r="O93" s="15">
        <f t="shared" si="12"/>
        <v>0</v>
      </c>
      <c r="P93" s="15">
        <f t="shared" si="13"/>
        <v>193.52</v>
      </c>
      <c r="Q93" s="5">
        <f t="shared" si="14"/>
        <v>1</v>
      </c>
    </row>
    <row r="94" spans="1:17" x14ac:dyDescent="0.25">
      <c r="A94" s="7">
        <v>46269.833333333336</v>
      </c>
      <c r="B94" s="22">
        <v>0</v>
      </c>
      <c r="C94" s="22">
        <v>0</v>
      </c>
      <c r="D94" s="18">
        <f t="shared" si="11"/>
        <v>0</v>
      </c>
      <c r="E94" s="22">
        <v>1052.1000000000001</v>
      </c>
      <c r="F94" s="18">
        <f t="shared" si="15"/>
        <v>0</v>
      </c>
      <c r="G94" s="18">
        <f t="shared" si="16"/>
        <v>1052.1000000000001</v>
      </c>
      <c r="H94" s="22">
        <v>134.08000000000001</v>
      </c>
      <c r="I94" s="18">
        <f t="shared" si="17"/>
        <v>0</v>
      </c>
      <c r="J94" s="18">
        <f t="shared" si="18"/>
        <v>134.08000000000001</v>
      </c>
      <c r="K94" s="22">
        <v>2.9450000000000003</v>
      </c>
      <c r="L94" s="18">
        <f t="shared" si="19"/>
        <v>0</v>
      </c>
      <c r="M94" s="18">
        <f t="shared" si="20"/>
        <v>2.9450000000000003</v>
      </c>
      <c r="N94" s="15">
        <f t="shared" si="21"/>
        <v>1189.125</v>
      </c>
      <c r="O94" s="15">
        <f t="shared" si="12"/>
        <v>0</v>
      </c>
      <c r="P94" s="15">
        <f t="shared" si="13"/>
        <v>1189.125</v>
      </c>
      <c r="Q94" s="5">
        <f t="shared" si="14"/>
        <v>1</v>
      </c>
    </row>
    <row r="95" spans="1:17" x14ac:dyDescent="0.25">
      <c r="A95" s="7">
        <v>46269.875</v>
      </c>
      <c r="B95" s="22">
        <v>0</v>
      </c>
      <c r="C95" s="22">
        <v>0</v>
      </c>
      <c r="D95" s="18">
        <f t="shared" si="11"/>
        <v>0</v>
      </c>
      <c r="E95" s="22">
        <v>1124.55</v>
      </c>
      <c r="F95" s="18">
        <f t="shared" si="15"/>
        <v>0</v>
      </c>
      <c r="G95" s="18">
        <f t="shared" si="16"/>
        <v>1124.55</v>
      </c>
      <c r="H95" s="22">
        <v>95.2</v>
      </c>
      <c r="I95" s="18">
        <f t="shared" si="17"/>
        <v>0</v>
      </c>
      <c r="J95" s="18">
        <f t="shared" si="18"/>
        <v>95.2</v>
      </c>
      <c r="K95" s="22">
        <v>2.8240000000000003</v>
      </c>
      <c r="L95" s="18">
        <f t="shared" si="19"/>
        <v>0</v>
      </c>
      <c r="M95" s="18">
        <f t="shared" si="20"/>
        <v>2.8240000000000003</v>
      </c>
      <c r="N95" s="15">
        <f t="shared" si="21"/>
        <v>1222.5740000000001</v>
      </c>
      <c r="O95" s="15">
        <f t="shared" si="12"/>
        <v>0</v>
      </c>
      <c r="P95" s="15">
        <f t="shared" si="13"/>
        <v>1222.5740000000001</v>
      </c>
      <c r="Q95" s="5">
        <f t="shared" si="14"/>
        <v>1</v>
      </c>
    </row>
    <row r="96" spans="1:17" x14ac:dyDescent="0.25">
      <c r="A96" s="7">
        <v>46269.916666666664</v>
      </c>
      <c r="B96" s="22">
        <v>0</v>
      </c>
      <c r="C96" s="22">
        <v>0</v>
      </c>
      <c r="D96" s="18">
        <f t="shared" si="11"/>
        <v>0</v>
      </c>
      <c r="E96" s="22">
        <v>633.15</v>
      </c>
      <c r="F96" s="18">
        <f t="shared" si="15"/>
        <v>0</v>
      </c>
      <c r="G96" s="18">
        <f t="shared" si="16"/>
        <v>633.15</v>
      </c>
      <c r="H96" s="22">
        <v>109</v>
      </c>
      <c r="I96" s="18">
        <f t="shared" si="17"/>
        <v>0</v>
      </c>
      <c r="J96" s="18">
        <f t="shared" si="18"/>
        <v>109</v>
      </c>
      <c r="K96" s="22">
        <v>2.8</v>
      </c>
      <c r="L96" s="18">
        <f t="shared" si="19"/>
        <v>0</v>
      </c>
      <c r="M96" s="18">
        <f t="shared" si="20"/>
        <v>2.8</v>
      </c>
      <c r="N96" s="15">
        <f t="shared" si="21"/>
        <v>744.94999999999993</v>
      </c>
      <c r="O96" s="15">
        <f t="shared" si="12"/>
        <v>0</v>
      </c>
      <c r="P96" s="15">
        <f t="shared" si="13"/>
        <v>744.94999999999993</v>
      </c>
      <c r="Q96" s="5">
        <f t="shared" si="14"/>
        <v>1</v>
      </c>
    </row>
    <row r="97" spans="1:17" x14ac:dyDescent="0.25">
      <c r="A97" s="7">
        <v>46269.958333333336</v>
      </c>
      <c r="B97" s="22">
        <v>0</v>
      </c>
      <c r="C97" s="22">
        <v>0</v>
      </c>
      <c r="D97" s="18">
        <f t="shared" si="11"/>
        <v>0</v>
      </c>
      <c r="E97" s="22">
        <v>822.15000000000009</v>
      </c>
      <c r="F97" s="18">
        <f t="shared" si="15"/>
        <v>0</v>
      </c>
      <c r="G97" s="18">
        <f t="shared" si="16"/>
        <v>822.15000000000009</v>
      </c>
      <c r="H97" s="22">
        <v>107.32</v>
      </c>
      <c r="I97" s="18">
        <f t="shared" si="17"/>
        <v>0</v>
      </c>
      <c r="J97" s="18">
        <f t="shared" si="18"/>
        <v>107.32</v>
      </c>
      <c r="K97" s="22">
        <v>3.04</v>
      </c>
      <c r="L97" s="18">
        <f t="shared" si="19"/>
        <v>0</v>
      </c>
      <c r="M97" s="18">
        <f t="shared" si="20"/>
        <v>3.04</v>
      </c>
      <c r="N97" s="15">
        <f t="shared" si="21"/>
        <v>932.51</v>
      </c>
      <c r="O97" s="15">
        <f t="shared" si="12"/>
        <v>0</v>
      </c>
      <c r="P97" s="15">
        <f t="shared" si="13"/>
        <v>932.51</v>
      </c>
      <c r="Q97" s="5">
        <f t="shared" si="14"/>
        <v>1</v>
      </c>
    </row>
    <row r="98" spans="1:17" x14ac:dyDescent="0.25">
      <c r="A98" s="7">
        <v>46270</v>
      </c>
      <c r="B98" s="22">
        <v>0</v>
      </c>
      <c r="C98" s="22">
        <v>0</v>
      </c>
      <c r="D98" s="18">
        <f t="shared" si="11"/>
        <v>0</v>
      </c>
      <c r="E98" s="22">
        <v>1014.3</v>
      </c>
      <c r="F98" s="18">
        <f t="shared" si="15"/>
        <v>0</v>
      </c>
      <c r="G98" s="18">
        <f t="shared" si="16"/>
        <v>1014.3</v>
      </c>
      <c r="H98" s="22">
        <v>100.24</v>
      </c>
      <c r="I98" s="18">
        <f t="shared" si="17"/>
        <v>0</v>
      </c>
      <c r="J98" s="18">
        <f t="shared" si="18"/>
        <v>100.24</v>
      </c>
      <c r="K98" s="22">
        <v>2.92</v>
      </c>
      <c r="L98" s="18">
        <f t="shared" si="19"/>
        <v>0</v>
      </c>
      <c r="M98" s="18">
        <f t="shared" si="20"/>
        <v>2.92</v>
      </c>
      <c r="N98" s="15">
        <f t="shared" si="21"/>
        <v>1117.46</v>
      </c>
      <c r="O98" s="15">
        <f t="shared" si="12"/>
        <v>0</v>
      </c>
      <c r="P98" s="15">
        <f t="shared" si="13"/>
        <v>1117.46</v>
      </c>
      <c r="Q98" s="5">
        <f t="shared" si="14"/>
        <v>1</v>
      </c>
    </row>
    <row r="99" spans="1:17" x14ac:dyDescent="0.25">
      <c r="A99" s="7">
        <v>46270.041666666664</v>
      </c>
      <c r="B99" s="22">
        <v>0</v>
      </c>
      <c r="C99" s="22">
        <v>0</v>
      </c>
      <c r="D99" s="18">
        <f t="shared" si="11"/>
        <v>0</v>
      </c>
      <c r="E99" s="22">
        <v>154.35</v>
      </c>
      <c r="F99" s="18">
        <f t="shared" si="15"/>
        <v>0</v>
      </c>
      <c r="G99" s="18">
        <f t="shared" si="16"/>
        <v>154.35</v>
      </c>
      <c r="H99" s="22">
        <v>88.84</v>
      </c>
      <c r="I99" s="18">
        <f t="shared" si="17"/>
        <v>0</v>
      </c>
      <c r="J99" s="18">
        <f t="shared" si="18"/>
        <v>88.84</v>
      </c>
      <c r="K99" s="22">
        <v>2.8</v>
      </c>
      <c r="L99" s="18">
        <f t="shared" si="19"/>
        <v>0</v>
      </c>
      <c r="M99" s="18">
        <f t="shared" si="20"/>
        <v>2.8</v>
      </c>
      <c r="N99" s="15">
        <f t="shared" si="21"/>
        <v>245.99</v>
      </c>
      <c r="O99" s="15">
        <f t="shared" si="12"/>
        <v>0</v>
      </c>
      <c r="P99" s="15">
        <f t="shared" si="13"/>
        <v>245.99</v>
      </c>
      <c r="Q99" s="5">
        <f t="shared" si="14"/>
        <v>1</v>
      </c>
    </row>
    <row r="100" spans="1:17" x14ac:dyDescent="0.25">
      <c r="A100" s="7">
        <v>46270.083333333336</v>
      </c>
      <c r="B100" s="22">
        <v>0</v>
      </c>
      <c r="C100" s="22">
        <v>0</v>
      </c>
      <c r="D100" s="18">
        <f t="shared" si="11"/>
        <v>0</v>
      </c>
      <c r="E100" s="22">
        <v>891.44999999999993</v>
      </c>
      <c r="F100" s="18">
        <f t="shared" si="15"/>
        <v>0</v>
      </c>
      <c r="G100" s="18">
        <f t="shared" si="16"/>
        <v>891.44999999999993</v>
      </c>
      <c r="H100" s="22">
        <v>65.680000000000007</v>
      </c>
      <c r="I100" s="18">
        <f t="shared" si="17"/>
        <v>0</v>
      </c>
      <c r="J100" s="18">
        <f t="shared" si="18"/>
        <v>65.680000000000007</v>
      </c>
      <c r="K100" s="22">
        <v>2.92</v>
      </c>
      <c r="L100" s="18">
        <f t="shared" si="19"/>
        <v>0</v>
      </c>
      <c r="M100" s="18">
        <f t="shared" si="20"/>
        <v>2.92</v>
      </c>
      <c r="N100" s="15">
        <f t="shared" si="21"/>
        <v>960.04999999999984</v>
      </c>
      <c r="O100" s="15">
        <f t="shared" si="12"/>
        <v>0</v>
      </c>
      <c r="P100" s="15">
        <f t="shared" si="13"/>
        <v>960.04999999999984</v>
      </c>
      <c r="Q100" s="5">
        <f t="shared" si="14"/>
        <v>1</v>
      </c>
    </row>
    <row r="101" spans="1:17" x14ac:dyDescent="0.25">
      <c r="A101" s="7">
        <v>46270.125</v>
      </c>
      <c r="B101" s="22">
        <v>0</v>
      </c>
      <c r="C101" s="22">
        <v>0</v>
      </c>
      <c r="D101" s="18">
        <f t="shared" si="11"/>
        <v>0</v>
      </c>
      <c r="E101" s="22">
        <v>916.65</v>
      </c>
      <c r="F101" s="18">
        <f t="shared" si="15"/>
        <v>0</v>
      </c>
      <c r="G101" s="18">
        <f t="shared" si="16"/>
        <v>916.65</v>
      </c>
      <c r="H101" s="22">
        <v>55.72</v>
      </c>
      <c r="I101" s="18">
        <f t="shared" si="17"/>
        <v>0</v>
      </c>
      <c r="J101" s="18">
        <f t="shared" si="18"/>
        <v>55.72</v>
      </c>
      <c r="K101" s="22">
        <v>2.8</v>
      </c>
      <c r="L101" s="18">
        <f t="shared" si="19"/>
        <v>0</v>
      </c>
      <c r="M101" s="18">
        <f t="shared" si="20"/>
        <v>2.8</v>
      </c>
      <c r="N101" s="15">
        <f t="shared" si="21"/>
        <v>975.17</v>
      </c>
      <c r="O101" s="15">
        <f t="shared" si="12"/>
        <v>0</v>
      </c>
      <c r="P101" s="15">
        <f t="shared" si="13"/>
        <v>975.17</v>
      </c>
      <c r="Q101" s="5">
        <f t="shared" si="14"/>
        <v>1</v>
      </c>
    </row>
    <row r="102" spans="1:17" x14ac:dyDescent="0.25">
      <c r="A102" s="7">
        <v>46270.166666666664</v>
      </c>
      <c r="B102" s="22">
        <v>0</v>
      </c>
      <c r="C102" s="22">
        <v>0</v>
      </c>
      <c r="D102" s="18">
        <f t="shared" si="11"/>
        <v>0</v>
      </c>
      <c r="E102" s="22">
        <v>938.69999999999993</v>
      </c>
      <c r="F102" s="18">
        <f t="shared" si="15"/>
        <v>0</v>
      </c>
      <c r="G102" s="18">
        <f t="shared" si="16"/>
        <v>938.69999999999993</v>
      </c>
      <c r="H102" s="22">
        <v>45.16</v>
      </c>
      <c r="I102" s="18">
        <f t="shared" si="17"/>
        <v>0</v>
      </c>
      <c r="J102" s="18">
        <f t="shared" si="18"/>
        <v>45.16</v>
      </c>
      <c r="K102" s="22">
        <v>2.92</v>
      </c>
      <c r="L102" s="18">
        <f t="shared" si="19"/>
        <v>0</v>
      </c>
      <c r="M102" s="18">
        <f t="shared" si="20"/>
        <v>2.92</v>
      </c>
      <c r="N102" s="15">
        <f t="shared" si="21"/>
        <v>986.77999999999986</v>
      </c>
      <c r="O102" s="15">
        <f t="shared" si="12"/>
        <v>0</v>
      </c>
      <c r="P102" s="15">
        <f t="shared" si="13"/>
        <v>986.77999999999986</v>
      </c>
      <c r="Q102" s="5">
        <f t="shared" si="14"/>
        <v>1</v>
      </c>
    </row>
    <row r="103" spans="1:17" x14ac:dyDescent="0.25">
      <c r="A103" s="7">
        <v>46270.208333333336</v>
      </c>
      <c r="B103" s="22">
        <v>0</v>
      </c>
      <c r="C103" s="22">
        <v>0</v>
      </c>
      <c r="D103" s="18">
        <f t="shared" si="11"/>
        <v>0</v>
      </c>
      <c r="E103" s="22">
        <v>1008</v>
      </c>
      <c r="F103" s="18">
        <f t="shared" si="15"/>
        <v>0</v>
      </c>
      <c r="G103" s="18">
        <f t="shared" si="16"/>
        <v>1008</v>
      </c>
      <c r="H103" s="22">
        <v>48.64</v>
      </c>
      <c r="I103" s="18">
        <f t="shared" si="17"/>
        <v>0</v>
      </c>
      <c r="J103" s="18">
        <f t="shared" si="18"/>
        <v>48.64</v>
      </c>
      <c r="K103" s="22">
        <v>4.12</v>
      </c>
      <c r="L103" s="18">
        <f t="shared" si="19"/>
        <v>0</v>
      </c>
      <c r="M103" s="18">
        <f t="shared" si="20"/>
        <v>4.12</v>
      </c>
      <c r="N103" s="15">
        <f t="shared" si="21"/>
        <v>1060.76</v>
      </c>
      <c r="O103" s="15">
        <f t="shared" si="12"/>
        <v>0</v>
      </c>
      <c r="P103" s="15">
        <f t="shared" si="13"/>
        <v>1060.76</v>
      </c>
      <c r="Q103" s="5">
        <f t="shared" si="14"/>
        <v>1</v>
      </c>
    </row>
    <row r="104" spans="1:17" x14ac:dyDescent="0.25">
      <c r="A104" s="7">
        <v>46270.25</v>
      </c>
      <c r="B104" s="22">
        <v>3.15</v>
      </c>
      <c r="C104" s="22">
        <v>0</v>
      </c>
      <c r="D104" s="18">
        <f t="shared" si="11"/>
        <v>3.15</v>
      </c>
      <c r="E104" s="22">
        <v>97.65</v>
      </c>
      <c r="F104" s="18">
        <f t="shared" si="15"/>
        <v>2.0698304286387241</v>
      </c>
      <c r="G104" s="18">
        <f t="shared" si="16"/>
        <v>95.580169571361282</v>
      </c>
      <c r="H104" s="22">
        <v>46.6</v>
      </c>
      <c r="I104" s="18">
        <f t="shared" si="17"/>
        <v>0.98775317946302721</v>
      </c>
      <c r="J104" s="18">
        <f t="shared" si="18"/>
        <v>45.612246820536974</v>
      </c>
      <c r="K104" s="22">
        <v>4.3600000000000003</v>
      </c>
      <c r="L104" s="18">
        <f t="shared" si="19"/>
        <v>9.2416391898257011E-2</v>
      </c>
      <c r="M104" s="18">
        <f t="shared" si="20"/>
        <v>4.2675836081017433</v>
      </c>
      <c r="N104" s="15">
        <f t="shared" si="21"/>
        <v>148.61000000000001</v>
      </c>
      <c r="O104" s="15">
        <f t="shared" si="12"/>
        <v>3.1500000000000057</v>
      </c>
      <c r="P104" s="15">
        <f t="shared" si="13"/>
        <v>145.46</v>
      </c>
      <c r="Q104" s="5">
        <f t="shared" si="14"/>
        <v>0.97880357983984922</v>
      </c>
    </row>
    <row r="105" spans="1:17" x14ac:dyDescent="0.25">
      <c r="A105" s="7">
        <v>46270.291666666664</v>
      </c>
      <c r="B105" s="22">
        <v>374.85</v>
      </c>
      <c r="C105" s="22">
        <v>1.56</v>
      </c>
      <c r="D105" s="18">
        <f t="shared" si="11"/>
        <v>376.41</v>
      </c>
      <c r="E105" s="22">
        <v>0</v>
      </c>
      <c r="F105" s="18">
        <f t="shared" si="15"/>
        <v>0</v>
      </c>
      <c r="G105" s="18">
        <f t="shared" si="16"/>
        <v>0</v>
      </c>
      <c r="H105" s="22">
        <v>32.44</v>
      </c>
      <c r="I105" s="18">
        <f t="shared" si="17"/>
        <v>32.44</v>
      </c>
      <c r="J105" s="18">
        <f t="shared" si="18"/>
        <v>0</v>
      </c>
      <c r="K105" s="22">
        <v>2.56</v>
      </c>
      <c r="L105" s="18">
        <f t="shared" si="19"/>
        <v>2.56</v>
      </c>
      <c r="M105" s="18">
        <f t="shared" si="20"/>
        <v>0</v>
      </c>
      <c r="N105" s="15">
        <f t="shared" si="21"/>
        <v>35</v>
      </c>
      <c r="O105" s="15">
        <f t="shared" si="12"/>
        <v>35</v>
      </c>
      <c r="P105" s="15">
        <f t="shared" si="13"/>
        <v>0</v>
      </c>
      <c r="Q105" s="5">
        <f t="shared" si="14"/>
        <v>0</v>
      </c>
    </row>
    <row r="106" spans="1:17" x14ac:dyDescent="0.25">
      <c r="A106" s="7">
        <v>46270.333333333336</v>
      </c>
      <c r="B106" s="22">
        <v>781.2</v>
      </c>
      <c r="C106" s="22">
        <v>0</v>
      </c>
      <c r="D106" s="18">
        <f t="shared" si="11"/>
        <v>781.2</v>
      </c>
      <c r="E106" s="22">
        <v>0</v>
      </c>
      <c r="F106" s="18">
        <f t="shared" si="15"/>
        <v>0</v>
      </c>
      <c r="G106" s="18">
        <f t="shared" si="16"/>
        <v>0</v>
      </c>
      <c r="H106" s="22">
        <v>115</v>
      </c>
      <c r="I106" s="18">
        <f t="shared" si="17"/>
        <v>115</v>
      </c>
      <c r="J106" s="18">
        <f t="shared" si="18"/>
        <v>0</v>
      </c>
      <c r="K106" s="22">
        <v>3.52</v>
      </c>
      <c r="L106" s="18">
        <f t="shared" si="19"/>
        <v>3.52</v>
      </c>
      <c r="M106" s="18">
        <f t="shared" si="20"/>
        <v>0</v>
      </c>
      <c r="N106" s="15">
        <f t="shared" si="21"/>
        <v>118.52</v>
      </c>
      <c r="O106" s="15">
        <f t="shared" si="12"/>
        <v>118.52</v>
      </c>
      <c r="P106" s="15">
        <f t="shared" si="13"/>
        <v>0</v>
      </c>
      <c r="Q106" s="5">
        <f t="shared" si="14"/>
        <v>0</v>
      </c>
    </row>
    <row r="107" spans="1:17" x14ac:dyDescent="0.25">
      <c r="A107" s="7">
        <v>46270.375</v>
      </c>
      <c r="B107" s="22">
        <v>1471.05</v>
      </c>
      <c r="C107" s="22">
        <v>0.24000000000000002</v>
      </c>
      <c r="D107" s="18">
        <f t="shared" si="11"/>
        <v>1471.29</v>
      </c>
      <c r="E107" s="22">
        <v>0</v>
      </c>
      <c r="F107" s="18">
        <f t="shared" si="15"/>
        <v>0</v>
      </c>
      <c r="G107" s="18">
        <f t="shared" si="16"/>
        <v>0</v>
      </c>
      <c r="H107" s="22">
        <v>64.47999999999999</v>
      </c>
      <c r="I107" s="18">
        <f t="shared" si="17"/>
        <v>64.47999999999999</v>
      </c>
      <c r="J107" s="18">
        <f t="shared" si="18"/>
        <v>0</v>
      </c>
      <c r="K107" s="22">
        <v>39.04</v>
      </c>
      <c r="L107" s="18">
        <f t="shared" si="19"/>
        <v>39.04</v>
      </c>
      <c r="M107" s="18">
        <f t="shared" si="20"/>
        <v>0</v>
      </c>
      <c r="N107" s="15">
        <f t="shared" si="21"/>
        <v>103.51999999999998</v>
      </c>
      <c r="O107" s="15">
        <f t="shared" si="12"/>
        <v>103.51999999999998</v>
      </c>
      <c r="P107" s="15">
        <f t="shared" si="13"/>
        <v>0</v>
      </c>
      <c r="Q107" s="5">
        <f t="shared" si="14"/>
        <v>0</v>
      </c>
    </row>
    <row r="108" spans="1:17" x14ac:dyDescent="0.25">
      <c r="A108" s="7">
        <v>46270.416666666664</v>
      </c>
      <c r="B108" s="22">
        <v>2009.7</v>
      </c>
      <c r="C108" s="22">
        <v>1.32</v>
      </c>
      <c r="D108" s="18">
        <f t="shared" si="11"/>
        <v>2011.02</v>
      </c>
      <c r="E108" s="22">
        <v>0</v>
      </c>
      <c r="F108" s="18">
        <f t="shared" si="15"/>
        <v>0</v>
      </c>
      <c r="G108" s="18">
        <f t="shared" si="16"/>
        <v>0</v>
      </c>
      <c r="H108" s="22">
        <v>36.880000000000003</v>
      </c>
      <c r="I108" s="18">
        <f t="shared" si="17"/>
        <v>36.880000000000003</v>
      </c>
      <c r="J108" s="18">
        <f t="shared" si="18"/>
        <v>0</v>
      </c>
      <c r="K108" s="22">
        <v>71.8</v>
      </c>
      <c r="L108" s="18">
        <f t="shared" si="19"/>
        <v>71.8</v>
      </c>
      <c r="M108" s="18">
        <f t="shared" si="20"/>
        <v>0</v>
      </c>
      <c r="N108" s="15">
        <f t="shared" si="21"/>
        <v>108.68</v>
      </c>
      <c r="O108" s="15">
        <f t="shared" si="12"/>
        <v>108.68</v>
      </c>
      <c r="P108" s="15">
        <f t="shared" si="13"/>
        <v>0</v>
      </c>
      <c r="Q108" s="5">
        <f t="shared" si="14"/>
        <v>0</v>
      </c>
    </row>
    <row r="109" spans="1:17" x14ac:dyDescent="0.25">
      <c r="A109" s="7">
        <v>46270.458333333336</v>
      </c>
      <c r="B109" s="22">
        <v>2305.8000000000002</v>
      </c>
      <c r="C109" s="22">
        <v>3.8400000000000003</v>
      </c>
      <c r="D109" s="18">
        <f t="shared" si="11"/>
        <v>2309.6400000000003</v>
      </c>
      <c r="E109" s="22">
        <v>0</v>
      </c>
      <c r="F109" s="18">
        <f t="shared" si="15"/>
        <v>0</v>
      </c>
      <c r="G109" s="18">
        <f t="shared" si="16"/>
        <v>0</v>
      </c>
      <c r="H109" s="22">
        <v>23.92</v>
      </c>
      <c r="I109" s="18">
        <f t="shared" si="17"/>
        <v>23.92</v>
      </c>
      <c r="J109" s="18">
        <f t="shared" si="18"/>
        <v>0</v>
      </c>
      <c r="K109" s="22">
        <v>40.36</v>
      </c>
      <c r="L109" s="18">
        <f t="shared" si="19"/>
        <v>40.36</v>
      </c>
      <c r="M109" s="18">
        <f t="shared" si="20"/>
        <v>0</v>
      </c>
      <c r="N109" s="15">
        <f t="shared" si="21"/>
        <v>64.28</v>
      </c>
      <c r="O109" s="15">
        <f t="shared" si="12"/>
        <v>64.28</v>
      </c>
      <c r="P109" s="15">
        <f t="shared" si="13"/>
        <v>0</v>
      </c>
      <c r="Q109" s="5">
        <f t="shared" si="14"/>
        <v>0</v>
      </c>
    </row>
    <row r="110" spans="1:17" x14ac:dyDescent="0.25">
      <c r="A110" s="7">
        <v>46270.5</v>
      </c>
      <c r="B110" s="22">
        <v>2620.8000000000002</v>
      </c>
      <c r="C110" s="22">
        <v>25.2</v>
      </c>
      <c r="D110" s="18">
        <f t="shared" si="11"/>
        <v>2646</v>
      </c>
      <c r="E110" s="22">
        <v>0</v>
      </c>
      <c r="F110" s="18">
        <f t="shared" si="15"/>
        <v>0</v>
      </c>
      <c r="G110" s="18">
        <f t="shared" si="16"/>
        <v>0</v>
      </c>
      <c r="H110" s="22">
        <v>11.92</v>
      </c>
      <c r="I110" s="18">
        <f t="shared" si="17"/>
        <v>11.92</v>
      </c>
      <c r="J110" s="18">
        <f t="shared" si="18"/>
        <v>0</v>
      </c>
      <c r="K110" s="22">
        <v>31.240000000000002</v>
      </c>
      <c r="L110" s="18">
        <f t="shared" si="19"/>
        <v>31.240000000000002</v>
      </c>
      <c r="M110" s="18">
        <f t="shared" si="20"/>
        <v>0</v>
      </c>
      <c r="N110" s="15">
        <f t="shared" si="21"/>
        <v>43.160000000000004</v>
      </c>
      <c r="O110" s="15">
        <f t="shared" si="12"/>
        <v>43.160000000000004</v>
      </c>
      <c r="P110" s="15">
        <f t="shared" si="13"/>
        <v>0</v>
      </c>
      <c r="Q110" s="5">
        <f t="shared" si="14"/>
        <v>0</v>
      </c>
    </row>
    <row r="111" spans="1:17" x14ac:dyDescent="0.25">
      <c r="A111" s="7">
        <v>46270.541666666664</v>
      </c>
      <c r="B111" s="22">
        <v>2564.1</v>
      </c>
      <c r="C111" s="22">
        <v>14.52</v>
      </c>
      <c r="D111" s="18">
        <f t="shared" si="11"/>
        <v>2578.62</v>
      </c>
      <c r="E111" s="22">
        <v>0</v>
      </c>
      <c r="F111" s="18">
        <f t="shared" si="15"/>
        <v>0</v>
      </c>
      <c r="G111" s="18">
        <f t="shared" si="16"/>
        <v>0</v>
      </c>
      <c r="H111" s="22">
        <v>19.36</v>
      </c>
      <c r="I111" s="18">
        <f t="shared" si="17"/>
        <v>19.36</v>
      </c>
      <c r="J111" s="18">
        <f t="shared" si="18"/>
        <v>0</v>
      </c>
      <c r="K111" s="22">
        <v>42.160000000000004</v>
      </c>
      <c r="L111" s="18">
        <f t="shared" si="19"/>
        <v>42.160000000000004</v>
      </c>
      <c r="M111" s="18">
        <f t="shared" si="20"/>
        <v>0</v>
      </c>
      <c r="N111" s="15">
        <f t="shared" si="21"/>
        <v>61.52</v>
      </c>
      <c r="O111" s="15">
        <f t="shared" si="12"/>
        <v>61.52</v>
      </c>
      <c r="P111" s="15">
        <f t="shared" si="13"/>
        <v>0</v>
      </c>
      <c r="Q111" s="5">
        <f t="shared" si="14"/>
        <v>0</v>
      </c>
    </row>
    <row r="112" spans="1:17" x14ac:dyDescent="0.25">
      <c r="A112" s="7">
        <v>46270.583333333336</v>
      </c>
      <c r="B112" s="22">
        <v>2056.9500000000003</v>
      </c>
      <c r="C112" s="22">
        <v>20.400000000000002</v>
      </c>
      <c r="D112" s="18">
        <f t="shared" si="11"/>
        <v>2077.3500000000004</v>
      </c>
      <c r="E112" s="22">
        <v>0</v>
      </c>
      <c r="F112" s="18">
        <f t="shared" si="15"/>
        <v>0</v>
      </c>
      <c r="G112" s="18">
        <f t="shared" si="16"/>
        <v>0</v>
      </c>
      <c r="H112" s="22">
        <v>16.240000000000002</v>
      </c>
      <c r="I112" s="18">
        <f t="shared" si="17"/>
        <v>16.240000000000002</v>
      </c>
      <c r="J112" s="18">
        <f t="shared" si="18"/>
        <v>0</v>
      </c>
      <c r="K112" s="22">
        <v>84.76</v>
      </c>
      <c r="L112" s="18">
        <f t="shared" si="19"/>
        <v>84.76</v>
      </c>
      <c r="M112" s="18">
        <f t="shared" si="20"/>
        <v>0</v>
      </c>
      <c r="N112" s="15">
        <f t="shared" si="21"/>
        <v>101</v>
      </c>
      <c r="O112" s="15">
        <f t="shared" si="12"/>
        <v>101</v>
      </c>
      <c r="P112" s="15">
        <f t="shared" si="13"/>
        <v>0</v>
      </c>
      <c r="Q112" s="5">
        <f t="shared" si="14"/>
        <v>0</v>
      </c>
    </row>
    <row r="113" spans="1:17" x14ac:dyDescent="0.25">
      <c r="A113" s="7">
        <v>46270.625</v>
      </c>
      <c r="B113" s="22">
        <v>1590.75</v>
      </c>
      <c r="C113" s="22">
        <v>25.56</v>
      </c>
      <c r="D113" s="18">
        <f t="shared" si="11"/>
        <v>1616.31</v>
      </c>
      <c r="E113" s="22">
        <v>0</v>
      </c>
      <c r="F113" s="18">
        <f t="shared" si="15"/>
        <v>0</v>
      </c>
      <c r="G113" s="18">
        <f t="shared" si="16"/>
        <v>0</v>
      </c>
      <c r="H113" s="22">
        <v>10.959999999999999</v>
      </c>
      <c r="I113" s="18">
        <f t="shared" si="17"/>
        <v>10.959999999999999</v>
      </c>
      <c r="J113" s="18">
        <f t="shared" si="18"/>
        <v>0</v>
      </c>
      <c r="K113" s="22">
        <v>47.919999999999995</v>
      </c>
      <c r="L113" s="18">
        <f t="shared" si="19"/>
        <v>47.919999999999995</v>
      </c>
      <c r="M113" s="18">
        <f t="shared" si="20"/>
        <v>0</v>
      </c>
      <c r="N113" s="15">
        <f t="shared" si="21"/>
        <v>58.879999999999995</v>
      </c>
      <c r="O113" s="15">
        <f t="shared" si="12"/>
        <v>58.879999999999995</v>
      </c>
      <c r="P113" s="15">
        <f t="shared" si="13"/>
        <v>0</v>
      </c>
      <c r="Q113" s="5">
        <f t="shared" si="14"/>
        <v>0</v>
      </c>
    </row>
    <row r="114" spans="1:17" x14ac:dyDescent="0.25">
      <c r="A114" s="7">
        <v>46270.666666666664</v>
      </c>
      <c r="B114" s="22">
        <v>938.69999999999993</v>
      </c>
      <c r="C114" s="22">
        <v>1.08</v>
      </c>
      <c r="D114" s="18">
        <f t="shared" si="11"/>
        <v>939.78</v>
      </c>
      <c r="E114" s="22">
        <v>0</v>
      </c>
      <c r="F114" s="18">
        <f t="shared" si="15"/>
        <v>0</v>
      </c>
      <c r="G114" s="18">
        <f t="shared" si="16"/>
        <v>0</v>
      </c>
      <c r="H114" s="22">
        <v>35.56</v>
      </c>
      <c r="I114" s="18">
        <f t="shared" si="17"/>
        <v>35.56</v>
      </c>
      <c r="J114" s="18">
        <f t="shared" si="18"/>
        <v>0</v>
      </c>
      <c r="K114" s="22">
        <v>33.880000000000003</v>
      </c>
      <c r="L114" s="18">
        <f t="shared" si="19"/>
        <v>33.880000000000003</v>
      </c>
      <c r="M114" s="18">
        <f t="shared" si="20"/>
        <v>0</v>
      </c>
      <c r="N114" s="15">
        <f t="shared" si="21"/>
        <v>69.44</v>
      </c>
      <c r="O114" s="15">
        <f t="shared" si="12"/>
        <v>69.44</v>
      </c>
      <c r="P114" s="15">
        <f t="shared" si="13"/>
        <v>0</v>
      </c>
      <c r="Q114" s="5">
        <f t="shared" si="14"/>
        <v>0</v>
      </c>
    </row>
    <row r="115" spans="1:17" x14ac:dyDescent="0.25">
      <c r="A115" s="7">
        <v>46270.708333333336</v>
      </c>
      <c r="B115" s="22">
        <v>185.85</v>
      </c>
      <c r="C115" s="22">
        <v>0</v>
      </c>
      <c r="D115" s="18">
        <f t="shared" si="11"/>
        <v>185.85</v>
      </c>
      <c r="E115" s="22">
        <v>69.3</v>
      </c>
      <c r="F115" s="18">
        <f t="shared" si="15"/>
        <v>69.3</v>
      </c>
      <c r="G115" s="18">
        <f t="shared" si="16"/>
        <v>0</v>
      </c>
      <c r="H115" s="22">
        <v>56.08</v>
      </c>
      <c r="I115" s="18">
        <f t="shared" si="17"/>
        <v>56.08</v>
      </c>
      <c r="J115" s="18">
        <f t="shared" si="18"/>
        <v>0</v>
      </c>
      <c r="K115" s="22">
        <v>24.605999999999998</v>
      </c>
      <c r="L115" s="18">
        <f t="shared" si="19"/>
        <v>24.605999999999998</v>
      </c>
      <c r="M115" s="18">
        <f t="shared" si="20"/>
        <v>0</v>
      </c>
      <c r="N115" s="15">
        <f t="shared" si="21"/>
        <v>149.98599999999999</v>
      </c>
      <c r="O115" s="15">
        <f t="shared" si="12"/>
        <v>149.98599999999999</v>
      </c>
      <c r="P115" s="15">
        <f t="shared" si="13"/>
        <v>0</v>
      </c>
      <c r="Q115" s="5">
        <f t="shared" si="14"/>
        <v>0</v>
      </c>
    </row>
    <row r="116" spans="1:17" x14ac:dyDescent="0.25">
      <c r="A116" s="7">
        <v>46270.75</v>
      </c>
      <c r="B116" s="22">
        <v>0</v>
      </c>
      <c r="C116" s="22">
        <v>0</v>
      </c>
      <c r="D116" s="18">
        <f t="shared" si="11"/>
        <v>0</v>
      </c>
      <c r="E116" s="22">
        <v>245.7</v>
      </c>
      <c r="F116" s="18">
        <f t="shared" si="15"/>
        <v>0</v>
      </c>
      <c r="G116" s="18">
        <f t="shared" si="16"/>
        <v>245.7</v>
      </c>
      <c r="H116" s="22">
        <v>70.84</v>
      </c>
      <c r="I116" s="18">
        <f t="shared" si="17"/>
        <v>0</v>
      </c>
      <c r="J116" s="18">
        <f t="shared" si="18"/>
        <v>70.84</v>
      </c>
      <c r="K116" s="22">
        <v>23.388999999999999</v>
      </c>
      <c r="L116" s="18">
        <f t="shared" si="19"/>
        <v>0</v>
      </c>
      <c r="M116" s="18">
        <f t="shared" si="20"/>
        <v>23.388999999999999</v>
      </c>
      <c r="N116" s="15">
        <f t="shared" si="21"/>
        <v>339.92899999999997</v>
      </c>
      <c r="O116" s="15">
        <f t="shared" si="12"/>
        <v>0</v>
      </c>
      <c r="P116" s="15">
        <f t="shared" si="13"/>
        <v>339.92899999999997</v>
      </c>
      <c r="Q116" s="5">
        <f t="shared" si="14"/>
        <v>1</v>
      </c>
    </row>
    <row r="117" spans="1:17" x14ac:dyDescent="0.25">
      <c r="A117" s="7">
        <v>46270.791666666664</v>
      </c>
      <c r="B117" s="22">
        <v>0</v>
      </c>
      <c r="C117" s="22">
        <v>0</v>
      </c>
      <c r="D117" s="18">
        <f t="shared" si="11"/>
        <v>0</v>
      </c>
      <c r="E117" s="22">
        <v>185.85</v>
      </c>
      <c r="F117" s="18">
        <f t="shared" si="15"/>
        <v>0</v>
      </c>
      <c r="G117" s="18">
        <f t="shared" si="16"/>
        <v>185.85</v>
      </c>
      <c r="H117" s="22">
        <v>86.92</v>
      </c>
      <c r="I117" s="18">
        <f t="shared" si="17"/>
        <v>0</v>
      </c>
      <c r="J117" s="18">
        <f t="shared" si="18"/>
        <v>86.92</v>
      </c>
      <c r="K117" s="22">
        <v>4.1619999999999999</v>
      </c>
      <c r="L117" s="18">
        <f t="shared" si="19"/>
        <v>0</v>
      </c>
      <c r="M117" s="18">
        <f t="shared" si="20"/>
        <v>4.1619999999999999</v>
      </c>
      <c r="N117" s="15">
        <f t="shared" si="21"/>
        <v>276.93199999999996</v>
      </c>
      <c r="O117" s="15">
        <f t="shared" si="12"/>
        <v>0</v>
      </c>
      <c r="P117" s="15">
        <f t="shared" si="13"/>
        <v>276.93199999999996</v>
      </c>
      <c r="Q117" s="5">
        <f t="shared" si="14"/>
        <v>1</v>
      </c>
    </row>
    <row r="118" spans="1:17" x14ac:dyDescent="0.25">
      <c r="A118" s="7">
        <v>46270.833333333336</v>
      </c>
      <c r="B118" s="22">
        <v>0</v>
      </c>
      <c r="C118" s="22">
        <v>0</v>
      </c>
      <c r="D118" s="18">
        <f t="shared" si="11"/>
        <v>0</v>
      </c>
      <c r="E118" s="22">
        <v>1036.3500000000001</v>
      </c>
      <c r="F118" s="18">
        <f t="shared" si="15"/>
        <v>0</v>
      </c>
      <c r="G118" s="18">
        <f t="shared" si="16"/>
        <v>1036.3500000000001</v>
      </c>
      <c r="H118" s="22">
        <v>113.44</v>
      </c>
      <c r="I118" s="18">
        <f t="shared" si="17"/>
        <v>0</v>
      </c>
      <c r="J118" s="18">
        <f t="shared" si="18"/>
        <v>113.44</v>
      </c>
      <c r="K118" s="22">
        <v>3.1890000000000001</v>
      </c>
      <c r="L118" s="18">
        <f t="shared" si="19"/>
        <v>0</v>
      </c>
      <c r="M118" s="18">
        <f t="shared" si="20"/>
        <v>3.1890000000000001</v>
      </c>
      <c r="N118" s="15">
        <f t="shared" si="21"/>
        <v>1152.9790000000003</v>
      </c>
      <c r="O118" s="15">
        <f t="shared" si="12"/>
        <v>0</v>
      </c>
      <c r="P118" s="15">
        <f t="shared" si="13"/>
        <v>1152.9790000000003</v>
      </c>
      <c r="Q118" s="5">
        <f t="shared" si="14"/>
        <v>1</v>
      </c>
    </row>
    <row r="119" spans="1:17" x14ac:dyDescent="0.25">
      <c r="A119" s="7">
        <v>46270.875</v>
      </c>
      <c r="B119" s="22">
        <v>0</v>
      </c>
      <c r="C119" s="22">
        <v>0</v>
      </c>
      <c r="D119" s="18">
        <f t="shared" si="11"/>
        <v>0</v>
      </c>
      <c r="E119" s="22">
        <v>1020.5999999999999</v>
      </c>
      <c r="F119" s="18">
        <f t="shared" si="15"/>
        <v>0</v>
      </c>
      <c r="G119" s="18">
        <f t="shared" si="16"/>
        <v>1020.5999999999999</v>
      </c>
      <c r="H119" s="22">
        <v>113.44</v>
      </c>
      <c r="I119" s="18">
        <f t="shared" si="17"/>
        <v>0</v>
      </c>
      <c r="J119" s="18">
        <f t="shared" si="18"/>
        <v>113.44</v>
      </c>
      <c r="K119" s="22">
        <v>3.31</v>
      </c>
      <c r="L119" s="18">
        <f t="shared" si="19"/>
        <v>0</v>
      </c>
      <c r="M119" s="18">
        <f t="shared" si="20"/>
        <v>3.31</v>
      </c>
      <c r="N119" s="15">
        <f t="shared" si="21"/>
        <v>1137.3499999999999</v>
      </c>
      <c r="O119" s="15">
        <f t="shared" si="12"/>
        <v>0</v>
      </c>
      <c r="P119" s="15">
        <f t="shared" si="13"/>
        <v>1137.3499999999999</v>
      </c>
      <c r="Q119" s="5">
        <f t="shared" si="14"/>
        <v>1</v>
      </c>
    </row>
    <row r="120" spans="1:17" x14ac:dyDescent="0.25">
      <c r="A120" s="7">
        <v>46270.916666666664</v>
      </c>
      <c r="B120" s="22">
        <v>0</v>
      </c>
      <c r="C120" s="22">
        <v>0</v>
      </c>
      <c r="D120" s="18">
        <f t="shared" si="11"/>
        <v>0</v>
      </c>
      <c r="E120" s="22">
        <v>1080.4499999999998</v>
      </c>
      <c r="F120" s="18">
        <f t="shared" si="15"/>
        <v>0</v>
      </c>
      <c r="G120" s="18">
        <f t="shared" si="16"/>
        <v>1080.4499999999998</v>
      </c>
      <c r="H120" s="22">
        <v>109.11999999999999</v>
      </c>
      <c r="I120" s="18">
        <f t="shared" si="17"/>
        <v>0</v>
      </c>
      <c r="J120" s="18">
        <f t="shared" si="18"/>
        <v>109.11999999999999</v>
      </c>
      <c r="K120" s="22">
        <v>3.4</v>
      </c>
      <c r="L120" s="18">
        <f t="shared" si="19"/>
        <v>0</v>
      </c>
      <c r="M120" s="18">
        <f t="shared" si="20"/>
        <v>3.4</v>
      </c>
      <c r="N120" s="15">
        <f t="shared" si="21"/>
        <v>1192.9699999999998</v>
      </c>
      <c r="O120" s="15">
        <f t="shared" si="12"/>
        <v>0</v>
      </c>
      <c r="P120" s="15">
        <f t="shared" si="13"/>
        <v>1192.9699999999998</v>
      </c>
      <c r="Q120" s="5">
        <f t="shared" si="14"/>
        <v>1</v>
      </c>
    </row>
    <row r="121" spans="1:17" x14ac:dyDescent="0.25">
      <c r="A121" s="7">
        <v>46270.958333333336</v>
      </c>
      <c r="B121" s="22">
        <v>0</v>
      </c>
      <c r="C121" s="22">
        <v>0</v>
      </c>
      <c r="D121" s="18">
        <f t="shared" si="11"/>
        <v>0</v>
      </c>
      <c r="E121" s="22">
        <v>655.20000000000005</v>
      </c>
      <c r="F121" s="18">
        <f t="shared" si="15"/>
        <v>0</v>
      </c>
      <c r="G121" s="18">
        <f t="shared" si="16"/>
        <v>655.20000000000005</v>
      </c>
      <c r="H121" s="22">
        <v>99.4</v>
      </c>
      <c r="I121" s="18">
        <f t="shared" si="17"/>
        <v>0</v>
      </c>
      <c r="J121" s="18">
        <f t="shared" si="18"/>
        <v>99.4</v>
      </c>
      <c r="K121" s="22">
        <v>3.28</v>
      </c>
      <c r="L121" s="18">
        <f t="shared" si="19"/>
        <v>0</v>
      </c>
      <c r="M121" s="18">
        <f t="shared" si="20"/>
        <v>3.28</v>
      </c>
      <c r="N121" s="15">
        <f t="shared" si="21"/>
        <v>757.88</v>
      </c>
      <c r="O121" s="15">
        <f t="shared" si="12"/>
        <v>0</v>
      </c>
      <c r="P121" s="15">
        <f t="shared" si="13"/>
        <v>757.88</v>
      </c>
      <c r="Q121" s="5">
        <f t="shared" si="14"/>
        <v>1</v>
      </c>
    </row>
    <row r="122" spans="1:17" x14ac:dyDescent="0.25">
      <c r="A122" s="7">
        <v>46271</v>
      </c>
      <c r="B122" s="22">
        <v>0</v>
      </c>
      <c r="C122" s="22">
        <v>0</v>
      </c>
      <c r="D122" s="18">
        <f t="shared" si="11"/>
        <v>0</v>
      </c>
      <c r="E122" s="22">
        <v>1004.85</v>
      </c>
      <c r="F122" s="18">
        <f t="shared" si="15"/>
        <v>0</v>
      </c>
      <c r="G122" s="18">
        <f t="shared" si="16"/>
        <v>1004.85</v>
      </c>
      <c r="H122" s="22">
        <v>104.2</v>
      </c>
      <c r="I122" s="18">
        <f t="shared" si="17"/>
        <v>0</v>
      </c>
      <c r="J122" s="18">
        <f t="shared" si="18"/>
        <v>104.2</v>
      </c>
      <c r="K122" s="22">
        <v>3.16</v>
      </c>
      <c r="L122" s="18">
        <f t="shared" si="19"/>
        <v>0</v>
      </c>
      <c r="M122" s="18">
        <f t="shared" si="20"/>
        <v>3.16</v>
      </c>
      <c r="N122" s="15">
        <f t="shared" si="21"/>
        <v>1112.21</v>
      </c>
      <c r="O122" s="15">
        <f t="shared" si="12"/>
        <v>0</v>
      </c>
      <c r="P122" s="15">
        <f t="shared" si="13"/>
        <v>1112.21</v>
      </c>
      <c r="Q122" s="5">
        <f t="shared" si="14"/>
        <v>1</v>
      </c>
    </row>
    <row r="123" spans="1:17" x14ac:dyDescent="0.25">
      <c r="A123" s="7">
        <v>46271.041666666664</v>
      </c>
      <c r="B123" s="22">
        <v>0</v>
      </c>
      <c r="C123" s="22">
        <v>0</v>
      </c>
      <c r="D123" s="18">
        <f t="shared" si="11"/>
        <v>0</v>
      </c>
      <c r="E123" s="22">
        <v>154.35</v>
      </c>
      <c r="F123" s="18">
        <f t="shared" si="15"/>
        <v>0</v>
      </c>
      <c r="G123" s="18">
        <f t="shared" si="16"/>
        <v>154.35</v>
      </c>
      <c r="H123" s="22">
        <v>99.76</v>
      </c>
      <c r="I123" s="18">
        <f t="shared" si="17"/>
        <v>0</v>
      </c>
      <c r="J123" s="18">
        <f t="shared" si="18"/>
        <v>99.76</v>
      </c>
      <c r="K123" s="22">
        <v>3.28</v>
      </c>
      <c r="L123" s="18">
        <f t="shared" si="19"/>
        <v>0</v>
      </c>
      <c r="M123" s="18">
        <f t="shared" si="20"/>
        <v>3.28</v>
      </c>
      <c r="N123" s="15">
        <f t="shared" si="21"/>
        <v>257.39</v>
      </c>
      <c r="O123" s="15">
        <f t="shared" si="12"/>
        <v>0</v>
      </c>
      <c r="P123" s="15">
        <f t="shared" si="13"/>
        <v>257.39</v>
      </c>
      <c r="Q123" s="5">
        <f t="shared" si="14"/>
        <v>1</v>
      </c>
    </row>
    <row r="124" spans="1:17" x14ac:dyDescent="0.25">
      <c r="A124" s="7">
        <v>46271.083333333336</v>
      </c>
      <c r="B124" s="22">
        <v>0</v>
      </c>
      <c r="C124" s="22">
        <v>0</v>
      </c>
      <c r="D124" s="18">
        <f t="shared" si="11"/>
        <v>0</v>
      </c>
      <c r="E124" s="22">
        <v>680.4</v>
      </c>
      <c r="F124" s="18">
        <f t="shared" si="15"/>
        <v>0</v>
      </c>
      <c r="G124" s="18">
        <f t="shared" si="16"/>
        <v>680.4</v>
      </c>
      <c r="H124" s="22">
        <v>121.48</v>
      </c>
      <c r="I124" s="18">
        <f t="shared" si="17"/>
        <v>0</v>
      </c>
      <c r="J124" s="18">
        <f t="shared" si="18"/>
        <v>121.48</v>
      </c>
      <c r="K124" s="22">
        <v>4.24</v>
      </c>
      <c r="L124" s="18">
        <f t="shared" si="19"/>
        <v>0</v>
      </c>
      <c r="M124" s="18">
        <f t="shared" si="20"/>
        <v>4.24</v>
      </c>
      <c r="N124" s="15">
        <f t="shared" si="21"/>
        <v>806.12</v>
      </c>
      <c r="O124" s="15">
        <f t="shared" si="12"/>
        <v>0</v>
      </c>
      <c r="P124" s="15">
        <f t="shared" si="13"/>
        <v>806.12</v>
      </c>
      <c r="Q124" s="5">
        <f t="shared" si="14"/>
        <v>1</v>
      </c>
    </row>
    <row r="125" spans="1:17" x14ac:dyDescent="0.25">
      <c r="A125" s="7">
        <v>46271.125</v>
      </c>
      <c r="B125" s="22">
        <v>0</v>
      </c>
      <c r="C125" s="22">
        <v>0</v>
      </c>
      <c r="D125" s="18">
        <f t="shared" si="11"/>
        <v>0</v>
      </c>
      <c r="E125" s="22">
        <v>891.44999999999993</v>
      </c>
      <c r="F125" s="18">
        <f t="shared" si="15"/>
        <v>0</v>
      </c>
      <c r="G125" s="18">
        <f t="shared" si="16"/>
        <v>891.44999999999993</v>
      </c>
      <c r="H125" s="22">
        <v>124</v>
      </c>
      <c r="I125" s="18">
        <f t="shared" si="17"/>
        <v>0</v>
      </c>
      <c r="J125" s="18">
        <f t="shared" si="18"/>
        <v>124</v>
      </c>
      <c r="K125" s="22">
        <v>3.16</v>
      </c>
      <c r="L125" s="18">
        <f t="shared" si="19"/>
        <v>0</v>
      </c>
      <c r="M125" s="18">
        <f t="shared" si="20"/>
        <v>3.16</v>
      </c>
      <c r="N125" s="15">
        <f t="shared" si="21"/>
        <v>1018.6099999999999</v>
      </c>
      <c r="O125" s="15">
        <f t="shared" si="12"/>
        <v>0</v>
      </c>
      <c r="P125" s="15">
        <f t="shared" si="13"/>
        <v>1018.6099999999999</v>
      </c>
      <c r="Q125" s="5">
        <f t="shared" si="14"/>
        <v>1</v>
      </c>
    </row>
    <row r="126" spans="1:17" x14ac:dyDescent="0.25">
      <c r="A126" s="7">
        <v>46271.166666666664</v>
      </c>
      <c r="B126" s="22">
        <v>0</v>
      </c>
      <c r="C126" s="22">
        <v>0</v>
      </c>
      <c r="D126" s="18">
        <f t="shared" si="11"/>
        <v>0</v>
      </c>
      <c r="E126" s="22">
        <v>1074.1499999999999</v>
      </c>
      <c r="F126" s="18">
        <f t="shared" si="15"/>
        <v>0</v>
      </c>
      <c r="G126" s="18">
        <f t="shared" si="16"/>
        <v>1074.1499999999999</v>
      </c>
      <c r="H126" s="22">
        <v>105.52</v>
      </c>
      <c r="I126" s="18">
        <f t="shared" si="17"/>
        <v>0</v>
      </c>
      <c r="J126" s="18">
        <f t="shared" si="18"/>
        <v>105.52</v>
      </c>
      <c r="K126" s="22">
        <v>3.28</v>
      </c>
      <c r="L126" s="18">
        <f t="shared" si="19"/>
        <v>0</v>
      </c>
      <c r="M126" s="18">
        <f t="shared" si="20"/>
        <v>3.28</v>
      </c>
      <c r="N126" s="15">
        <f t="shared" si="21"/>
        <v>1182.9499999999998</v>
      </c>
      <c r="O126" s="15">
        <f t="shared" si="12"/>
        <v>0</v>
      </c>
      <c r="P126" s="15">
        <f t="shared" si="13"/>
        <v>1182.9499999999998</v>
      </c>
      <c r="Q126" s="5">
        <f t="shared" si="14"/>
        <v>1</v>
      </c>
    </row>
    <row r="127" spans="1:17" x14ac:dyDescent="0.25">
      <c r="A127" s="7">
        <v>46271.208333333336</v>
      </c>
      <c r="B127" s="22">
        <v>0</v>
      </c>
      <c r="C127" s="22">
        <v>0</v>
      </c>
      <c r="D127" s="18">
        <f t="shared" si="11"/>
        <v>0</v>
      </c>
      <c r="E127" s="22">
        <v>1064.7</v>
      </c>
      <c r="F127" s="18">
        <f t="shared" si="15"/>
        <v>0</v>
      </c>
      <c r="G127" s="18">
        <f t="shared" si="16"/>
        <v>1064.7</v>
      </c>
      <c r="H127" s="22">
        <v>74.800000000000011</v>
      </c>
      <c r="I127" s="18">
        <f t="shared" si="17"/>
        <v>0</v>
      </c>
      <c r="J127" s="18">
        <f t="shared" si="18"/>
        <v>74.800000000000011</v>
      </c>
      <c r="K127" s="22">
        <v>7.4799999999999995</v>
      </c>
      <c r="L127" s="18">
        <f t="shared" si="19"/>
        <v>0</v>
      </c>
      <c r="M127" s="18">
        <f t="shared" si="20"/>
        <v>7.4799999999999995</v>
      </c>
      <c r="N127" s="15">
        <f t="shared" si="21"/>
        <v>1146.98</v>
      </c>
      <c r="O127" s="15">
        <f t="shared" si="12"/>
        <v>0</v>
      </c>
      <c r="P127" s="15">
        <f t="shared" si="13"/>
        <v>1146.98</v>
      </c>
      <c r="Q127" s="5">
        <f t="shared" si="14"/>
        <v>1</v>
      </c>
    </row>
    <row r="128" spans="1:17" x14ac:dyDescent="0.25">
      <c r="A128" s="7">
        <v>46271.25</v>
      </c>
      <c r="B128" s="22">
        <v>0</v>
      </c>
      <c r="C128" s="22">
        <v>0</v>
      </c>
      <c r="D128" s="18">
        <f t="shared" si="11"/>
        <v>0</v>
      </c>
      <c r="E128" s="22">
        <v>141.75</v>
      </c>
      <c r="F128" s="18">
        <f t="shared" si="15"/>
        <v>0</v>
      </c>
      <c r="G128" s="18">
        <f t="shared" si="16"/>
        <v>141.75</v>
      </c>
      <c r="H128" s="22">
        <v>59.92</v>
      </c>
      <c r="I128" s="18">
        <f t="shared" si="17"/>
        <v>0</v>
      </c>
      <c r="J128" s="18">
        <f t="shared" si="18"/>
        <v>59.92</v>
      </c>
      <c r="K128" s="22">
        <v>6.88</v>
      </c>
      <c r="L128" s="18">
        <f t="shared" si="19"/>
        <v>0</v>
      </c>
      <c r="M128" s="18">
        <f t="shared" si="20"/>
        <v>6.88</v>
      </c>
      <c r="N128" s="15">
        <f t="shared" si="21"/>
        <v>208.55</v>
      </c>
      <c r="O128" s="15">
        <f t="shared" si="12"/>
        <v>0</v>
      </c>
      <c r="P128" s="15">
        <f t="shared" si="13"/>
        <v>208.55</v>
      </c>
      <c r="Q128" s="5">
        <f t="shared" si="14"/>
        <v>1</v>
      </c>
    </row>
    <row r="129" spans="1:17" x14ac:dyDescent="0.25">
      <c r="A129" s="7">
        <v>46271.291666666664</v>
      </c>
      <c r="B129" s="22">
        <v>359.09999999999997</v>
      </c>
      <c r="C129" s="22">
        <v>0.24000000000000002</v>
      </c>
      <c r="D129" s="18">
        <f t="shared" si="11"/>
        <v>359.34</v>
      </c>
      <c r="E129" s="22">
        <v>0</v>
      </c>
      <c r="F129" s="18">
        <f t="shared" si="15"/>
        <v>0</v>
      </c>
      <c r="G129" s="18">
        <f t="shared" si="16"/>
        <v>0</v>
      </c>
      <c r="H129" s="22">
        <v>27.88</v>
      </c>
      <c r="I129" s="18">
        <f t="shared" si="17"/>
        <v>27.88</v>
      </c>
      <c r="J129" s="18">
        <f t="shared" si="18"/>
        <v>0</v>
      </c>
      <c r="K129" s="22">
        <v>11.32</v>
      </c>
      <c r="L129" s="18">
        <f t="shared" si="19"/>
        <v>11.32</v>
      </c>
      <c r="M129" s="18">
        <f t="shared" si="20"/>
        <v>0</v>
      </c>
      <c r="N129" s="15">
        <f t="shared" si="21"/>
        <v>39.200000000000003</v>
      </c>
      <c r="O129" s="15">
        <f t="shared" si="12"/>
        <v>39.200000000000003</v>
      </c>
      <c r="P129" s="15">
        <f t="shared" si="13"/>
        <v>0</v>
      </c>
      <c r="Q129" s="5">
        <f t="shared" si="14"/>
        <v>0</v>
      </c>
    </row>
    <row r="130" spans="1:17" x14ac:dyDescent="0.25">
      <c r="A130" s="7">
        <v>46271.333333333336</v>
      </c>
      <c r="B130" s="22">
        <v>1181.25</v>
      </c>
      <c r="C130" s="22">
        <v>10.319999999999999</v>
      </c>
      <c r="D130" s="18">
        <f t="shared" ref="D130:D193" si="22">+B130+C130</f>
        <v>1191.57</v>
      </c>
      <c r="E130" s="22">
        <v>0</v>
      </c>
      <c r="F130" s="18">
        <f t="shared" si="15"/>
        <v>0</v>
      </c>
      <c r="G130" s="18">
        <f t="shared" si="16"/>
        <v>0</v>
      </c>
      <c r="H130" s="22">
        <v>21.76</v>
      </c>
      <c r="I130" s="18">
        <f t="shared" si="17"/>
        <v>21.76</v>
      </c>
      <c r="J130" s="18">
        <f t="shared" si="18"/>
        <v>0</v>
      </c>
      <c r="K130" s="22">
        <v>3.8800000000000003</v>
      </c>
      <c r="L130" s="18">
        <f t="shared" si="19"/>
        <v>3.8800000000000003</v>
      </c>
      <c r="M130" s="18">
        <f t="shared" si="20"/>
        <v>0</v>
      </c>
      <c r="N130" s="15">
        <f t="shared" si="21"/>
        <v>25.64</v>
      </c>
      <c r="O130" s="15">
        <f t="shared" ref="O130:O193" si="23">+N130-P130</f>
        <v>25.64</v>
      </c>
      <c r="P130" s="15">
        <f t="shared" ref="P130:P193" si="24">+IF(N130&gt;D130,N130-D130,0)</f>
        <v>0</v>
      </c>
      <c r="Q130" s="5">
        <f t="shared" ref="Q130:Q193" si="25">+IF(P130=0,P130,P130/N130)</f>
        <v>0</v>
      </c>
    </row>
    <row r="131" spans="1:17" x14ac:dyDescent="0.25">
      <c r="A131" s="7">
        <v>46271.375</v>
      </c>
      <c r="B131" s="22">
        <v>1912.05</v>
      </c>
      <c r="C131" s="22">
        <v>46.68</v>
      </c>
      <c r="D131" s="18">
        <f t="shared" si="22"/>
        <v>1958.73</v>
      </c>
      <c r="E131" s="22">
        <v>0</v>
      </c>
      <c r="F131" s="18">
        <f t="shared" ref="F131:F194" si="26">+E131-G131</f>
        <v>0</v>
      </c>
      <c r="G131" s="18">
        <f t="shared" ref="G131:G194" si="27">+E131*Q131</f>
        <v>0</v>
      </c>
      <c r="H131" s="22">
        <v>2.3199999999999998</v>
      </c>
      <c r="I131" s="18">
        <f t="shared" ref="I131:I194" si="28">+H131-J131</f>
        <v>2.3199999999999998</v>
      </c>
      <c r="J131" s="18">
        <f t="shared" ref="J131:J194" si="29">+H131*Q131</f>
        <v>0</v>
      </c>
      <c r="K131" s="22">
        <v>48.04</v>
      </c>
      <c r="L131" s="18">
        <f t="shared" ref="L131:L194" si="30">+K131-M131</f>
        <v>48.04</v>
      </c>
      <c r="M131" s="18">
        <f t="shared" ref="M131:M194" si="31">+K131*Q131</f>
        <v>0</v>
      </c>
      <c r="N131" s="15">
        <f t="shared" ref="N131:N194" si="32">+E131+H131+K131</f>
        <v>50.36</v>
      </c>
      <c r="O131" s="15">
        <f t="shared" si="23"/>
        <v>50.36</v>
      </c>
      <c r="P131" s="15">
        <f t="shared" si="24"/>
        <v>0</v>
      </c>
      <c r="Q131" s="5">
        <f t="shared" si="25"/>
        <v>0</v>
      </c>
    </row>
    <row r="132" spans="1:17" x14ac:dyDescent="0.25">
      <c r="A132" s="7">
        <v>46271.416666666664</v>
      </c>
      <c r="B132" s="22">
        <v>2438.1</v>
      </c>
      <c r="C132" s="22">
        <v>91.800000000000011</v>
      </c>
      <c r="D132" s="18">
        <f t="shared" si="22"/>
        <v>2529.9</v>
      </c>
      <c r="E132" s="22">
        <v>0</v>
      </c>
      <c r="F132" s="18">
        <f t="shared" si="26"/>
        <v>0</v>
      </c>
      <c r="G132" s="18">
        <f t="shared" si="27"/>
        <v>0</v>
      </c>
      <c r="H132" s="22">
        <v>1.1199999999999999</v>
      </c>
      <c r="I132" s="18">
        <f t="shared" si="28"/>
        <v>1.1199999999999999</v>
      </c>
      <c r="J132" s="18">
        <f t="shared" si="29"/>
        <v>0</v>
      </c>
      <c r="K132" s="22">
        <v>44.92</v>
      </c>
      <c r="L132" s="18">
        <f t="shared" si="30"/>
        <v>44.92</v>
      </c>
      <c r="M132" s="18">
        <f t="shared" si="31"/>
        <v>0</v>
      </c>
      <c r="N132" s="15">
        <f t="shared" si="32"/>
        <v>46.04</v>
      </c>
      <c r="O132" s="15">
        <f t="shared" si="23"/>
        <v>46.04</v>
      </c>
      <c r="P132" s="15">
        <f t="shared" si="24"/>
        <v>0</v>
      </c>
      <c r="Q132" s="5">
        <f t="shared" si="25"/>
        <v>0</v>
      </c>
    </row>
    <row r="133" spans="1:17" x14ac:dyDescent="0.25">
      <c r="A133" s="7">
        <v>46271.458333333336</v>
      </c>
      <c r="B133" s="22">
        <v>2658.6</v>
      </c>
      <c r="C133" s="22">
        <v>107.16000000000001</v>
      </c>
      <c r="D133" s="18">
        <f t="shared" si="22"/>
        <v>2765.7599999999998</v>
      </c>
      <c r="E133" s="22">
        <v>0</v>
      </c>
      <c r="F133" s="18">
        <f t="shared" si="26"/>
        <v>0</v>
      </c>
      <c r="G133" s="18">
        <f t="shared" si="27"/>
        <v>0</v>
      </c>
      <c r="H133" s="22">
        <v>1.1199999999999999</v>
      </c>
      <c r="I133" s="18">
        <f t="shared" si="28"/>
        <v>1.1199999999999999</v>
      </c>
      <c r="J133" s="18">
        <f t="shared" si="29"/>
        <v>0</v>
      </c>
      <c r="K133" s="22">
        <v>13.96</v>
      </c>
      <c r="L133" s="18">
        <f t="shared" si="30"/>
        <v>13.96</v>
      </c>
      <c r="M133" s="18">
        <f t="shared" si="31"/>
        <v>0</v>
      </c>
      <c r="N133" s="15">
        <f t="shared" si="32"/>
        <v>15.08</v>
      </c>
      <c r="O133" s="15">
        <f t="shared" si="23"/>
        <v>15.08</v>
      </c>
      <c r="P133" s="15">
        <f t="shared" si="24"/>
        <v>0</v>
      </c>
      <c r="Q133" s="5">
        <f t="shared" si="25"/>
        <v>0</v>
      </c>
    </row>
    <row r="134" spans="1:17" x14ac:dyDescent="0.25">
      <c r="A134" s="7">
        <v>46271.5</v>
      </c>
      <c r="B134" s="22">
        <v>2790.9</v>
      </c>
      <c r="C134" s="22">
        <v>92.28</v>
      </c>
      <c r="D134" s="18">
        <f t="shared" si="22"/>
        <v>2883.1800000000003</v>
      </c>
      <c r="E134" s="22">
        <v>0</v>
      </c>
      <c r="F134" s="18">
        <f t="shared" si="26"/>
        <v>0</v>
      </c>
      <c r="G134" s="18">
        <f t="shared" si="27"/>
        <v>0</v>
      </c>
      <c r="H134" s="22">
        <v>1.1199999999999999</v>
      </c>
      <c r="I134" s="18">
        <f t="shared" si="28"/>
        <v>1.1199999999999999</v>
      </c>
      <c r="J134" s="18">
        <f t="shared" si="29"/>
        <v>0</v>
      </c>
      <c r="K134" s="22">
        <v>25.84</v>
      </c>
      <c r="L134" s="18">
        <f t="shared" si="30"/>
        <v>25.84</v>
      </c>
      <c r="M134" s="18">
        <f t="shared" si="31"/>
        <v>0</v>
      </c>
      <c r="N134" s="15">
        <f t="shared" si="32"/>
        <v>26.96</v>
      </c>
      <c r="O134" s="15">
        <f t="shared" si="23"/>
        <v>26.96</v>
      </c>
      <c r="P134" s="15">
        <f t="shared" si="24"/>
        <v>0</v>
      </c>
      <c r="Q134" s="5">
        <f t="shared" si="25"/>
        <v>0</v>
      </c>
    </row>
    <row r="135" spans="1:17" x14ac:dyDescent="0.25">
      <c r="A135" s="7">
        <v>46271.541666666664</v>
      </c>
      <c r="B135" s="22">
        <v>2674.35</v>
      </c>
      <c r="C135" s="22">
        <v>99.6</v>
      </c>
      <c r="D135" s="18">
        <f t="shared" si="22"/>
        <v>2773.95</v>
      </c>
      <c r="E135" s="22">
        <v>0</v>
      </c>
      <c r="F135" s="18">
        <f t="shared" si="26"/>
        <v>0</v>
      </c>
      <c r="G135" s="18">
        <f t="shared" si="27"/>
        <v>0</v>
      </c>
      <c r="H135" s="22">
        <v>1.24</v>
      </c>
      <c r="I135" s="18">
        <f t="shared" si="28"/>
        <v>1.24</v>
      </c>
      <c r="J135" s="18">
        <f t="shared" si="29"/>
        <v>0</v>
      </c>
      <c r="K135" s="22">
        <v>18.64</v>
      </c>
      <c r="L135" s="18">
        <f t="shared" si="30"/>
        <v>18.64</v>
      </c>
      <c r="M135" s="18">
        <f t="shared" si="31"/>
        <v>0</v>
      </c>
      <c r="N135" s="15">
        <f t="shared" si="32"/>
        <v>19.88</v>
      </c>
      <c r="O135" s="15">
        <f t="shared" si="23"/>
        <v>19.88</v>
      </c>
      <c r="P135" s="15">
        <f t="shared" si="24"/>
        <v>0</v>
      </c>
      <c r="Q135" s="5">
        <f t="shared" si="25"/>
        <v>0</v>
      </c>
    </row>
    <row r="136" spans="1:17" x14ac:dyDescent="0.25">
      <c r="A136" s="7">
        <v>46271.583333333336</v>
      </c>
      <c r="B136" s="22">
        <v>2441.25</v>
      </c>
      <c r="C136" s="22">
        <v>85.8</v>
      </c>
      <c r="D136" s="18">
        <f t="shared" si="22"/>
        <v>2527.0500000000002</v>
      </c>
      <c r="E136" s="22">
        <v>0</v>
      </c>
      <c r="F136" s="18">
        <f t="shared" si="26"/>
        <v>0</v>
      </c>
      <c r="G136" s="18">
        <f t="shared" si="27"/>
        <v>0</v>
      </c>
      <c r="H136" s="22">
        <v>1.1199999999999999</v>
      </c>
      <c r="I136" s="18">
        <f t="shared" si="28"/>
        <v>1.1199999999999999</v>
      </c>
      <c r="J136" s="18">
        <f t="shared" si="29"/>
        <v>0</v>
      </c>
      <c r="K136" s="22">
        <v>18.399999999999999</v>
      </c>
      <c r="L136" s="18">
        <f t="shared" si="30"/>
        <v>18.399999999999999</v>
      </c>
      <c r="M136" s="18">
        <f t="shared" si="31"/>
        <v>0</v>
      </c>
      <c r="N136" s="15">
        <f t="shared" si="32"/>
        <v>19.52</v>
      </c>
      <c r="O136" s="15">
        <f t="shared" si="23"/>
        <v>19.52</v>
      </c>
      <c r="P136" s="15">
        <f t="shared" si="24"/>
        <v>0</v>
      </c>
      <c r="Q136" s="5">
        <f t="shared" si="25"/>
        <v>0</v>
      </c>
    </row>
    <row r="137" spans="1:17" x14ac:dyDescent="0.25">
      <c r="A137" s="7">
        <v>46271.625</v>
      </c>
      <c r="B137" s="22">
        <v>2022.3</v>
      </c>
      <c r="C137" s="22">
        <v>33.119999999999997</v>
      </c>
      <c r="D137" s="18">
        <f t="shared" si="22"/>
        <v>2055.42</v>
      </c>
      <c r="E137" s="22">
        <v>0</v>
      </c>
      <c r="F137" s="18">
        <f t="shared" si="26"/>
        <v>0</v>
      </c>
      <c r="G137" s="18">
        <f t="shared" si="27"/>
        <v>0</v>
      </c>
      <c r="H137" s="22">
        <v>18.880000000000003</v>
      </c>
      <c r="I137" s="18">
        <f t="shared" si="28"/>
        <v>18.880000000000003</v>
      </c>
      <c r="J137" s="18">
        <f t="shared" si="29"/>
        <v>0</v>
      </c>
      <c r="K137" s="22">
        <v>41.8</v>
      </c>
      <c r="L137" s="18">
        <f t="shared" si="30"/>
        <v>41.8</v>
      </c>
      <c r="M137" s="18">
        <f t="shared" si="31"/>
        <v>0</v>
      </c>
      <c r="N137" s="15">
        <f t="shared" si="32"/>
        <v>60.68</v>
      </c>
      <c r="O137" s="15">
        <f t="shared" si="23"/>
        <v>60.68</v>
      </c>
      <c r="P137" s="15">
        <f t="shared" si="24"/>
        <v>0</v>
      </c>
      <c r="Q137" s="5">
        <f t="shared" si="25"/>
        <v>0</v>
      </c>
    </row>
    <row r="138" spans="1:17" x14ac:dyDescent="0.25">
      <c r="A138" s="7">
        <v>46271.666666666664</v>
      </c>
      <c r="B138" s="22">
        <v>1392.3000000000002</v>
      </c>
      <c r="C138" s="22">
        <v>5.52</v>
      </c>
      <c r="D138" s="18">
        <f t="shared" si="22"/>
        <v>1397.8200000000002</v>
      </c>
      <c r="E138" s="22">
        <v>0</v>
      </c>
      <c r="F138" s="18">
        <f t="shared" si="26"/>
        <v>0</v>
      </c>
      <c r="G138" s="18">
        <f t="shared" si="27"/>
        <v>0</v>
      </c>
      <c r="H138" s="22">
        <v>27.16</v>
      </c>
      <c r="I138" s="18">
        <f t="shared" si="28"/>
        <v>27.16</v>
      </c>
      <c r="J138" s="18">
        <f t="shared" si="29"/>
        <v>0</v>
      </c>
      <c r="K138" s="22">
        <v>20.56</v>
      </c>
      <c r="L138" s="18">
        <f t="shared" si="30"/>
        <v>20.56</v>
      </c>
      <c r="M138" s="18">
        <f t="shared" si="31"/>
        <v>0</v>
      </c>
      <c r="N138" s="15">
        <f t="shared" si="32"/>
        <v>47.72</v>
      </c>
      <c r="O138" s="15">
        <f t="shared" si="23"/>
        <v>47.72</v>
      </c>
      <c r="P138" s="15">
        <f t="shared" si="24"/>
        <v>0</v>
      </c>
      <c r="Q138" s="5">
        <f t="shared" si="25"/>
        <v>0</v>
      </c>
    </row>
    <row r="139" spans="1:17" x14ac:dyDescent="0.25">
      <c r="A139" s="7">
        <v>46271.708333333336</v>
      </c>
      <c r="B139" s="22">
        <v>595.35</v>
      </c>
      <c r="C139" s="22">
        <v>0</v>
      </c>
      <c r="D139" s="18">
        <f t="shared" si="22"/>
        <v>595.35</v>
      </c>
      <c r="E139" s="22">
        <v>0</v>
      </c>
      <c r="F139" s="18">
        <f t="shared" si="26"/>
        <v>0</v>
      </c>
      <c r="G139" s="18">
        <f t="shared" si="27"/>
        <v>0</v>
      </c>
      <c r="H139" s="22">
        <v>35.200000000000003</v>
      </c>
      <c r="I139" s="18">
        <f t="shared" si="28"/>
        <v>35.200000000000003</v>
      </c>
      <c r="J139" s="18">
        <f t="shared" si="29"/>
        <v>0</v>
      </c>
      <c r="K139" s="22">
        <v>29.838000000000001</v>
      </c>
      <c r="L139" s="18">
        <f t="shared" si="30"/>
        <v>29.838000000000001</v>
      </c>
      <c r="M139" s="18">
        <f t="shared" si="31"/>
        <v>0</v>
      </c>
      <c r="N139" s="15">
        <f t="shared" si="32"/>
        <v>65.038000000000011</v>
      </c>
      <c r="O139" s="15">
        <f t="shared" si="23"/>
        <v>65.038000000000011</v>
      </c>
      <c r="P139" s="15">
        <f t="shared" si="24"/>
        <v>0</v>
      </c>
      <c r="Q139" s="5">
        <f t="shared" si="25"/>
        <v>0</v>
      </c>
    </row>
    <row r="140" spans="1:17" x14ac:dyDescent="0.25">
      <c r="A140" s="7">
        <v>46271.75</v>
      </c>
      <c r="B140" s="22">
        <v>40.950000000000003</v>
      </c>
      <c r="C140" s="22">
        <v>0</v>
      </c>
      <c r="D140" s="18">
        <f t="shared" si="22"/>
        <v>40.950000000000003</v>
      </c>
      <c r="E140" s="22">
        <v>59.85</v>
      </c>
      <c r="F140" s="18">
        <f t="shared" si="26"/>
        <v>16.917165951102341</v>
      </c>
      <c r="G140" s="18">
        <f t="shared" si="27"/>
        <v>42.932834048897661</v>
      </c>
      <c r="H140" s="22">
        <v>59.08</v>
      </c>
      <c r="I140" s="18">
        <f t="shared" si="28"/>
        <v>16.699518202023832</v>
      </c>
      <c r="J140" s="18">
        <f t="shared" si="29"/>
        <v>42.380481797976167</v>
      </c>
      <c r="K140" s="22">
        <v>25.943999999999999</v>
      </c>
      <c r="L140" s="18">
        <f t="shared" si="30"/>
        <v>7.333315846873834</v>
      </c>
      <c r="M140" s="18">
        <f t="shared" si="31"/>
        <v>18.610684153126165</v>
      </c>
      <c r="N140" s="15">
        <f t="shared" si="32"/>
        <v>144.874</v>
      </c>
      <c r="O140" s="15">
        <f t="shared" si="23"/>
        <v>40.950000000000003</v>
      </c>
      <c r="P140" s="15">
        <f t="shared" si="24"/>
        <v>103.92399999999999</v>
      </c>
      <c r="Q140" s="5">
        <f t="shared" si="25"/>
        <v>0.71734058561232517</v>
      </c>
    </row>
    <row r="141" spans="1:17" x14ac:dyDescent="0.25">
      <c r="A141" s="7">
        <v>46271.791666666664</v>
      </c>
      <c r="B141" s="22">
        <v>0</v>
      </c>
      <c r="C141" s="22">
        <v>0</v>
      </c>
      <c r="D141" s="18">
        <f t="shared" si="22"/>
        <v>0</v>
      </c>
      <c r="E141" s="22">
        <v>166.95</v>
      </c>
      <c r="F141" s="18">
        <f t="shared" si="26"/>
        <v>0</v>
      </c>
      <c r="G141" s="18">
        <f t="shared" si="27"/>
        <v>166.95</v>
      </c>
      <c r="H141" s="22">
        <v>80.8</v>
      </c>
      <c r="I141" s="18">
        <f t="shared" si="28"/>
        <v>0</v>
      </c>
      <c r="J141" s="18">
        <f t="shared" si="29"/>
        <v>80.8</v>
      </c>
      <c r="K141" s="22">
        <v>14.871</v>
      </c>
      <c r="L141" s="18">
        <f t="shared" si="30"/>
        <v>0</v>
      </c>
      <c r="M141" s="18">
        <f t="shared" si="31"/>
        <v>14.871</v>
      </c>
      <c r="N141" s="15">
        <f t="shared" si="32"/>
        <v>262.62099999999998</v>
      </c>
      <c r="O141" s="15">
        <f t="shared" si="23"/>
        <v>0</v>
      </c>
      <c r="P141" s="15">
        <f t="shared" si="24"/>
        <v>262.62099999999998</v>
      </c>
      <c r="Q141" s="5">
        <f t="shared" si="25"/>
        <v>1</v>
      </c>
    </row>
    <row r="142" spans="1:17" x14ac:dyDescent="0.25">
      <c r="A142" s="7">
        <v>46271.833333333336</v>
      </c>
      <c r="B142" s="22">
        <v>0</v>
      </c>
      <c r="C142" s="22">
        <v>0</v>
      </c>
      <c r="D142" s="18">
        <f t="shared" si="22"/>
        <v>0</v>
      </c>
      <c r="E142" s="22">
        <v>163.80000000000001</v>
      </c>
      <c r="F142" s="18">
        <f t="shared" si="26"/>
        <v>0</v>
      </c>
      <c r="G142" s="18">
        <f t="shared" si="27"/>
        <v>163.80000000000001</v>
      </c>
      <c r="H142" s="22">
        <v>64.839999999999989</v>
      </c>
      <c r="I142" s="18">
        <f t="shared" si="28"/>
        <v>0</v>
      </c>
      <c r="J142" s="18">
        <f t="shared" si="29"/>
        <v>64.839999999999989</v>
      </c>
      <c r="K142" s="22">
        <v>2.5799999999999996</v>
      </c>
      <c r="L142" s="18">
        <f t="shared" si="30"/>
        <v>0</v>
      </c>
      <c r="M142" s="18">
        <f t="shared" si="31"/>
        <v>2.5799999999999996</v>
      </c>
      <c r="N142" s="15">
        <f t="shared" si="32"/>
        <v>231.22</v>
      </c>
      <c r="O142" s="15">
        <f t="shared" si="23"/>
        <v>0</v>
      </c>
      <c r="P142" s="15">
        <f t="shared" si="24"/>
        <v>231.22</v>
      </c>
      <c r="Q142" s="5">
        <f t="shared" si="25"/>
        <v>1</v>
      </c>
    </row>
    <row r="143" spans="1:17" x14ac:dyDescent="0.25">
      <c r="A143" s="7">
        <v>46271.875</v>
      </c>
      <c r="B143" s="22">
        <v>0</v>
      </c>
      <c r="C143" s="22">
        <v>0</v>
      </c>
      <c r="D143" s="18">
        <f t="shared" si="22"/>
        <v>0</v>
      </c>
      <c r="E143" s="22">
        <v>163.80000000000001</v>
      </c>
      <c r="F143" s="18">
        <f t="shared" si="26"/>
        <v>0</v>
      </c>
      <c r="G143" s="18">
        <f t="shared" si="27"/>
        <v>163.80000000000001</v>
      </c>
      <c r="H143" s="22">
        <v>47.08</v>
      </c>
      <c r="I143" s="18">
        <f t="shared" si="28"/>
        <v>0</v>
      </c>
      <c r="J143" s="18">
        <f t="shared" si="29"/>
        <v>47.08</v>
      </c>
      <c r="K143" s="22">
        <v>2.2149999999999999</v>
      </c>
      <c r="L143" s="18">
        <f t="shared" si="30"/>
        <v>0</v>
      </c>
      <c r="M143" s="18">
        <f t="shared" si="31"/>
        <v>2.2149999999999999</v>
      </c>
      <c r="N143" s="15">
        <f t="shared" si="32"/>
        <v>213.095</v>
      </c>
      <c r="O143" s="15">
        <f t="shared" si="23"/>
        <v>0</v>
      </c>
      <c r="P143" s="15">
        <f t="shared" si="24"/>
        <v>213.095</v>
      </c>
      <c r="Q143" s="5">
        <f t="shared" si="25"/>
        <v>1</v>
      </c>
    </row>
    <row r="144" spans="1:17" x14ac:dyDescent="0.25">
      <c r="A144" s="7">
        <v>46271.916666666664</v>
      </c>
      <c r="B144" s="22">
        <v>0</v>
      </c>
      <c r="C144" s="22">
        <v>0</v>
      </c>
      <c r="D144" s="18">
        <f t="shared" si="22"/>
        <v>0</v>
      </c>
      <c r="E144" s="22">
        <v>166.95</v>
      </c>
      <c r="F144" s="18">
        <f t="shared" si="26"/>
        <v>0</v>
      </c>
      <c r="G144" s="18">
        <f t="shared" si="27"/>
        <v>166.95</v>
      </c>
      <c r="H144" s="22">
        <v>52.839999999999996</v>
      </c>
      <c r="I144" s="18">
        <f t="shared" si="28"/>
        <v>0</v>
      </c>
      <c r="J144" s="18">
        <f t="shared" si="29"/>
        <v>52.839999999999996</v>
      </c>
      <c r="K144" s="22">
        <v>2.2000000000000002</v>
      </c>
      <c r="L144" s="18">
        <f t="shared" si="30"/>
        <v>0</v>
      </c>
      <c r="M144" s="18">
        <f t="shared" si="31"/>
        <v>2.2000000000000002</v>
      </c>
      <c r="N144" s="15">
        <f t="shared" si="32"/>
        <v>221.98999999999998</v>
      </c>
      <c r="O144" s="15">
        <f t="shared" si="23"/>
        <v>0</v>
      </c>
      <c r="P144" s="15">
        <f t="shared" si="24"/>
        <v>221.98999999999998</v>
      </c>
      <c r="Q144" s="5">
        <f t="shared" si="25"/>
        <v>1</v>
      </c>
    </row>
    <row r="145" spans="1:17" x14ac:dyDescent="0.25">
      <c r="A145" s="7">
        <v>46271.958333333336</v>
      </c>
      <c r="B145" s="22">
        <v>0</v>
      </c>
      <c r="C145" s="22">
        <v>0</v>
      </c>
      <c r="D145" s="18">
        <f t="shared" si="22"/>
        <v>0</v>
      </c>
      <c r="E145" s="22">
        <v>163.80000000000001</v>
      </c>
      <c r="F145" s="18">
        <f t="shared" si="26"/>
        <v>0</v>
      </c>
      <c r="G145" s="18">
        <f t="shared" si="27"/>
        <v>163.80000000000001</v>
      </c>
      <c r="H145" s="22">
        <v>40.480000000000004</v>
      </c>
      <c r="I145" s="18">
        <f t="shared" si="28"/>
        <v>0</v>
      </c>
      <c r="J145" s="18">
        <f t="shared" si="29"/>
        <v>40.480000000000004</v>
      </c>
      <c r="K145" s="22">
        <v>2.3199999999999998</v>
      </c>
      <c r="L145" s="18">
        <f t="shared" si="30"/>
        <v>0</v>
      </c>
      <c r="M145" s="18">
        <f t="shared" si="31"/>
        <v>2.3199999999999998</v>
      </c>
      <c r="N145" s="15">
        <f t="shared" si="32"/>
        <v>206.60000000000002</v>
      </c>
      <c r="O145" s="15">
        <f t="shared" si="23"/>
        <v>0</v>
      </c>
      <c r="P145" s="15">
        <f t="shared" si="24"/>
        <v>206.60000000000002</v>
      </c>
      <c r="Q145" s="5">
        <f t="shared" si="25"/>
        <v>1</v>
      </c>
    </row>
    <row r="146" spans="1:17" x14ac:dyDescent="0.25">
      <c r="A146" s="7">
        <v>46272</v>
      </c>
      <c r="B146" s="22">
        <v>0</v>
      </c>
      <c r="C146" s="22">
        <v>0</v>
      </c>
      <c r="D146" s="18">
        <f t="shared" si="22"/>
        <v>0</v>
      </c>
      <c r="E146" s="22">
        <v>163.80000000000001</v>
      </c>
      <c r="F146" s="18">
        <f t="shared" si="26"/>
        <v>0</v>
      </c>
      <c r="G146" s="18">
        <f t="shared" si="27"/>
        <v>163.80000000000001</v>
      </c>
      <c r="H146" s="22">
        <v>50.2</v>
      </c>
      <c r="I146" s="18">
        <f t="shared" si="28"/>
        <v>0</v>
      </c>
      <c r="J146" s="18">
        <f t="shared" si="29"/>
        <v>50.2</v>
      </c>
      <c r="K146" s="22">
        <v>2.3199999999999998</v>
      </c>
      <c r="L146" s="18">
        <f t="shared" si="30"/>
        <v>0</v>
      </c>
      <c r="M146" s="18">
        <f t="shared" si="31"/>
        <v>2.3199999999999998</v>
      </c>
      <c r="N146" s="15">
        <f t="shared" si="32"/>
        <v>216.32</v>
      </c>
      <c r="O146" s="15">
        <f t="shared" si="23"/>
        <v>0</v>
      </c>
      <c r="P146" s="15">
        <f t="shared" si="24"/>
        <v>216.32</v>
      </c>
      <c r="Q146" s="5">
        <f t="shared" si="25"/>
        <v>1</v>
      </c>
    </row>
    <row r="147" spans="1:17" x14ac:dyDescent="0.25">
      <c r="A147" s="7">
        <v>46272.041666666664</v>
      </c>
      <c r="B147" s="22">
        <v>0</v>
      </c>
      <c r="C147" s="22">
        <v>0</v>
      </c>
      <c r="D147" s="18">
        <f t="shared" si="22"/>
        <v>0</v>
      </c>
      <c r="E147" s="22">
        <v>163.80000000000001</v>
      </c>
      <c r="F147" s="18">
        <f t="shared" si="26"/>
        <v>0</v>
      </c>
      <c r="G147" s="18">
        <f t="shared" si="27"/>
        <v>163.80000000000001</v>
      </c>
      <c r="H147" s="22">
        <v>50.44</v>
      </c>
      <c r="I147" s="18">
        <f t="shared" si="28"/>
        <v>0</v>
      </c>
      <c r="J147" s="18">
        <f t="shared" si="29"/>
        <v>50.44</v>
      </c>
      <c r="K147" s="22">
        <v>2.2000000000000002</v>
      </c>
      <c r="L147" s="18">
        <f t="shared" si="30"/>
        <v>0</v>
      </c>
      <c r="M147" s="18">
        <f t="shared" si="31"/>
        <v>2.2000000000000002</v>
      </c>
      <c r="N147" s="15">
        <f t="shared" si="32"/>
        <v>216.44</v>
      </c>
      <c r="O147" s="15">
        <f t="shared" si="23"/>
        <v>0</v>
      </c>
      <c r="P147" s="15">
        <f t="shared" si="24"/>
        <v>216.44</v>
      </c>
      <c r="Q147" s="5">
        <f t="shared" si="25"/>
        <v>1</v>
      </c>
    </row>
    <row r="148" spans="1:17" x14ac:dyDescent="0.25">
      <c r="A148" s="7">
        <v>46272.083333333336</v>
      </c>
      <c r="B148" s="22">
        <v>0</v>
      </c>
      <c r="C148" s="22">
        <v>0</v>
      </c>
      <c r="D148" s="18">
        <f t="shared" si="22"/>
        <v>0</v>
      </c>
      <c r="E148" s="22">
        <v>163.80000000000001</v>
      </c>
      <c r="F148" s="18">
        <f t="shared" si="26"/>
        <v>0</v>
      </c>
      <c r="G148" s="18">
        <f t="shared" si="27"/>
        <v>163.80000000000001</v>
      </c>
      <c r="H148" s="22">
        <v>42.88</v>
      </c>
      <c r="I148" s="18">
        <f t="shared" si="28"/>
        <v>0</v>
      </c>
      <c r="J148" s="18">
        <f t="shared" si="29"/>
        <v>42.88</v>
      </c>
      <c r="K148" s="22">
        <v>2.2000000000000002</v>
      </c>
      <c r="L148" s="18">
        <f t="shared" si="30"/>
        <v>0</v>
      </c>
      <c r="M148" s="18">
        <f t="shared" si="31"/>
        <v>2.2000000000000002</v>
      </c>
      <c r="N148" s="15">
        <f t="shared" si="32"/>
        <v>208.88</v>
      </c>
      <c r="O148" s="15">
        <f t="shared" si="23"/>
        <v>0</v>
      </c>
      <c r="P148" s="15">
        <f t="shared" si="24"/>
        <v>208.88</v>
      </c>
      <c r="Q148" s="5">
        <f t="shared" si="25"/>
        <v>1</v>
      </c>
    </row>
    <row r="149" spans="1:17" x14ac:dyDescent="0.25">
      <c r="A149" s="7">
        <v>46272.125</v>
      </c>
      <c r="B149" s="22">
        <v>0</v>
      </c>
      <c r="C149" s="22">
        <v>0</v>
      </c>
      <c r="D149" s="18">
        <f t="shared" si="22"/>
        <v>0</v>
      </c>
      <c r="E149" s="22">
        <v>163.80000000000001</v>
      </c>
      <c r="F149" s="18">
        <f t="shared" si="26"/>
        <v>0</v>
      </c>
      <c r="G149" s="18">
        <f t="shared" si="27"/>
        <v>163.80000000000001</v>
      </c>
      <c r="H149" s="22">
        <v>49.24</v>
      </c>
      <c r="I149" s="18">
        <f t="shared" si="28"/>
        <v>0</v>
      </c>
      <c r="J149" s="18">
        <f t="shared" si="29"/>
        <v>49.24</v>
      </c>
      <c r="K149" s="22">
        <v>2.2000000000000002</v>
      </c>
      <c r="L149" s="18">
        <f t="shared" si="30"/>
        <v>0</v>
      </c>
      <c r="M149" s="18">
        <f t="shared" si="31"/>
        <v>2.2000000000000002</v>
      </c>
      <c r="N149" s="15">
        <f t="shared" si="32"/>
        <v>215.24</v>
      </c>
      <c r="O149" s="15">
        <f t="shared" si="23"/>
        <v>0</v>
      </c>
      <c r="P149" s="15">
        <f t="shared" si="24"/>
        <v>215.24</v>
      </c>
      <c r="Q149" s="5">
        <f t="shared" si="25"/>
        <v>1</v>
      </c>
    </row>
    <row r="150" spans="1:17" x14ac:dyDescent="0.25">
      <c r="A150" s="7">
        <v>46272.166666666664</v>
      </c>
      <c r="B150" s="22">
        <v>0</v>
      </c>
      <c r="C150" s="22">
        <v>0</v>
      </c>
      <c r="D150" s="18">
        <f t="shared" si="22"/>
        <v>0</v>
      </c>
      <c r="E150" s="22">
        <v>163.80000000000001</v>
      </c>
      <c r="F150" s="18">
        <f t="shared" si="26"/>
        <v>0</v>
      </c>
      <c r="G150" s="18">
        <f t="shared" si="27"/>
        <v>163.80000000000001</v>
      </c>
      <c r="H150" s="22">
        <v>48.88</v>
      </c>
      <c r="I150" s="18">
        <f t="shared" si="28"/>
        <v>0</v>
      </c>
      <c r="J150" s="18">
        <f t="shared" si="29"/>
        <v>48.88</v>
      </c>
      <c r="K150" s="22">
        <v>2.0799999999999996</v>
      </c>
      <c r="L150" s="18">
        <f t="shared" si="30"/>
        <v>0</v>
      </c>
      <c r="M150" s="18">
        <f t="shared" si="31"/>
        <v>2.0799999999999996</v>
      </c>
      <c r="N150" s="15">
        <f t="shared" si="32"/>
        <v>214.76000000000002</v>
      </c>
      <c r="O150" s="15">
        <f t="shared" si="23"/>
        <v>0</v>
      </c>
      <c r="P150" s="15">
        <f t="shared" si="24"/>
        <v>214.76000000000002</v>
      </c>
      <c r="Q150" s="5">
        <f t="shared" si="25"/>
        <v>1</v>
      </c>
    </row>
    <row r="151" spans="1:17" x14ac:dyDescent="0.25">
      <c r="A151" s="7">
        <v>46272.208333333336</v>
      </c>
      <c r="B151" s="22">
        <v>0</v>
      </c>
      <c r="C151" s="22">
        <v>0</v>
      </c>
      <c r="D151" s="18">
        <f t="shared" si="22"/>
        <v>0</v>
      </c>
      <c r="E151" s="22">
        <v>166.95</v>
      </c>
      <c r="F151" s="18">
        <f t="shared" si="26"/>
        <v>0</v>
      </c>
      <c r="G151" s="18">
        <f t="shared" si="27"/>
        <v>166.95</v>
      </c>
      <c r="H151" s="22">
        <v>50.68</v>
      </c>
      <c r="I151" s="18">
        <f t="shared" si="28"/>
        <v>0</v>
      </c>
      <c r="J151" s="18">
        <f t="shared" si="29"/>
        <v>50.68</v>
      </c>
      <c r="K151" s="22">
        <v>2.2000000000000002</v>
      </c>
      <c r="L151" s="18">
        <f t="shared" si="30"/>
        <v>0</v>
      </c>
      <c r="M151" s="18">
        <f t="shared" si="31"/>
        <v>2.2000000000000002</v>
      </c>
      <c r="N151" s="15">
        <f t="shared" si="32"/>
        <v>219.82999999999998</v>
      </c>
      <c r="O151" s="15">
        <f t="shared" si="23"/>
        <v>0</v>
      </c>
      <c r="P151" s="15">
        <f t="shared" si="24"/>
        <v>219.82999999999998</v>
      </c>
      <c r="Q151" s="5">
        <f t="shared" si="25"/>
        <v>1</v>
      </c>
    </row>
    <row r="152" spans="1:17" x14ac:dyDescent="0.25">
      <c r="A152" s="7">
        <v>46272.25</v>
      </c>
      <c r="B152" s="22">
        <v>0</v>
      </c>
      <c r="C152" s="22">
        <v>0</v>
      </c>
      <c r="D152" s="18">
        <f t="shared" si="22"/>
        <v>0</v>
      </c>
      <c r="E152" s="22">
        <v>126</v>
      </c>
      <c r="F152" s="18">
        <f t="shared" si="26"/>
        <v>0</v>
      </c>
      <c r="G152" s="18">
        <f t="shared" si="27"/>
        <v>126</v>
      </c>
      <c r="H152" s="22">
        <v>74.92</v>
      </c>
      <c r="I152" s="18">
        <f t="shared" si="28"/>
        <v>0</v>
      </c>
      <c r="J152" s="18">
        <f t="shared" si="29"/>
        <v>74.92</v>
      </c>
      <c r="K152" s="22">
        <v>3.52</v>
      </c>
      <c r="L152" s="18">
        <f t="shared" si="30"/>
        <v>0</v>
      </c>
      <c r="M152" s="18">
        <f t="shared" si="31"/>
        <v>3.52</v>
      </c>
      <c r="N152" s="15">
        <f t="shared" si="32"/>
        <v>204.44000000000003</v>
      </c>
      <c r="O152" s="15">
        <f t="shared" si="23"/>
        <v>0</v>
      </c>
      <c r="P152" s="15">
        <f t="shared" si="24"/>
        <v>204.44000000000003</v>
      </c>
      <c r="Q152" s="5">
        <f t="shared" si="25"/>
        <v>1</v>
      </c>
    </row>
    <row r="153" spans="1:17" x14ac:dyDescent="0.25">
      <c r="A153" s="7">
        <v>46272.291666666664</v>
      </c>
      <c r="B153" s="22">
        <v>315</v>
      </c>
      <c r="C153" s="22">
        <v>0</v>
      </c>
      <c r="D153" s="18">
        <f t="shared" si="22"/>
        <v>315</v>
      </c>
      <c r="E153" s="22">
        <v>0</v>
      </c>
      <c r="F153" s="18">
        <f t="shared" si="26"/>
        <v>0</v>
      </c>
      <c r="G153" s="18">
        <f t="shared" si="27"/>
        <v>0</v>
      </c>
      <c r="H153" s="22">
        <v>57.28</v>
      </c>
      <c r="I153" s="18">
        <f t="shared" si="28"/>
        <v>57.28</v>
      </c>
      <c r="J153" s="18">
        <f t="shared" si="29"/>
        <v>0</v>
      </c>
      <c r="K153" s="22">
        <v>1.96</v>
      </c>
      <c r="L153" s="18">
        <f t="shared" si="30"/>
        <v>1.96</v>
      </c>
      <c r="M153" s="18">
        <f t="shared" si="31"/>
        <v>0</v>
      </c>
      <c r="N153" s="15">
        <f t="shared" si="32"/>
        <v>59.24</v>
      </c>
      <c r="O153" s="15">
        <f t="shared" si="23"/>
        <v>59.24</v>
      </c>
      <c r="P153" s="15">
        <f t="shared" si="24"/>
        <v>0</v>
      </c>
      <c r="Q153" s="5">
        <f t="shared" si="25"/>
        <v>0</v>
      </c>
    </row>
    <row r="154" spans="1:17" x14ac:dyDescent="0.25">
      <c r="A154" s="7">
        <v>46272.333333333336</v>
      </c>
      <c r="B154" s="22">
        <v>806.4</v>
      </c>
      <c r="C154" s="22">
        <v>0</v>
      </c>
      <c r="D154" s="18">
        <f t="shared" si="22"/>
        <v>806.4</v>
      </c>
      <c r="E154" s="22">
        <v>0</v>
      </c>
      <c r="F154" s="18">
        <f t="shared" si="26"/>
        <v>0</v>
      </c>
      <c r="G154" s="18">
        <f t="shared" si="27"/>
        <v>0</v>
      </c>
      <c r="H154" s="22">
        <v>123.52000000000001</v>
      </c>
      <c r="I154" s="18">
        <f t="shared" si="28"/>
        <v>123.52000000000001</v>
      </c>
      <c r="J154" s="18">
        <f t="shared" si="29"/>
        <v>0</v>
      </c>
      <c r="K154" s="22">
        <v>14.92</v>
      </c>
      <c r="L154" s="18">
        <f t="shared" si="30"/>
        <v>14.92</v>
      </c>
      <c r="M154" s="18">
        <f t="shared" si="31"/>
        <v>0</v>
      </c>
      <c r="N154" s="15">
        <f t="shared" si="32"/>
        <v>138.44</v>
      </c>
      <c r="O154" s="15">
        <f t="shared" si="23"/>
        <v>138.44</v>
      </c>
      <c r="P154" s="15">
        <f t="shared" si="24"/>
        <v>0</v>
      </c>
      <c r="Q154" s="5">
        <f t="shared" si="25"/>
        <v>0</v>
      </c>
    </row>
    <row r="155" spans="1:17" x14ac:dyDescent="0.25">
      <c r="A155" s="7">
        <v>46272.375</v>
      </c>
      <c r="B155" s="22">
        <v>916.65</v>
      </c>
      <c r="C155" s="22">
        <v>0.24000000000000002</v>
      </c>
      <c r="D155" s="18">
        <f t="shared" si="22"/>
        <v>916.89</v>
      </c>
      <c r="E155" s="22">
        <v>0</v>
      </c>
      <c r="F155" s="18">
        <f t="shared" si="26"/>
        <v>0</v>
      </c>
      <c r="G155" s="18">
        <f t="shared" si="27"/>
        <v>0</v>
      </c>
      <c r="H155" s="22">
        <v>82.36</v>
      </c>
      <c r="I155" s="18">
        <f t="shared" si="28"/>
        <v>82.36</v>
      </c>
      <c r="J155" s="18">
        <f t="shared" si="29"/>
        <v>0</v>
      </c>
      <c r="K155" s="22">
        <v>44.56</v>
      </c>
      <c r="L155" s="18">
        <f t="shared" si="30"/>
        <v>44.56</v>
      </c>
      <c r="M155" s="18">
        <f t="shared" si="31"/>
        <v>0</v>
      </c>
      <c r="N155" s="15">
        <f t="shared" si="32"/>
        <v>126.92</v>
      </c>
      <c r="O155" s="15">
        <f t="shared" si="23"/>
        <v>126.92</v>
      </c>
      <c r="P155" s="15">
        <f t="shared" si="24"/>
        <v>0</v>
      </c>
      <c r="Q155" s="5">
        <f t="shared" si="25"/>
        <v>0</v>
      </c>
    </row>
    <row r="156" spans="1:17" x14ac:dyDescent="0.25">
      <c r="A156" s="7">
        <v>46272.416666666664</v>
      </c>
      <c r="B156" s="22">
        <v>1578.1499999999999</v>
      </c>
      <c r="C156" s="22">
        <v>0</v>
      </c>
      <c r="D156" s="18">
        <f t="shared" si="22"/>
        <v>1578.1499999999999</v>
      </c>
      <c r="E156" s="22">
        <v>0</v>
      </c>
      <c r="F156" s="18">
        <f t="shared" si="26"/>
        <v>0</v>
      </c>
      <c r="G156" s="18">
        <f t="shared" si="27"/>
        <v>0</v>
      </c>
      <c r="H156" s="22">
        <v>84.52</v>
      </c>
      <c r="I156" s="18">
        <f t="shared" si="28"/>
        <v>84.52</v>
      </c>
      <c r="J156" s="18">
        <f t="shared" si="29"/>
        <v>0</v>
      </c>
      <c r="K156" s="22">
        <v>25.12</v>
      </c>
      <c r="L156" s="18">
        <f t="shared" si="30"/>
        <v>25.12</v>
      </c>
      <c r="M156" s="18">
        <f t="shared" si="31"/>
        <v>0</v>
      </c>
      <c r="N156" s="15">
        <f t="shared" si="32"/>
        <v>109.64</v>
      </c>
      <c r="O156" s="15">
        <f t="shared" si="23"/>
        <v>109.64</v>
      </c>
      <c r="P156" s="15">
        <f t="shared" si="24"/>
        <v>0</v>
      </c>
      <c r="Q156" s="5">
        <f t="shared" si="25"/>
        <v>0</v>
      </c>
    </row>
    <row r="157" spans="1:17" x14ac:dyDescent="0.25">
      <c r="A157" s="7">
        <v>46272.458333333336</v>
      </c>
      <c r="B157" s="22">
        <v>2230.1999999999998</v>
      </c>
      <c r="C157" s="22">
        <v>3.48</v>
      </c>
      <c r="D157" s="18">
        <f t="shared" si="22"/>
        <v>2233.6799999999998</v>
      </c>
      <c r="E157" s="22">
        <v>0</v>
      </c>
      <c r="F157" s="18">
        <f t="shared" si="26"/>
        <v>0</v>
      </c>
      <c r="G157" s="18">
        <f t="shared" si="27"/>
        <v>0</v>
      </c>
      <c r="H157" s="22">
        <v>37.36</v>
      </c>
      <c r="I157" s="18">
        <f t="shared" si="28"/>
        <v>37.36</v>
      </c>
      <c r="J157" s="18">
        <f t="shared" si="29"/>
        <v>0</v>
      </c>
      <c r="K157" s="22">
        <v>29.919999999999998</v>
      </c>
      <c r="L157" s="18">
        <f t="shared" si="30"/>
        <v>29.919999999999998</v>
      </c>
      <c r="M157" s="18">
        <f t="shared" si="31"/>
        <v>0</v>
      </c>
      <c r="N157" s="15">
        <f t="shared" si="32"/>
        <v>67.28</v>
      </c>
      <c r="O157" s="15">
        <f t="shared" si="23"/>
        <v>67.28</v>
      </c>
      <c r="P157" s="15">
        <f t="shared" si="24"/>
        <v>0</v>
      </c>
      <c r="Q157" s="5">
        <f t="shared" si="25"/>
        <v>0</v>
      </c>
    </row>
    <row r="158" spans="1:17" x14ac:dyDescent="0.25">
      <c r="A158" s="7">
        <v>46272.5</v>
      </c>
      <c r="B158" s="22">
        <v>2252.25</v>
      </c>
      <c r="C158" s="22">
        <v>16.2</v>
      </c>
      <c r="D158" s="18">
        <f t="shared" si="22"/>
        <v>2268.4499999999998</v>
      </c>
      <c r="E158" s="22">
        <v>0</v>
      </c>
      <c r="F158" s="18">
        <f t="shared" si="26"/>
        <v>0</v>
      </c>
      <c r="G158" s="18">
        <f t="shared" si="27"/>
        <v>0</v>
      </c>
      <c r="H158" s="22">
        <v>22.360000000000003</v>
      </c>
      <c r="I158" s="18">
        <f t="shared" si="28"/>
        <v>22.360000000000003</v>
      </c>
      <c r="J158" s="18">
        <f t="shared" si="29"/>
        <v>0</v>
      </c>
      <c r="K158" s="22">
        <v>28.479999999999997</v>
      </c>
      <c r="L158" s="18">
        <f t="shared" si="30"/>
        <v>28.479999999999997</v>
      </c>
      <c r="M158" s="18">
        <f t="shared" si="31"/>
        <v>0</v>
      </c>
      <c r="N158" s="15">
        <f t="shared" si="32"/>
        <v>50.84</v>
      </c>
      <c r="O158" s="15">
        <f t="shared" si="23"/>
        <v>50.84</v>
      </c>
      <c r="P158" s="15">
        <f t="shared" si="24"/>
        <v>0</v>
      </c>
      <c r="Q158" s="5">
        <f t="shared" si="25"/>
        <v>0</v>
      </c>
    </row>
    <row r="159" spans="1:17" x14ac:dyDescent="0.25">
      <c r="A159" s="7">
        <v>46272.541666666664</v>
      </c>
      <c r="B159" s="22">
        <v>1943.5500000000002</v>
      </c>
      <c r="C159" s="22">
        <v>11.76</v>
      </c>
      <c r="D159" s="18">
        <f t="shared" si="22"/>
        <v>1955.3100000000002</v>
      </c>
      <c r="E159" s="22">
        <v>31.5</v>
      </c>
      <c r="F159" s="18">
        <f t="shared" si="26"/>
        <v>31.5</v>
      </c>
      <c r="G159" s="18">
        <f t="shared" si="27"/>
        <v>0</v>
      </c>
      <c r="H159" s="22">
        <v>39.76</v>
      </c>
      <c r="I159" s="18">
        <f t="shared" si="28"/>
        <v>39.76</v>
      </c>
      <c r="J159" s="18">
        <f t="shared" si="29"/>
        <v>0</v>
      </c>
      <c r="K159" s="22">
        <v>39.160000000000004</v>
      </c>
      <c r="L159" s="18">
        <f t="shared" si="30"/>
        <v>39.160000000000004</v>
      </c>
      <c r="M159" s="18">
        <f t="shared" si="31"/>
        <v>0</v>
      </c>
      <c r="N159" s="15">
        <f t="shared" si="32"/>
        <v>110.41999999999999</v>
      </c>
      <c r="O159" s="15">
        <f t="shared" si="23"/>
        <v>110.41999999999999</v>
      </c>
      <c r="P159" s="15">
        <f t="shared" si="24"/>
        <v>0</v>
      </c>
      <c r="Q159" s="5">
        <f t="shared" si="25"/>
        <v>0</v>
      </c>
    </row>
    <row r="160" spans="1:17" x14ac:dyDescent="0.25">
      <c r="A160" s="7">
        <v>46272.583333333336</v>
      </c>
      <c r="B160" s="22">
        <v>1546.65</v>
      </c>
      <c r="C160" s="22">
        <v>2.04</v>
      </c>
      <c r="D160" s="18">
        <f t="shared" si="22"/>
        <v>1548.69</v>
      </c>
      <c r="E160" s="22">
        <v>15.75</v>
      </c>
      <c r="F160" s="18">
        <f t="shared" si="26"/>
        <v>15.75</v>
      </c>
      <c r="G160" s="18">
        <f t="shared" si="27"/>
        <v>0</v>
      </c>
      <c r="H160" s="22">
        <v>73</v>
      </c>
      <c r="I160" s="18">
        <f t="shared" si="28"/>
        <v>73</v>
      </c>
      <c r="J160" s="18">
        <f t="shared" si="29"/>
        <v>0</v>
      </c>
      <c r="K160" s="22">
        <v>36.159999999999997</v>
      </c>
      <c r="L160" s="18">
        <f t="shared" si="30"/>
        <v>36.159999999999997</v>
      </c>
      <c r="M160" s="18">
        <f t="shared" si="31"/>
        <v>0</v>
      </c>
      <c r="N160" s="15">
        <f t="shared" si="32"/>
        <v>124.91</v>
      </c>
      <c r="O160" s="15">
        <f t="shared" si="23"/>
        <v>124.91</v>
      </c>
      <c r="P160" s="15">
        <f t="shared" si="24"/>
        <v>0</v>
      </c>
      <c r="Q160" s="5">
        <f t="shared" si="25"/>
        <v>0</v>
      </c>
    </row>
    <row r="161" spans="1:17" x14ac:dyDescent="0.25">
      <c r="A161" s="7">
        <v>46272.625</v>
      </c>
      <c r="B161" s="22">
        <v>1436.3999999999999</v>
      </c>
      <c r="C161" s="22">
        <v>0.12000000000000001</v>
      </c>
      <c r="D161" s="18">
        <f t="shared" si="22"/>
        <v>1436.5199999999998</v>
      </c>
      <c r="E161" s="22">
        <v>0</v>
      </c>
      <c r="F161" s="18">
        <f t="shared" si="26"/>
        <v>0</v>
      </c>
      <c r="G161" s="18">
        <f t="shared" si="27"/>
        <v>0</v>
      </c>
      <c r="H161" s="22">
        <v>96.88</v>
      </c>
      <c r="I161" s="18">
        <f t="shared" si="28"/>
        <v>96.88</v>
      </c>
      <c r="J161" s="18">
        <f t="shared" si="29"/>
        <v>0</v>
      </c>
      <c r="K161" s="22">
        <v>47.08</v>
      </c>
      <c r="L161" s="18">
        <f t="shared" si="30"/>
        <v>47.08</v>
      </c>
      <c r="M161" s="18">
        <f t="shared" si="31"/>
        <v>0</v>
      </c>
      <c r="N161" s="15">
        <f t="shared" si="32"/>
        <v>143.95999999999998</v>
      </c>
      <c r="O161" s="15">
        <f t="shared" si="23"/>
        <v>143.95999999999998</v>
      </c>
      <c r="P161" s="15">
        <f t="shared" si="24"/>
        <v>0</v>
      </c>
      <c r="Q161" s="5">
        <f t="shared" si="25"/>
        <v>0</v>
      </c>
    </row>
    <row r="162" spans="1:17" x14ac:dyDescent="0.25">
      <c r="A162" s="7">
        <v>46272.666666666664</v>
      </c>
      <c r="B162" s="22">
        <v>932.4</v>
      </c>
      <c r="C162" s="22">
        <v>0</v>
      </c>
      <c r="D162" s="18">
        <f t="shared" si="22"/>
        <v>932.4</v>
      </c>
      <c r="E162" s="22">
        <v>0</v>
      </c>
      <c r="F162" s="18">
        <f t="shared" si="26"/>
        <v>0</v>
      </c>
      <c r="G162" s="18">
        <f t="shared" si="27"/>
        <v>0</v>
      </c>
      <c r="H162" s="22">
        <v>109.47999999999999</v>
      </c>
      <c r="I162" s="18">
        <f t="shared" si="28"/>
        <v>109.47999999999999</v>
      </c>
      <c r="J162" s="18">
        <f t="shared" si="29"/>
        <v>0</v>
      </c>
      <c r="K162" s="22">
        <v>35.56</v>
      </c>
      <c r="L162" s="18">
        <f t="shared" si="30"/>
        <v>35.56</v>
      </c>
      <c r="M162" s="18">
        <f t="shared" si="31"/>
        <v>0</v>
      </c>
      <c r="N162" s="15">
        <f t="shared" si="32"/>
        <v>145.04</v>
      </c>
      <c r="O162" s="15">
        <f t="shared" si="23"/>
        <v>145.04</v>
      </c>
      <c r="P162" s="15">
        <f t="shared" si="24"/>
        <v>0</v>
      </c>
      <c r="Q162" s="5">
        <f t="shared" si="25"/>
        <v>0</v>
      </c>
    </row>
    <row r="163" spans="1:17" x14ac:dyDescent="0.25">
      <c r="A163" s="7">
        <v>46272.708333333336</v>
      </c>
      <c r="B163" s="22">
        <v>69.3</v>
      </c>
      <c r="C163" s="22">
        <v>0</v>
      </c>
      <c r="D163" s="18">
        <f t="shared" si="22"/>
        <v>69.3</v>
      </c>
      <c r="E163" s="22">
        <v>299.25</v>
      </c>
      <c r="F163" s="18">
        <f t="shared" si="26"/>
        <v>53.495395449620815</v>
      </c>
      <c r="G163" s="18">
        <f t="shared" si="27"/>
        <v>245.75460455037918</v>
      </c>
      <c r="H163" s="22">
        <v>77.92</v>
      </c>
      <c r="I163" s="18">
        <f t="shared" si="28"/>
        <v>13.929360780065011</v>
      </c>
      <c r="J163" s="18">
        <f t="shared" si="29"/>
        <v>63.990639219934991</v>
      </c>
      <c r="K163" s="22">
        <v>10.489999999999998</v>
      </c>
      <c r="L163" s="18">
        <f t="shared" si="30"/>
        <v>1.875243770314194</v>
      </c>
      <c r="M163" s="18">
        <f t="shared" si="31"/>
        <v>8.6147562296858045</v>
      </c>
      <c r="N163" s="15">
        <f t="shared" si="32"/>
        <v>387.66</v>
      </c>
      <c r="O163" s="15">
        <f t="shared" si="23"/>
        <v>69.300000000000011</v>
      </c>
      <c r="P163" s="15">
        <f t="shared" si="24"/>
        <v>318.36</v>
      </c>
      <c r="Q163" s="5">
        <f t="shared" si="25"/>
        <v>0.82123510292524371</v>
      </c>
    </row>
    <row r="164" spans="1:17" x14ac:dyDescent="0.25">
      <c r="A164" s="7">
        <v>46272.75</v>
      </c>
      <c r="B164" s="22">
        <v>28.35</v>
      </c>
      <c r="C164" s="22">
        <v>0</v>
      </c>
      <c r="D164" s="18">
        <f t="shared" si="22"/>
        <v>28.35</v>
      </c>
      <c r="E164" s="22">
        <v>91.35</v>
      </c>
      <c r="F164" s="18">
        <f t="shared" si="26"/>
        <v>14.091162595831037</v>
      </c>
      <c r="G164" s="18">
        <f t="shared" si="27"/>
        <v>77.258837404168958</v>
      </c>
      <c r="H164" s="22">
        <v>77.08</v>
      </c>
      <c r="I164" s="18">
        <f t="shared" si="28"/>
        <v>11.889948690603788</v>
      </c>
      <c r="J164" s="18">
        <f t="shared" si="29"/>
        <v>65.19005130939621</v>
      </c>
      <c r="K164" s="22">
        <v>15.357000000000001</v>
      </c>
      <c r="L164" s="18">
        <f t="shared" si="30"/>
        <v>2.3688887135651591</v>
      </c>
      <c r="M164" s="18">
        <f t="shared" si="31"/>
        <v>12.988111286434842</v>
      </c>
      <c r="N164" s="15">
        <f t="shared" si="32"/>
        <v>183.78700000000001</v>
      </c>
      <c r="O164" s="15">
        <f t="shared" si="23"/>
        <v>28.349999999999994</v>
      </c>
      <c r="P164" s="15">
        <f t="shared" si="24"/>
        <v>155.43700000000001</v>
      </c>
      <c r="Q164" s="5">
        <f t="shared" si="25"/>
        <v>0.84574534651525957</v>
      </c>
    </row>
    <row r="165" spans="1:17" x14ac:dyDescent="0.25">
      <c r="A165" s="7">
        <v>46272.791666666664</v>
      </c>
      <c r="B165" s="22">
        <v>0</v>
      </c>
      <c r="C165" s="22">
        <v>0</v>
      </c>
      <c r="D165" s="18">
        <f t="shared" si="22"/>
        <v>0</v>
      </c>
      <c r="E165" s="22">
        <v>195.3</v>
      </c>
      <c r="F165" s="18">
        <f t="shared" si="26"/>
        <v>0</v>
      </c>
      <c r="G165" s="18">
        <f t="shared" si="27"/>
        <v>195.3</v>
      </c>
      <c r="H165" s="22">
        <v>74.800000000000011</v>
      </c>
      <c r="I165" s="18">
        <f t="shared" si="28"/>
        <v>0</v>
      </c>
      <c r="J165" s="18">
        <f t="shared" si="29"/>
        <v>74.800000000000011</v>
      </c>
      <c r="K165" s="22">
        <v>8.0560000000000009</v>
      </c>
      <c r="L165" s="18">
        <f t="shared" si="30"/>
        <v>0</v>
      </c>
      <c r="M165" s="18">
        <f t="shared" si="31"/>
        <v>8.0560000000000009</v>
      </c>
      <c r="N165" s="15">
        <f t="shared" si="32"/>
        <v>278.15600000000001</v>
      </c>
      <c r="O165" s="15">
        <f t="shared" si="23"/>
        <v>0</v>
      </c>
      <c r="P165" s="15">
        <f t="shared" si="24"/>
        <v>278.15600000000001</v>
      </c>
      <c r="Q165" s="5">
        <f t="shared" si="25"/>
        <v>1</v>
      </c>
    </row>
    <row r="166" spans="1:17" x14ac:dyDescent="0.25">
      <c r="A166" s="7">
        <v>46272.833333333336</v>
      </c>
      <c r="B166" s="22">
        <v>0</v>
      </c>
      <c r="C166" s="22">
        <v>0</v>
      </c>
      <c r="D166" s="18">
        <f t="shared" si="22"/>
        <v>0</v>
      </c>
      <c r="E166" s="22">
        <v>450.45000000000005</v>
      </c>
      <c r="F166" s="18">
        <f t="shared" si="26"/>
        <v>0</v>
      </c>
      <c r="G166" s="18">
        <f t="shared" si="27"/>
        <v>450.45000000000005</v>
      </c>
      <c r="H166" s="22">
        <v>48.4</v>
      </c>
      <c r="I166" s="18">
        <f t="shared" si="28"/>
        <v>0</v>
      </c>
      <c r="J166" s="18">
        <f t="shared" si="29"/>
        <v>48.4</v>
      </c>
      <c r="K166" s="22">
        <v>2.8240000000000003</v>
      </c>
      <c r="L166" s="18">
        <f t="shared" si="30"/>
        <v>0</v>
      </c>
      <c r="M166" s="18">
        <f t="shared" si="31"/>
        <v>2.8240000000000003</v>
      </c>
      <c r="N166" s="15">
        <f t="shared" si="32"/>
        <v>501.67400000000004</v>
      </c>
      <c r="O166" s="15">
        <f t="shared" si="23"/>
        <v>0</v>
      </c>
      <c r="P166" s="15">
        <f t="shared" si="24"/>
        <v>501.67400000000004</v>
      </c>
      <c r="Q166" s="5">
        <f t="shared" si="25"/>
        <v>1</v>
      </c>
    </row>
    <row r="167" spans="1:17" x14ac:dyDescent="0.25">
      <c r="A167" s="7">
        <v>46272.875</v>
      </c>
      <c r="B167" s="22">
        <v>0</v>
      </c>
      <c r="C167" s="22">
        <v>0</v>
      </c>
      <c r="D167" s="18">
        <f t="shared" si="22"/>
        <v>0</v>
      </c>
      <c r="E167" s="22">
        <v>472.5</v>
      </c>
      <c r="F167" s="18">
        <f t="shared" si="26"/>
        <v>0</v>
      </c>
      <c r="G167" s="18">
        <f t="shared" si="27"/>
        <v>472.5</v>
      </c>
      <c r="H167" s="22">
        <v>44.32</v>
      </c>
      <c r="I167" s="18">
        <f t="shared" si="28"/>
        <v>0</v>
      </c>
      <c r="J167" s="18">
        <f t="shared" si="29"/>
        <v>44.32</v>
      </c>
      <c r="K167" s="22">
        <v>2.9450000000000003</v>
      </c>
      <c r="L167" s="18">
        <f t="shared" si="30"/>
        <v>0</v>
      </c>
      <c r="M167" s="18">
        <f t="shared" si="31"/>
        <v>2.9450000000000003</v>
      </c>
      <c r="N167" s="15">
        <f t="shared" si="32"/>
        <v>519.7650000000001</v>
      </c>
      <c r="O167" s="15">
        <f t="shared" si="23"/>
        <v>0</v>
      </c>
      <c r="P167" s="15">
        <f t="shared" si="24"/>
        <v>519.7650000000001</v>
      </c>
      <c r="Q167" s="5">
        <f t="shared" si="25"/>
        <v>1</v>
      </c>
    </row>
    <row r="168" spans="1:17" x14ac:dyDescent="0.25">
      <c r="A168" s="7">
        <v>46272.916666666664</v>
      </c>
      <c r="B168" s="22">
        <v>0</v>
      </c>
      <c r="C168" s="22">
        <v>0</v>
      </c>
      <c r="D168" s="18">
        <f t="shared" si="22"/>
        <v>0</v>
      </c>
      <c r="E168" s="22">
        <v>466.2</v>
      </c>
      <c r="F168" s="18">
        <f t="shared" si="26"/>
        <v>0</v>
      </c>
      <c r="G168" s="18">
        <f t="shared" si="27"/>
        <v>466.2</v>
      </c>
      <c r="H168" s="22">
        <v>44.68</v>
      </c>
      <c r="I168" s="18">
        <f t="shared" si="28"/>
        <v>0</v>
      </c>
      <c r="J168" s="18">
        <f t="shared" si="29"/>
        <v>44.68</v>
      </c>
      <c r="K168" s="22">
        <v>2.8</v>
      </c>
      <c r="L168" s="18">
        <f t="shared" si="30"/>
        <v>0</v>
      </c>
      <c r="M168" s="18">
        <f t="shared" si="31"/>
        <v>2.8</v>
      </c>
      <c r="N168" s="15">
        <f t="shared" si="32"/>
        <v>513.67999999999995</v>
      </c>
      <c r="O168" s="15">
        <f t="shared" si="23"/>
        <v>0</v>
      </c>
      <c r="P168" s="15">
        <f t="shared" si="24"/>
        <v>513.67999999999995</v>
      </c>
      <c r="Q168" s="5">
        <f t="shared" si="25"/>
        <v>1</v>
      </c>
    </row>
    <row r="169" spans="1:17" x14ac:dyDescent="0.25">
      <c r="A169" s="7">
        <v>46272.958333333336</v>
      </c>
      <c r="B169" s="22">
        <v>0</v>
      </c>
      <c r="C169" s="22">
        <v>0</v>
      </c>
      <c r="D169" s="18">
        <f t="shared" si="22"/>
        <v>0</v>
      </c>
      <c r="E169" s="22">
        <v>494.55</v>
      </c>
      <c r="F169" s="18">
        <f t="shared" si="26"/>
        <v>0</v>
      </c>
      <c r="G169" s="18">
        <f t="shared" si="27"/>
        <v>494.55</v>
      </c>
      <c r="H169" s="22">
        <v>45.879999999999995</v>
      </c>
      <c r="I169" s="18">
        <f t="shared" si="28"/>
        <v>0</v>
      </c>
      <c r="J169" s="18">
        <f t="shared" si="29"/>
        <v>45.879999999999995</v>
      </c>
      <c r="K169" s="22">
        <v>3.04</v>
      </c>
      <c r="L169" s="18">
        <f t="shared" si="30"/>
        <v>0</v>
      </c>
      <c r="M169" s="18">
        <f t="shared" si="31"/>
        <v>3.04</v>
      </c>
      <c r="N169" s="15">
        <f t="shared" si="32"/>
        <v>543.47</v>
      </c>
      <c r="O169" s="15">
        <f t="shared" si="23"/>
        <v>0</v>
      </c>
      <c r="P169" s="15">
        <f t="shared" si="24"/>
        <v>543.47</v>
      </c>
      <c r="Q169" s="5">
        <f t="shared" si="25"/>
        <v>1</v>
      </c>
    </row>
    <row r="170" spans="1:17" x14ac:dyDescent="0.25">
      <c r="A170" s="7">
        <v>46273</v>
      </c>
      <c r="B170" s="22">
        <v>0</v>
      </c>
      <c r="C170" s="22">
        <v>0</v>
      </c>
      <c r="D170" s="18">
        <f t="shared" si="22"/>
        <v>0</v>
      </c>
      <c r="E170" s="22">
        <v>459.9</v>
      </c>
      <c r="F170" s="18">
        <f t="shared" si="26"/>
        <v>0</v>
      </c>
      <c r="G170" s="18">
        <f t="shared" si="27"/>
        <v>459.9</v>
      </c>
      <c r="H170" s="22">
        <v>42.52</v>
      </c>
      <c r="I170" s="18">
        <f t="shared" si="28"/>
        <v>0</v>
      </c>
      <c r="J170" s="18">
        <f t="shared" si="29"/>
        <v>42.52</v>
      </c>
      <c r="K170" s="22">
        <v>2.8</v>
      </c>
      <c r="L170" s="18">
        <f t="shared" si="30"/>
        <v>0</v>
      </c>
      <c r="M170" s="18">
        <f t="shared" si="31"/>
        <v>2.8</v>
      </c>
      <c r="N170" s="15">
        <f t="shared" si="32"/>
        <v>505.21999999999997</v>
      </c>
      <c r="O170" s="15">
        <f t="shared" si="23"/>
        <v>0</v>
      </c>
      <c r="P170" s="15">
        <f t="shared" si="24"/>
        <v>505.21999999999997</v>
      </c>
      <c r="Q170" s="5">
        <f t="shared" si="25"/>
        <v>1</v>
      </c>
    </row>
    <row r="171" spans="1:17" x14ac:dyDescent="0.25">
      <c r="A171" s="7">
        <v>46273.041666666664</v>
      </c>
      <c r="B171" s="22">
        <v>0</v>
      </c>
      <c r="C171" s="22">
        <v>0</v>
      </c>
      <c r="D171" s="18">
        <f t="shared" si="22"/>
        <v>0</v>
      </c>
      <c r="E171" s="22">
        <v>179.54999999999998</v>
      </c>
      <c r="F171" s="18">
        <f t="shared" si="26"/>
        <v>0</v>
      </c>
      <c r="G171" s="18">
        <f t="shared" si="27"/>
        <v>179.54999999999998</v>
      </c>
      <c r="H171" s="22">
        <v>40.599999999999994</v>
      </c>
      <c r="I171" s="18">
        <f t="shared" si="28"/>
        <v>0</v>
      </c>
      <c r="J171" s="18">
        <f t="shared" si="29"/>
        <v>40.599999999999994</v>
      </c>
      <c r="K171" s="22">
        <v>2.8</v>
      </c>
      <c r="L171" s="18">
        <f t="shared" si="30"/>
        <v>0</v>
      </c>
      <c r="M171" s="18">
        <f t="shared" si="31"/>
        <v>2.8</v>
      </c>
      <c r="N171" s="15">
        <f t="shared" si="32"/>
        <v>222.95</v>
      </c>
      <c r="O171" s="15">
        <f t="shared" si="23"/>
        <v>0</v>
      </c>
      <c r="P171" s="15">
        <f t="shared" si="24"/>
        <v>222.95</v>
      </c>
      <c r="Q171" s="5">
        <f t="shared" si="25"/>
        <v>1</v>
      </c>
    </row>
    <row r="172" spans="1:17" x14ac:dyDescent="0.25">
      <c r="A172" s="7">
        <v>46273.083333333336</v>
      </c>
      <c r="B172" s="22">
        <v>0</v>
      </c>
      <c r="C172" s="22">
        <v>0</v>
      </c>
      <c r="D172" s="18">
        <f t="shared" si="22"/>
        <v>0</v>
      </c>
      <c r="E172" s="22">
        <v>456.75</v>
      </c>
      <c r="F172" s="18">
        <f t="shared" si="26"/>
        <v>0</v>
      </c>
      <c r="G172" s="18">
        <f t="shared" si="27"/>
        <v>456.75</v>
      </c>
      <c r="H172" s="22">
        <v>41.2</v>
      </c>
      <c r="I172" s="18">
        <f t="shared" si="28"/>
        <v>0</v>
      </c>
      <c r="J172" s="18">
        <f t="shared" si="29"/>
        <v>41.2</v>
      </c>
      <c r="K172" s="22">
        <v>2.92</v>
      </c>
      <c r="L172" s="18">
        <f t="shared" si="30"/>
        <v>0</v>
      </c>
      <c r="M172" s="18">
        <f t="shared" si="31"/>
        <v>2.92</v>
      </c>
      <c r="N172" s="15">
        <f t="shared" si="32"/>
        <v>500.87</v>
      </c>
      <c r="O172" s="15">
        <f t="shared" si="23"/>
        <v>0</v>
      </c>
      <c r="P172" s="15">
        <f t="shared" si="24"/>
        <v>500.87</v>
      </c>
      <c r="Q172" s="5">
        <f t="shared" si="25"/>
        <v>1</v>
      </c>
    </row>
    <row r="173" spans="1:17" x14ac:dyDescent="0.25">
      <c r="A173" s="7">
        <v>46273.125</v>
      </c>
      <c r="B173" s="22">
        <v>0</v>
      </c>
      <c r="C173" s="22">
        <v>0</v>
      </c>
      <c r="D173" s="18">
        <f t="shared" si="22"/>
        <v>0</v>
      </c>
      <c r="E173" s="22">
        <v>469.34999999999997</v>
      </c>
      <c r="F173" s="18">
        <f t="shared" si="26"/>
        <v>0</v>
      </c>
      <c r="G173" s="18">
        <f t="shared" si="27"/>
        <v>469.34999999999997</v>
      </c>
      <c r="H173" s="22">
        <v>47.08</v>
      </c>
      <c r="I173" s="18">
        <f t="shared" si="28"/>
        <v>0</v>
      </c>
      <c r="J173" s="18">
        <f t="shared" si="29"/>
        <v>47.08</v>
      </c>
      <c r="K173" s="22">
        <v>2.8</v>
      </c>
      <c r="L173" s="18">
        <f t="shared" si="30"/>
        <v>0</v>
      </c>
      <c r="M173" s="18">
        <f t="shared" si="31"/>
        <v>2.8</v>
      </c>
      <c r="N173" s="15">
        <f t="shared" si="32"/>
        <v>519.2299999999999</v>
      </c>
      <c r="O173" s="15">
        <f t="shared" si="23"/>
        <v>0</v>
      </c>
      <c r="P173" s="15">
        <f t="shared" si="24"/>
        <v>519.2299999999999</v>
      </c>
      <c r="Q173" s="5">
        <f t="shared" si="25"/>
        <v>1</v>
      </c>
    </row>
    <row r="174" spans="1:17" x14ac:dyDescent="0.25">
      <c r="A174" s="7">
        <v>46273.166666666664</v>
      </c>
      <c r="B174" s="22">
        <v>0</v>
      </c>
      <c r="C174" s="22">
        <v>0</v>
      </c>
      <c r="D174" s="18">
        <f t="shared" si="22"/>
        <v>0</v>
      </c>
      <c r="E174" s="22">
        <v>469.34999999999997</v>
      </c>
      <c r="F174" s="18">
        <f t="shared" si="26"/>
        <v>0</v>
      </c>
      <c r="G174" s="18">
        <f t="shared" si="27"/>
        <v>469.34999999999997</v>
      </c>
      <c r="H174" s="22">
        <v>41.2</v>
      </c>
      <c r="I174" s="18">
        <f t="shared" si="28"/>
        <v>0</v>
      </c>
      <c r="J174" s="18">
        <f t="shared" si="29"/>
        <v>41.2</v>
      </c>
      <c r="K174" s="22">
        <v>3.04</v>
      </c>
      <c r="L174" s="18">
        <f t="shared" si="30"/>
        <v>0</v>
      </c>
      <c r="M174" s="18">
        <f t="shared" si="31"/>
        <v>3.04</v>
      </c>
      <c r="N174" s="15">
        <f t="shared" si="32"/>
        <v>513.58999999999992</v>
      </c>
      <c r="O174" s="15">
        <f t="shared" si="23"/>
        <v>0</v>
      </c>
      <c r="P174" s="15">
        <f t="shared" si="24"/>
        <v>513.58999999999992</v>
      </c>
      <c r="Q174" s="5">
        <f t="shared" si="25"/>
        <v>1</v>
      </c>
    </row>
    <row r="175" spans="1:17" x14ac:dyDescent="0.25">
      <c r="A175" s="7">
        <v>46273.208333333336</v>
      </c>
      <c r="B175" s="22">
        <v>0</v>
      </c>
      <c r="C175" s="22">
        <v>0</v>
      </c>
      <c r="D175" s="18">
        <f t="shared" si="22"/>
        <v>0</v>
      </c>
      <c r="E175" s="22">
        <v>428.4</v>
      </c>
      <c r="F175" s="18">
        <f t="shared" si="26"/>
        <v>0</v>
      </c>
      <c r="G175" s="18">
        <f t="shared" si="27"/>
        <v>428.4</v>
      </c>
      <c r="H175" s="22">
        <v>44.92</v>
      </c>
      <c r="I175" s="18">
        <f t="shared" si="28"/>
        <v>0</v>
      </c>
      <c r="J175" s="18">
        <f t="shared" si="29"/>
        <v>44.92</v>
      </c>
      <c r="K175" s="22">
        <v>2.68</v>
      </c>
      <c r="L175" s="18">
        <f t="shared" si="30"/>
        <v>0</v>
      </c>
      <c r="M175" s="18">
        <f t="shared" si="31"/>
        <v>2.68</v>
      </c>
      <c r="N175" s="15">
        <f t="shared" si="32"/>
        <v>476</v>
      </c>
      <c r="O175" s="15">
        <f t="shared" si="23"/>
        <v>0</v>
      </c>
      <c r="P175" s="15">
        <f t="shared" si="24"/>
        <v>476</v>
      </c>
      <c r="Q175" s="5">
        <f t="shared" si="25"/>
        <v>1</v>
      </c>
    </row>
    <row r="176" spans="1:17" x14ac:dyDescent="0.25">
      <c r="A176" s="7">
        <v>46273.25</v>
      </c>
      <c r="B176" s="22">
        <v>0</v>
      </c>
      <c r="C176" s="22">
        <v>0</v>
      </c>
      <c r="D176" s="18">
        <f t="shared" si="22"/>
        <v>0</v>
      </c>
      <c r="E176" s="22">
        <v>135.44999999999999</v>
      </c>
      <c r="F176" s="18">
        <f t="shared" si="26"/>
        <v>0</v>
      </c>
      <c r="G176" s="18">
        <f t="shared" si="27"/>
        <v>135.44999999999999</v>
      </c>
      <c r="H176" s="22">
        <v>53.92</v>
      </c>
      <c r="I176" s="18">
        <f t="shared" si="28"/>
        <v>0</v>
      </c>
      <c r="J176" s="18">
        <f t="shared" si="29"/>
        <v>53.92</v>
      </c>
      <c r="K176" s="22">
        <v>4.3600000000000003</v>
      </c>
      <c r="L176" s="18">
        <f t="shared" si="30"/>
        <v>0</v>
      </c>
      <c r="M176" s="18">
        <f t="shared" si="31"/>
        <v>4.3600000000000003</v>
      </c>
      <c r="N176" s="15">
        <f t="shared" si="32"/>
        <v>193.73000000000002</v>
      </c>
      <c r="O176" s="15">
        <f t="shared" si="23"/>
        <v>0</v>
      </c>
      <c r="P176" s="15">
        <f t="shared" si="24"/>
        <v>193.73000000000002</v>
      </c>
      <c r="Q176" s="5">
        <f t="shared" si="25"/>
        <v>1</v>
      </c>
    </row>
    <row r="177" spans="1:17" x14ac:dyDescent="0.25">
      <c r="A177" s="7">
        <v>46273.291666666664</v>
      </c>
      <c r="B177" s="22">
        <v>340.2</v>
      </c>
      <c r="C177" s="22">
        <v>0.24000000000000002</v>
      </c>
      <c r="D177" s="18">
        <f t="shared" si="22"/>
        <v>340.44</v>
      </c>
      <c r="E177" s="22">
        <v>0</v>
      </c>
      <c r="F177" s="18">
        <f t="shared" si="26"/>
        <v>0</v>
      </c>
      <c r="G177" s="18">
        <f t="shared" si="27"/>
        <v>0</v>
      </c>
      <c r="H177" s="22">
        <v>47.08</v>
      </c>
      <c r="I177" s="18">
        <f t="shared" si="28"/>
        <v>47.08</v>
      </c>
      <c r="J177" s="18">
        <f t="shared" si="29"/>
        <v>0</v>
      </c>
      <c r="K177" s="22">
        <v>7.36</v>
      </c>
      <c r="L177" s="18">
        <f t="shared" si="30"/>
        <v>7.36</v>
      </c>
      <c r="M177" s="18">
        <f t="shared" si="31"/>
        <v>0</v>
      </c>
      <c r="N177" s="15">
        <f t="shared" si="32"/>
        <v>54.44</v>
      </c>
      <c r="O177" s="15">
        <f t="shared" si="23"/>
        <v>54.44</v>
      </c>
      <c r="P177" s="15">
        <f t="shared" si="24"/>
        <v>0</v>
      </c>
      <c r="Q177" s="5">
        <f t="shared" si="25"/>
        <v>0</v>
      </c>
    </row>
    <row r="178" spans="1:17" x14ac:dyDescent="0.25">
      <c r="A178" s="7">
        <v>46273.333333333336</v>
      </c>
      <c r="B178" s="22">
        <v>299.25</v>
      </c>
      <c r="C178" s="22">
        <v>0</v>
      </c>
      <c r="D178" s="18">
        <f t="shared" si="22"/>
        <v>299.25</v>
      </c>
      <c r="E178" s="22">
        <v>12.6</v>
      </c>
      <c r="F178" s="18">
        <f t="shared" si="26"/>
        <v>12.6</v>
      </c>
      <c r="G178" s="18">
        <f t="shared" si="27"/>
        <v>0</v>
      </c>
      <c r="H178" s="22">
        <v>103.24</v>
      </c>
      <c r="I178" s="18">
        <f t="shared" si="28"/>
        <v>103.24</v>
      </c>
      <c r="J178" s="18">
        <f t="shared" si="29"/>
        <v>0</v>
      </c>
      <c r="K178" s="22">
        <v>15.28</v>
      </c>
      <c r="L178" s="18">
        <f t="shared" si="30"/>
        <v>15.28</v>
      </c>
      <c r="M178" s="18">
        <f t="shared" si="31"/>
        <v>0</v>
      </c>
      <c r="N178" s="15">
        <f t="shared" si="32"/>
        <v>131.11999999999998</v>
      </c>
      <c r="O178" s="15">
        <f t="shared" si="23"/>
        <v>131.11999999999998</v>
      </c>
      <c r="P178" s="15">
        <f t="shared" si="24"/>
        <v>0</v>
      </c>
      <c r="Q178" s="5">
        <f t="shared" si="25"/>
        <v>0</v>
      </c>
    </row>
    <row r="179" spans="1:17" x14ac:dyDescent="0.25">
      <c r="A179" s="7">
        <v>46273.375</v>
      </c>
      <c r="B179" s="22">
        <v>1386</v>
      </c>
      <c r="C179" s="22">
        <v>4.2</v>
      </c>
      <c r="D179" s="18">
        <f t="shared" si="22"/>
        <v>1390.2</v>
      </c>
      <c r="E179" s="22">
        <v>0</v>
      </c>
      <c r="F179" s="18">
        <f t="shared" si="26"/>
        <v>0</v>
      </c>
      <c r="G179" s="18">
        <f t="shared" si="27"/>
        <v>0</v>
      </c>
      <c r="H179" s="22">
        <v>25.84</v>
      </c>
      <c r="I179" s="18">
        <f t="shared" si="28"/>
        <v>25.84</v>
      </c>
      <c r="J179" s="18">
        <f t="shared" si="29"/>
        <v>0</v>
      </c>
      <c r="K179" s="22">
        <v>36.64</v>
      </c>
      <c r="L179" s="18">
        <f t="shared" si="30"/>
        <v>36.64</v>
      </c>
      <c r="M179" s="18">
        <f t="shared" si="31"/>
        <v>0</v>
      </c>
      <c r="N179" s="15">
        <f t="shared" si="32"/>
        <v>62.480000000000004</v>
      </c>
      <c r="O179" s="15">
        <f t="shared" si="23"/>
        <v>62.480000000000004</v>
      </c>
      <c r="P179" s="15">
        <f t="shared" si="24"/>
        <v>0</v>
      </c>
      <c r="Q179" s="5">
        <f t="shared" si="25"/>
        <v>0</v>
      </c>
    </row>
    <row r="180" spans="1:17" x14ac:dyDescent="0.25">
      <c r="A180" s="7">
        <v>46273.416666666664</v>
      </c>
      <c r="B180" s="22">
        <v>1549.8</v>
      </c>
      <c r="C180" s="22">
        <v>8.76</v>
      </c>
      <c r="D180" s="18">
        <f t="shared" si="22"/>
        <v>1558.56</v>
      </c>
      <c r="E180" s="22">
        <v>0</v>
      </c>
      <c r="F180" s="18">
        <f t="shared" si="26"/>
        <v>0</v>
      </c>
      <c r="G180" s="18">
        <f t="shared" si="27"/>
        <v>0</v>
      </c>
      <c r="H180" s="22">
        <v>34.840000000000003</v>
      </c>
      <c r="I180" s="18">
        <f t="shared" si="28"/>
        <v>34.840000000000003</v>
      </c>
      <c r="J180" s="18">
        <f t="shared" si="29"/>
        <v>0</v>
      </c>
      <c r="K180" s="22">
        <v>40.239999999999995</v>
      </c>
      <c r="L180" s="18">
        <f t="shared" si="30"/>
        <v>40.239999999999995</v>
      </c>
      <c r="M180" s="18">
        <f t="shared" si="31"/>
        <v>0</v>
      </c>
      <c r="N180" s="15">
        <f t="shared" si="32"/>
        <v>75.08</v>
      </c>
      <c r="O180" s="15">
        <f t="shared" si="23"/>
        <v>75.08</v>
      </c>
      <c r="P180" s="15">
        <f t="shared" si="24"/>
        <v>0</v>
      </c>
      <c r="Q180" s="5">
        <f t="shared" si="25"/>
        <v>0</v>
      </c>
    </row>
    <row r="181" spans="1:17" x14ac:dyDescent="0.25">
      <c r="A181" s="7">
        <v>46273.458333333336</v>
      </c>
      <c r="B181" s="22">
        <v>2003.4</v>
      </c>
      <c r="C181" s="22">
        <v>10.319999999999999</v>
      </c>
      <c r="D181" s="18">
        <f t="shared" si="22"/>
        <v>2013.72</v>
      </c>
      <c r="E181" s="22">
        <v>0</v>
      </c>
      <c r="F181" s="18">
        <f t="shared" si="26"/>
        <v>0</v>
      </c>
      <c r="G181" s="18">
        <f t="shared" si="27"/>
        <v>0</v>
      </c>
      <c r="H181" s="22">
        <v>21.16</v>
      </c>
      <c r="I181" s="18">
        <f t="shared" si="28"/>
        <v>21.16</v>
      </c>
      <c r="J181" s="18">
        <f t="shared" si="29"/>
        <v>0</v>
      </c>
      <c r="K181" s="22">
        <v>51.04</v>
      </c>
      <c r="L181" s="18">
        <f t="shared" si="30"/>
        <v>51.04</v>
      </c>
      <c r="M181" s="18">
        <f t="shared" si="31"/>
        <v>0</v>
      </c>
      <c r="N181" s="15">
        <f t="shared" si="32"/>
        <v>72.2</v>
      </c>
      <c r="O181" s="15">
        <f t="shared" si="23"/>
        <v>72.2</v>
      </c>
      <c r="P181" s="15">
        <f t="shared" si="24"/>
        <v>0</v>
      </c>
      <c r="Q181" s="5">
        <f t="shared" si="25"/>
        <v>0</v>
      </c>
    </row>
    <row r="182" spans="1:17" x14ac:dyDescent="0.25">
      <c r="A182" s="7">
        <v>46273.5</v>
      </c>
      <c r="B182" s="22">
        <v>2664.8999999999996</v>
      </c>
      <c r="C182" s="22">
        <v>23.64</v>
      </c>
      <c r="D182" s="18">
        <f t="shared" si="22"/>
        <v>2688.5399999999995</v>
      </c>
      <c r="E182" s="22">
        <v>0</v>
      </c>
      <c r="F182" s="18">
        <f t="shared" si="26"/>
        <v>0</v>
      </c>
      <c r="G182" s="18">
        <f t="shared" si="27"/>
        <v>0</v>
      </c>
      <c r="H182" s="22">
        <v>12.88</v>
      </c>
      <c r="I182" s="18">
        <f t="shared" si="28"/>
        <v>12.88</v>
      </c>
      <c r="J182" s="18">
        <f t="shared" si="29"/>
        <v>0</v>
      </c>
      <c r="K182" s="22">
        <v>58.48</v>
      </c>
      <c r="L182" s="18">
        <f t="shared" si="30"/>
        <v>58.48</v>
      </c>
      <c r="M182" s="18">
        <f t="shared" si="31"/>
        <v>0</v>
      </c>
      <c r="N182" s="15">
        <f t="shared" si="32"/>
        <v>71.36</v>
      </c>
      <c r="O182" s="15">
        <f t="shared" si="23"/>
        <v>71.36</v>
      </c>
      <c r="P182" s="15">
        <f t="shared" si="24"/>
        <v>0</v>
      </c>
      <c r="Q182" s="5">
        <f t="shared" si="25"/>
        <v>0</v>
      </c>
    </row>
    <row r="183" spans="1:17" x14ac:dyDescent="0.25">
      <c r="A183" s="7">
        <v>46273.541666666664</v>
      </c>
      <c r="B183" s="22">
        <v>2702.7000000000003</v>
      </c>
      <c r="C183" s="22">
        <v>29.64</v>
      </c>
      <c r="D183" s="18">
        <f t="shared" si="22"/>
        <v>2732.34</v>
      </c>
      <c r="E183" s="22">
        <v>0</v>
      </c>
      <c r="F183" s="18">
        <f t="shared" si="26"/>
        <v>0</v>
      </c>
      <c r="G183" s="18">
        <f t="shared" si="27"/>
        <v>0</v>
      </c>
      <c r="H183" s="22">
        <v>4.12</v>
      </c>
      <c r="I183" s="18">
        <f t="shared" si="28"/>
        <v>4.12</v>
      </c>
      <c r="J183" s="18">
        <f t="shared" si="29"/>
        <v>0</v>
      </c>
      <c r="K183" s="22">
        <v>25.48</v>
      </c>
      <c r="L183" s="18">
        <f t="shared" si="30"/>
        <v>25.48</v>
      </c>
      <c r="M183" s="18">
        <f t="shared" si="31"/>
        <v>0</v>
      </c>
      <c r="N183" s="15">
        <f t="shared" si="32"/>
        <v>29.6</v>
      </c>
      <c r="O183" s="15">
        <f t="shared" si="23"/>
        <v>29.6</v>
      </c>
      <c r="P183" s="15">
        <f t="shared" si="24"/>
        <v>0</v>
      </c>
      <c r="Q183" s="5">
        <f t="shared" si="25"/>
        <v>0</v>
      </c>
    </row>
    <row r="184" spans="1:17" x14ac:dyDescent="0.25">
      <c r="A184" s="7">
        <v>46273.583333333336</v>
      </c>
      <c r="B184" s="22">
        <v>2009.7</v>
      </c>
      <c r="C184" s="22">
        <v>6.96</v>
      </c>
      <c r="D184" s="18">
        <f t="shared" si="22"/>
        <v>2016.66</v>
      </c>
      <c r="E184" s="22">
        <v>0</v>
      </c>
      <c r="F184" s="18">
        <f t="shared" si="26"/>
        <v>0</v>
      </c>
      <c r="G184" s="18">
        <f t="shared" si="27"/>
        <v>0</v>
      </c>
      <c r="H184" s="22">
        <v>23.92</v>
      </c>
      <c r="I184" s="18">
        <f t="shared" si="28"/>
        <v>23.92</v>
      </c>
      <c r="J184" s="18">
        <f t="shared" si="29"/>
        <v>0</v>
      </c>
      <c r="K184" s="22">
        <v>36.64</v>
      </c>
      <c r="L184" s="18">
        <f t="shared" si="30"/>
        <v>36.64</v>
      </c>
      <c r="M184" s="18">
        <f t="shared" si="31"/>
        <v>0</v>
      </c>
      <c r="N184" s="15">
        <f t="shared" si="32"/>
        <v>60.56</v>
      </c>
      <c r="O184" s="15">
        <f t="shared" si="23"/>
        <v>60.56</v>
      </c>
      <c r="P184" s="15">
        <f t="shared" si="24"/>
        <v>0</v>
      </c>
      <c r="Q184" s="5">
        <f t="shared" si="25"/>
        <v>0</v>
      </c>
    </row>
    <row r="185" spans="1:17" x14ac:dyDescent="0.25">
      <c r="A185" s="7">
        <v>46273.625</v>
      </c>
      <c r="B185" s="22">
        <v>1452.15</v>
      </c>
      <c r="C185" s="22">
        <v>3</v>
      </c>
      <c r="D185" s="18">
        <f t="shared" si="22"/>
        <v>1455.15</v>
      </c>
      <c r="E185" s="22">
        <v>0</v>
      </c>
      <c r="F185" s="18">
        <f t="shared" si="26"/>
        <v>0</v>
      </c>
      <c r="G185" s="18">
        <f t="shared" si="27"/>
        <v>0</v>
      </c>
      <c r="H185" s="22">
        <v>27.88</v>
      </c>
      <c r="I185" s="18">
        <f t="shared" si="28"/>
        <v>27.88</v>
      </c>
      <c r="J185" s="18">
        <f t="shared" si="29"/>
        <v>0</v>
      </c>
      <c r="K185" s="22">
        <v>43.36</v>
      </c>
      <c r="L185" s="18">
        <f t="shared" si="30"/>
        <v>43.36</v>
      </c>
      <c r="M185" s="18">
        <f t="shared" si="31"/>
        <v>0</v>
      </c>
      <c r="N185" s="15">
        <f t="shared" si="32"/>
        <v>71.239999999999995</v>
      </c>
      <c r="O185" s="15">
        <f t="shared" si="23"/>
        <v>71.239999999999995</v>
      </c>
      <c r="P185" s="15">
        <f t="shared" si="24"/>
        <v>0</v>
      </c>
      <c r="Q185" s="5">
        <f t="shared" si="25"/>
        <v>0</v>
      </c>
    </row>
    <row r="186" spans="1:17" x14ac:dyDescent="0.25">
      <c r="A186" s="7">
        <v>46273.666666666664</v>
      </c>
      <c r="B186" s="22">
        <v>573.30000000000007</v>
      </c>
      <c r="C186" s="22">
        <v>0</v>
      </c>
      <c r="D186" s="18">
        <f t="shared" si="22"/>
        <v>573.30000000000007</v>
      </c>
      <c r="E186" s="22">
        <v>0</v>
      </c>
      <c r="F186" s="18">
        <f t="shared" si="26"/>
        <v>0</v>
      </c>
      <c r="G186" s="18">
        <f t="shared" si="27"/>
        <v>0</v>
      </c>
      <c r="H186" s="22">
        <v>86.8</v>
      </c>
      <c r="I186" s="18">
        <f t="shared" si="28"/>
        <v>86.8</v>
      </c>
      <c r="J186" s="18">
        <f t="shared" si="29"/>
        <v>0</v>
      </c>
      <c r="K186" s="22">
        <v>43</v>
      </c>
      <c r="L186" s="18">
        <f t="shared" si="30"/>
        <v>43</v>
      </c>
      <c r="M186" s="18">
        <f t="shared" si="31"/>
        <v>0</v>
      </c>
      <c r="N186" s="15">
        <f t="shared" si="32"/>
        <v>129.80000000000001</v>
      </c>
      <c r="O186" s="15">
        <f t="shared" si="23"/>
        <v>129.80000000000001</v>
      </c>
      <c r="P186" s="15">
        <f t="shared" si="24"/>
        <v>0</v>
      </c>
      <c r="Q186" s="5">
        <f t="shared" si="25"/>
        <v>0</v>
      </c>
    </row>
    <row r="187" spans="1:17" x14ac:dyDescent="0.25">
      <c r="A187" s="7">
        <v>46273.708333333336</v>
      </c>
      <c r="B187" s="22">
        <v>22.05</v>
      </c>
      <c r="C187" s="22">
        <v>0</v>
      </c>
      <c r="D187" s="18">
        <f t="shared" si="22"/>
        <v>22.05</v>
      </c>
      <c r="E187" s="22">
        <v>170.1</v>
      </c>
      <c r="F187" s="18">
        <f t="shared" si="26"/>
        <v>14.377843882131515</v>
      </c>
      <c r="G187" s="18">
        <f t="shared" si="27"/>
        <v>155.72215611786848</v>
      </c>
      <c r="H187" s="22">
        <v>57.4</v>
      </c>
      <c r="I187" s="18">
        <f t="shared" si="28"/>
        <v>4.851782709196641</v>
      </c>
      <c r="J187" s="18">
        <f t="shared" si="29"/>
        <v>52.548217290803358</v>
      </c>
      <c r="K187" s="22">
        <v>33.366999999999997</v>
      </c>
      <c r="L187" s="18">
        <f t="shared" si="30"/>
        <v>2.8203734086718555</v>
      </c>
      <c r="M187" s="18">
        <f t="shared" si="31"/>
        <v>30.546626591328142</v>
      </c>
      <c r="N187" s="15">
        <f t="shared" si="32"/>
        <v>260.86700000000002</v>
      </c>
      <c r="O187" s="15">
        <f t="shared" si="23"/>
        <v>22.050000000000011</v>
      </c>
      <c r="P187" s="15">
        <f t="shared" si="24"/>
        <v>238.81700000000001</v>
      </c>
      <c r="Q187" s="5">
        <f t="shared" si="25"/>
        <v>0.91547416882932675</v>
      </c>
    </row>
    <row r="188" spans="1:17" x14ac:dyDescent="0.25">
      <c r="A188" s="7">
        <v>46273.75</v>
      </c>
      <c r="B188" s="22">
        <v>31.5</v>
      </c>
      <c r="C188" s="22">
        <v>0</v>
      </c>
      <c r="D188" s="18">
        <f t="shared" si="22"/>
        <v>31.5</v>
      </c>
      <c r="E188" s="22">
        <v>63</v>
      </c>
      <c r="F188" s="18">
        <f t="shared" si="26"/>
        <v>13.290872194651506</v>
      </c>
      <c r="G188" s="18">
        <f t="shared" si="27"/>
        <v>49.709127805348494</v>
      </c>
      <c r="H188" s="22">
        <v>45.28</v>
      </c>
      <c r="I188" s="18">
        <f t="shared" si="28"/>
        <v>9.5525506821241279</v>
      </c>
      <c r="J188" s="18">
        <f t="shared" si="29"/>
        <v>35.727449317875873</v>
      </c>
      <c r="K188" s="22">
        <v>41.033000000000001</v>
      </c>
      <c r="L188" s="18">
        <f t="shared" si="30"/>
        <v>8.6565771232243662</v>
      </c>
      <c r="M188" s="18">
        <f t="shared" si="31"/>
        <v>32.376422876775635</v>
      </c>
      <c r="N188" s="15">
        <f t="shared" si="32"/>
        <v>149.31299999999999</v>
      </c>
      <c r="O188" s="15">
        <f t="shared" si="23"/>
        <v>31.5</v>
      </c>
      <c r="P188" s="15">
        <f t="shared" si="24"/>
        <v>117.81299999999999</v>
      </c>
      <c r="Q188" s="5">
        <f t="shared" si="25"/>
        <v>0.78903377468807134</v>
      </c>
    </row>
    <row r="189" spans="1:17" x14ac:dyDescent="0.25">
      <c r="A189" s="7">
        <v>46273.791666666664</v>
      </c>
      <c r="B189" s="22">
        <v>0</v>
      </c>
      <c r="C189" s="22">
        <v>0</v>
      </c>
      <c r="D189" s="18">
        <f t="shared" si="22"/>
        <v>0</v>
      </c>
      <c r="E189" s="22">
        <v>170.1</v>
      </c>
      <c r="F189" s="18">
        <f t="shared" si="26"/>
        <v>0</v>
      </c>
      <c r="G189" s="18">
        <f t="shared" si="27"/>
        <v>170.1</v>
      </c>
      <c r="H189" s="22">
        <v>46.6</v>
      </c>
      <c r="I189" s="18">
        <f t="shared" si="28"/>
        <v>0</v>
      </c>
      <c r="J189" s="18">
        <f t="shared" si="29"/>
        <v>46.6</v>
      </c>
      <c r="K189" s="22">
        <v>16.088000000000001</v>
      </c>
      <c r="L189" s="18">
        <f t="shared" si="30"/>
        <v>0</v>
      </c>
      <c r="M189" s="18">
        <f t="shared" si="31"/>
        <v>16.088000000000001</v>
      </c>
      <c r="N189" s="15">
        <f t="shared" si="32"/>
        <v>232.78799999999998</v>
      </c>
      <c r="O189" s="15">
        <f t="shared" si="23"/>
        <v>0</v>
      </c>
      <c r="P189" s="15">
        <f t="shared" si="24"/>
        <v>232.78799999999998</v>
      </c>
      <c r="Q189" s="5">
        <f t="shared" si="25"/>
        <v>1</v>
      </c>
    </row>
    <row r="190" spans="1:17" x14ac:dyDescent="0.25">
      <c r="A190" s="7">
        <v>46273.833333333336</v>
      </c>
      <c r="B190" s="22">
        <v>0</v>
      </c>
      <c r="C190" s="22">
        <v>0</v>
      </c>
      <c r="D190" s="18">
        <f t="shared" si="22"/>
        <v>0</v>
      </c>
      <c r="E190" s="22">
        <v>403.2</v>
      </c>
      <c r="F190" s="18">
        <f t="shared" si="26"/>
        <v>0</v>
      </c>
      <c r="G190" s="18">
        <f t="shared" si="27"/>
        <v>403.2</v>
      </c>
      <c r="H190" s="22">
        <v>46.72</v>
      </c>
      <c r="I190" s="18">
        <f t="shared" si="28"/>
        <v>0</v>
      </c>
      <c r="J190" s="18">
        <f t="shared" si="29"/>
        <v>46.72</v>
      </c>
      <c r="K190" s="22">
        <v>13.045</v>
      </c>
      <c r="L190" s="18">
        <f t="shared" si="30"/>
        <v>0</v>
      </c>
      <c r="M190" s="18">
        <f t="shared" si="31"/>
        <v>13.045</v>
      </c>
      <c r="N190" s="15">
        <f t="shared" si="32"/>
        <v>462.96499999999997</v>
      </c>
      <c r="O190" s="15">
        <f t="shared" si="23"/>
        <v>0</v>
      </c>
      <c r="P190" s="15">
        <f t="shared" si="24"/>
        <v>462.96499999999997</v>
      </c>
      <c r="Q190" s="5">
        <f t="shared" si="25"/>
        <v>1</v>
      </c>
    </row>
    <row r="191" spans="1:17" x14ac:dyDescent="0.25">
      <c r="A191" s="7">
        <v>46273.875</v>
      </c>
      <c r="B191" s="22">
        <v>0</v>
      </c>
      <c r="C191" s="22">
        <v>0</v>
      </c>
      <c r="D191" s="18">
        <f t="shared" si="22"/>
        <v>0</v>
      </c>
      <c r="E191" s="22">
        <v>349.65000000000003</v>
      </c>
      <c r="F191" s="18">
        <f t="shared" si="26"/>
        <v>0</v>
      </c>
      <c r="G191" s="18">
        <f t="shared" si="27"/>
        <v>349.65000000000003</v>
      </c>
      <c r="H191" s="22">
        <v>42.64</v>
      </c>
      <c r="I191" s="18">
        <f t="shared" si="28"/>
        <v>0</v>
      </c>
      <c r="J191" s="18">
        <f t="shared" si="29"/>
        <v>42.64</v>
      </c>
      <c r="K191" s="22">
        <v>8.7859999999999996</v>
      </c>
      <c r="L191" s="18">
        <f t="shared" si="30"/>
        <v>0</v>
      </c>
      <c r="M191" s="18">
        <f t="shared" si="31"/>
        <v>8.7859999999999996</v>
      </c>
      <c r="N191" s="15">
        <f t="shared" si="32"/>
        <v>401.07600000000002</v>
      </c>
      <c r="O191" s="15">
        <f t="shared" si="23"/>
        <v>0</v>
      </c>
      <c r="P191" s="15">
        <f t="shared" si="24"/>
        <v>401.07600000000002</v>
      </c>
      <c r="Q191" s="5">
        <f t="shared" si="25"/>
        <v>1</v>
      </c>
    </row>
    <row r="192" spans="1:17" x14ac:dyDescent="0.25">
      <c r="A192" s="7">
        <v>46273.916666666664</v>
      </c>
      <c r="B192" s="22">
        <v>0</v>
      </c>
      <c r="C192" s="22">
        <v>0</v>
      </c>
      <c r="D192" s="18">
        <f t="shared" si="22"/>
        <v>0</v>
      </c>
      <c r="E192" s="22">
        <v>311.85000000000002</v>
      </c>
      <c r="F192" s="18">
        <f t="shared" si="26"/>
        <v>0</v>
      </c>
      <c r="G192" s="18">
        <f t="shared" si="27"/>
        <v>311.85000000000002</v>
      </c>
      <c r="H192" s="22">
        <v>41.2</v>
      </c>
      <c r="I192" s="18">
        <f t="shared" si="28"/>
        <v>0</v>
      </c>
      <c r="J192" s="18">
        <f t="shared" si="29"/>
        <v>41.2</v>
      </c>
      <c r="K192" s="22">
        <v>2.8</v>
      </c>
      <c r="L192" s="18">
        <f t="shared" si="30"/>
        <v>0</v>
      </c>
      <c r="M192" s="18">
        <f t="shared" si="31"/>
        <v>2.8</v>
      </c>
      <c r="N192" s="15">
        <f t="shared" si="32"/>
        <v>355.85</v>
      </c>
      <c r="O192" s="15">
        <f t="shared" si="23"/>
        <v>0</v>
      </c>
      <c r="P192" s="15">
        <f t="shared" si="24"/>
        <v>355.85</v>
      </c>
      <c r="Q192" s="5">
        <f t="shared" si="25"/>
        <v>1</v>
      </c>
    </row>
    <row r="193" spans="1:17" x14ac:dyDescent="0.25">
      <c r="A193" s="7">
        <v>46273.958333333336</v>
      </c>
      <c r="B193" s="22">
        <v>0</v>
      </c>
      <c r="C193" s="22">
        <v>0</v>
      </c>
      <c r="D193" s="18">
        <f t="shared" si="22"/>
        <v>0</v>
      </c>
      <c r="E193" s="22">
        <v>170.1</v>
      </c>
      <c r="F193" s="18">
        <f t="shared" si="26"/>
        <v>0</v>
      </c>
      <c r="G193" s="18">
        <f t="shared" si="27"/>
        <v>170.1</v>
      </c>
      <c r="H193" s="22">
        <v>43.72</v>
      </c>
      <c r="I193" s="18">
        <f t="shared" si="28"/>
        <v>0</v>
      </c>
      <c r="J193" s="18">
        <f t="shared" si="29"/>
        <v>43.72</v>
      </c>
      <c r="K193" s="22">
        <v>2.92</v>
      </c>
      <c r="L193" s="18">
        <f t="shared" si="30"/>
        <v>0</v>
      </c>
      <c r="M193" s="18">
        <f t="shared" si="31"/>
        <v>2.92</v>
      </c>
      <c r="N193" s="15">
        <f t="shared" si="32"/>
        <v>216.73999999999998</v>
      </c>
      <c r="O193" s="15">
        <f t="shared" si="23"/>
        <v>0</v>
      </c>
      <c r="P193" s="15">
        <f t="shared" si="24"/>
        <v>216.73999999999998</v>
      </c>
      <c r="Q193" s="5">
        <f t="shared" si="25"/>
        <v>1</v>
      </c>
    </row>
    <row r="194" spans="1:17" x14ac:dyDescent="0.25">
      <c r="A194" s="7">
        <v>46274</v>
      </c>
      <c r="B194" s="22">
        <v>0</v>
      </c>
      <c r="C194" s="22">
        <v>0</v>
      </c>
      <c r="D194" s="18">
        <f t="shared" ref="D194:D257" si="33">+B194+C194</f>
        <v>0</v>
      </c>
      <c r="E194" s="22">
        <v>437.85</v>
      </c>
      <c r="F194" s="18">
        <f t="shared" si="26"/>
        <v>0</v>
      </c>
      <c r="G194" s="18">
        <f t="shared" si="27"/>
        <v>437.85</v>
      </c>
      <c r="H194" s="22">
        <v>40.599999999999994</v>
      </c>
      <c r="I194" s="18">
        <f t="shared" si="28"/>
        <v>0</v>
      </c>
      <c r="J194" s="18">
        <f t="shared" si="29"/>
        <v>40.599999999999994</v>
      </c>
      <c r="K194" s="22">
        <v>2.8</v>
      </c>
      <c r="L194" s="18">
        <f t="shared" si="30"/>
        <v>0</v>
      </c>
      <c r="M194" s="18">
        <f t="shared" si="31"/>
        <v>2.8</v>
      </c>
      <c r="N194" s="15">
        <f t="shared" si="32"/>
        <v>481.25000000000006</v>
      </c>
      <c r="O194" s="15">
        <f t="shared" ref="O194:O257" si="34">+N194-P194</f>
        <v>0</v>
      </c>
      <c r="P194" s="15">
        <f t="shared" ref="P194:P257" si="35">+IF(N194&gt;D194,N194-D194,0)</f>
        <v>481.25000000000006</v>
      </c>
      <c r="Q194" s="5">
        <f t="shared" ref="Q194:Q257" si="36">+IF(P194=0,P194,P194/N194)</f>
        <v>1</v>
      </c>
    </row>
    <row r="195" spans="1:17" x14ac:dyDescent="0.25">
      <c r="A195" s="7">
        <v>46274.041666666664</v>
      </c>
      <c r="B195" s="22">
        <v>0</v>
      </c>
      <c r="C195" s="22">
        <v>0</v>
      </c>
      <c r="D195" s="18">
        <f t="shared" si="33"/>
        <v>0</v>
      </c>
      <c r="E195" s="22">
        <v>119.7</v>
      </c>
      <c r="F195" s="18">
        <f t="shared" ref="F195:F258" si="37">+E195-G195</f>
        <v>0</v>
      </c>
      <c r="G195" s="18">
        <f t="shared" ref="G195:G258" si="38">+E195*Q195</f>
        <v>119.7</v>
      </c>
      <c r="H195" s="22">
        <v>48.28</v>
      </c>
      <c r="I195" s="18">
        <f t="shared" ref="I195:I258" si="39">+H195-J195</f>
        <v>0</v>
      </c>
      <c r="J195" s="18">
        <f t="shared" ref="J195:J258" si="40">+H195*Q195</f>
        <v>48.28</v>
      </c>
      <c r="K195" s="22">
        <v>2.8</v>
      </c>
      <c r="L195" s="18">
        <f t="shared" ref="L195:L258" si="41">+K195-M195</f>
        <v>0</v>
      </c>
      <c r="M195" s="18">
        <f t="shared" ref="M195:M258" si="42">+K195*Q195</f>
        <v>2.8</v>
      </c>
      <c r="N195" s="15">
        <f t="shared" ref="N195:N258" si="43">+E195+H195+K195</f>
        <v>170.78000000000003</v>
      </c>
      <c r="O195" s="15">
        <f t="shared" si="34"/>
        <v>0</v>
      </c>
      <c r="P195" s="15">
        <f t="shared" si="35"/>
        <v>170.78000000000003</v>
      </c>
      <c r="Q195" s="5">
        <f t="shared" si="36"/>
        <v>1</v>
      </c>
    </row>
    <row r="196" spans="1:17" x14ac:dyDescent="0.25">
      <c r="A196" s="7">
        <v>46274.083333333336</v>
      </c>
      <c r="B196" s="22">
        <v>0</v>
      </c>
      <c r="C196" s="22">
        <v>0</v>
      </c>
      <c r="D196" s="18">
        <f t="shared" si="33"/>
        <v>0</v>
      </c>
      <c r="E196" s="22">
        <v>428.4</v>
      </c>
      <c r="F196" s="18">
        <f t="shared" si="37"/>
        <v>0</v>
      </c>
      <c r="G196" s="18">
        <f t="shared" si="38"/>
        <v>428.4</v>
      </c>
      <c r="H196" s="22">
        <v>54.04</v>
      </c>
      <c r="I196" s="18">
        <f t="shared" si="39"/>
        <v>0</v>
      </c>
      <c r="J196" s="18">
        <f t="shared" si="40"/>
        <v>54.04</v>
      </c>
      <c r="K196" s="22">
        <v>2.8</v>
      </c>
      <c r="L196" s="18">
        <f t="shared" si="41"/>
        <v>0</v>
      </c>
      <c r="M196" s="18">
        <f t="shared" si="42"/>
        <v>2.8</v>
      </c>
      <c r="N196" s="15">
        <f t="shared" si="43"/>
        <v>485.24</v>
      </c>
      <c r="O196" s="15">
        <f t="shared" si="34"/>
        <v>0</v>
      </c>
      <c r="P196" s="15">
        <f t="shared" si="35"/>
        <v>485.24</v>
      </c>
      <c r="Q196" s="5">
        <f t="shared" si="36"/>
        <v>1</v>
      </c>
    </row>
    <row r="197" spans="1:17" x14ac:dyDescent="0.25">
      <c r="A197" s="7">
        <v>46274.125</v>
      </c>
      <c r="B197" s="22">
        <v>0</v>
      </c>
      <c r="C197" s="22">
        <v>0</v>
      </c>
      <c r="D197" s="18">
        <f t="shared" si="33"/>
        <v>0</v>
      </c>
      <c r="E197" s="22">
        <v>406.34999999999997</v>
      </c>
      <c r="F197" s="18">
        <f t="shared" si="37"/>
        <v>0</v>
      </c>
      <c r="G197" s="18">
        <f t="shared" si="38"/>
        <v>406.34999999999997</v>
      </c>
      <c r="H197" s="22">
        <v>58.96</v>
      </c>
      <c r="I197" s="18">
        <f t="shared" si="39"/>
        <v>0</v>
      </c>
      <c r="J197" s="18">
        <f t="shared" si="40"/>
        <v>58.96</v>
      </c>
      <c r="K197" s="22">
        <v>2.8</v>
      </c>
      <c r="L197" s="18">
        <f t="shared" si="41"/>
        <v>0</v>
      </c>
      <c r="M197" s="18">
        <f t="shared" si="42"/>
        <v>2.8</v>
      </c>
      <c r="N197" s="15">
        <f t="shared" si="43"/>
        <v>468.10999999999996</v>
      </c>
      <c r="O197" s="15">
        <f t="shared" si="34"/>
        <v>0</v>
      </c>
      <c r="P197" s="15">
        <f t="shared" si="35"/>
        <v>468.10999999999996</v>
      </c>
      <c r="Q197" s="5">
        <f t="shared" si="36"/>
        <v>1</v>
      </c>
    </row>
    <row r="198" spans="1:17" x14ac:dyDescent="0.25">
      <c r="A198" s="7">
        <v>46274.166666666664</v>
      </c>
      <c r="B198" s="22">
        <v>0</v>
      </c>
      <c r="C198" s="22">
        <v>0</v>
      </c>
      <c r="D198" s="18">
        <f t="shared" si="33"/>
        <v>0</v>
      </c>
      <c r="E198" s="22">
        <v>393.75</v>
      </c>
      <c r="F198" s="18">
        <f t="shared" si="37"/>
        <v>0</v>
      </c>
      <c r="G198" s="18">
        <f t="shared" si="38"/>
        <v>393.75</v>
      </c>
      <c r="H198" s="22">
        <v>42.4</v>
      </c>
      <c r="I198" s="18">
        <f t="shared" si="39"/>
        <v>0</v>
      </c>
      <c r="J198" s="18">
        <f t="shared" si="40"/>
        <v>42.4</v>
      </c>
      <c r="K198" s="22">
        <v>2.8</v>
      </c>
      <c r="L198" s="18">
        <f t="shared" si="41"/>
        <v>0</v>
      </c>
      <c r="M198" s="18">
        <f t="shared" si="42"/>
        <v>2.8</v>
      </c>
      <c r="N198" s="15">
        <f t="shared" si="43"/>
        <v>438.95</v>
      </c>
      <c r="O198" s="15">
        <f t="shared" si="34"/>
        <v>0</v>
      </c>
      <c r="P198" s="15">
        <f t="shared" si="35"/>
        <v>438.95</v>
      </c>
      <c r="Q198" s="5">
        <f t="shared" si="36"/>
        <v>1</v>
      </c>
    </row>
    <row r="199" spans="1:17" x14ac:dyDescent="0.25">
      <c r="A199" s="7">
        <v>46274.208333333336</v>
      </c>
      <c r="B199" s="22">
        <v>0</v>
      </c>
      <c r="C199" s="22">
        <v>0</v>
      </c>
      <c r="D199" s="18">
        <f t="shared" si="33"/>
        <v>0</v>
      </c>
      <c r="E199" s="22">
        <v>415.8</v>
      </c>
      <c r="F199" s="18">
        <f t="shared" si="37"/>
        <v>0</v>
      </c>
      <c r="G199" s="18">
        <f t="shared" si="38"/>
        <v>415.8</v>
      </c>
      <c r="H199" s="22">
        <v>46</v>
      </c>
      <c r="I199" s="18">
        <f t="shared" si="39"/>
        <v>0</v>
      </c>
      <c r="J199" s="18">
        <f t="shared" si="40"/>
        <v>46</v>
      </c>
      <c r="K199" s="22">
        <v>3.64</v>
      </c>
      <c r="L199" s="18">
        <f t="shared" si="41"/>
        <v>0</v>
      </c>
      <c r="M199" s="18">
        <f t="shared" si="42"/>
        <v>3.64</v>
      </c>
      <c r="N199" s="15">
        <f t="shared" si="43"/>
        <v>465.44</v>
      </c>
      <c r="O199" s="15">
        <f t="shared" si="34"/>
        <v>0</v>
      </c>
      <c r="P199" s="15">
        <f t="shared" si="35"/>
        <v>465.44</v>
      </c>
      <c r="Q199" s="5">
        <f t="shared" si="36"/>
        <v>1</v>
      </c>
    </row>
    <row r="200" spans="1:17" x14ac:dyDescent="0.25">
      <c r="A200" s="7">
        <v>46274.25</v>
      </c>
      <c r="B200" s="22">
        <v>3.15</v>
      </c>
      <c r="C200" s="22">
        <v>0</v>
      </c>
      <c r="D200" s="18">
        <f t="shared" si="33"/>
        <v>3.15</v>
      </c>
      <c r="E200" s="22">
        <v>63</v>
      </c>
      <c r="F200" s="18">
        <f t="shared" si="37"/>
        <v>1.8001632801161094</v>
      </c>
      <c r="G200" s="18">
        <f t="shared" si="38"/>
        <v>61.199836719883891</v>
      </c>
      <c r="H200" s="22">
        <v>41.68</v>
      </c>
      <c r="I200" s="18">
        <f t="shared" si="39"/>
        <v>1.1909651669085619</v>
      </c>
      <c r="J200" s="18">
        <f t="shared" si="40"/>
        <v>40.489034833091438</v>
      </c>
      <c r="K200" s="22">
        <v>5.56</v>
      </c>
      <c r="L200" s="18">
        <f t="shared" si="41"/>
        <v>0.1588715529753264</v>
      </c>
      <c r="M200" s="18">
        <f t="shared" si="42"/>
        <v>5.4011284470246732</v>
      </c>
      <c r="N200" s="15">
        <f t="shared" si="43"/>
        <v>110.24000000000001</v>
      </c>
      <c r="O200" s="15">
        <f t="shared" si="34"/>
        <v>3.1500000000000057</v>
      </c>
      <c r="P200" s="15">
        <f t="shared" si="35"/>
        <v>107.09</v>
      </c>
      <c r="Q200" s="5">
        <f t="shared" si="36"/>
        <v>0.97142597968069666</v>
      </c>
    </row>
    <row r="201" spans="1:17" x14ac:dyDescent="0.25">
      <c r="A201" s="7">
        <v>46274.291666666664</v>
      </c>
      <c r="B201" s="22">
        <v>374.85</v>
      </c>
      <c r="C201" s="22">
        <v>0.12000000000000001</v>
      </c>
      <c r="D201" s="18">
        <f t="shared" si="33"/>
        <v>374.97</v>
      </c>
      <c r="E201" s="22">
        <v>0</v>
      </c>
      <c r="F201" s="18">
        <f t="shared" si="37"/>
        <v>0</v>
      </c>
      <c r="G201" s="18">
        <f t="shared" si="38"/>
        <v>0</v>
      </c>
      <c r="H201" s="22">
        <v>38.92</v>
      </c>
      <c r="I201" s="18">
        <f t="shared" si="39"/>
        <v>38.92</v>
      </c>
      <c r="J201" s="18">
        <f t="shared" si="40"/>
        <v>0</v>
      </c>
      <c r="K201" s="22">
        <v>2.56</v>
      </c>
      <c r="L201" s="18">
        <f t="shared" si="41"/>
        <v>2.56</v>
      </c>
      <c r="M201" s="18">
        <f t="shared" si="42"/>
        <v>0</v>
      </c>
      <c r="N201" s="15">
        <f t="shared" si="43"/>
        <v>41.480000000000004</v>
      </c>
      <c r="O201" s="15">
        <f t="shared" si="34"/>
        <v>41.480000000000004</v>
      </c>
      <c r="P201" s="15">
        <f t="shared" si="35"/>
        <v>0</v>
      </c>
      <c r="Q201" s="5">
        <f t="shared" si="36"/>
        <v>0</v>
      </c>
    </row>
    <row r="202" spans="1:17" x14ac:dyDescent="0.25">
      <c r="A202" s="7">
        <v>46274.333333333336</v>
      </c>
      <c r="B202" s="22">
        <v>400.05</v>
      </c>
      <c r="C202" s="22">
        <v>0.24000000000000002</v>
      </c>
      <c r="D202" s="18">
        <f t="shared" si="33"/>
        <v>400.29</v>
      </c>
      <c r="E202" s="22">
        <v>0</v>
      </c>
      <c r="F202" s="18">
        <f t="shared" si="37"/>
        <v>0</v>
      </c>
      <c r="G202" s="18">
        <f t="shared" si="38"/>
        <v>0</v>
      </c>
      <c r="H202" s="22">
        <v>92.2</v>
      </c>
      <c r="I202" s="18">
        <f t="shared" si="39"/>
        <v>92.2</v>
      </c>
      <c r="J202" s="18">
        <f t="shared" si="40"/>
        <v>0</v>
      </c>
      <c r="K202" s="22">
        <v>7.84</v>
      </c>
      <c r="L202" s="18">
        <f t="shared" si="41"/>
        <v>7.84</v>
      </c>
      <c r="M202" s="18">
        <f t="shared" si="42"/>
        <v>0</v>
      </c>
      <c r="N202" s="15">
        <f t="shared" si="43"/>
        <v>100.04</v>
      </c>
      <c r="O202" s="15">
        <f t="shared" si="34"/>
        <v>100.04</v>
      </c>
      <c r="P202" s="15">
        <f t="shared" si="35"/>
        <v>0</v>
      </c>
      <c r="Q202" s="5">
        <f t="shared" si="36"/>
        <v>0</v>
      </c>
    </row>
    <row r="203" spans="1:17" x14ac:dyDescent="0.25">
      <c r="A203" s="7">
        <v>46274.375</v>
      </c>
      <c r="B203" s="22">
        <v>1089.9000000000001</v>
      </c>
      <c r="C203" s="22">
        <v>0</v>
      </c>
      <c r="D203" s="18">
        <f t="shared" si="33"/>
        <v>1089.9000000000001</v>
      </c>
      <c r="E203" s="22">
        <v>0</v>
      </c>
      <c r="F203" s="18">
        <f t="shared" si="37"/>
        <v>0</v>
      </c>
      <c r="G203" s="18">
        <f t="shared" si="38"/>
        <v>0</v>
      </c>
      <c r="H203" s="22">
        <v>92.2</v>
      </c>
      <c r="I203" s="18">
        <f t="shared" si="39"/>
        <v>92.2</v>
      </c>
      <c r="J203" s="18">
        <f t="shared" si="40"/>
        <v>0</v>
      </c>
      <c r="K203" s="22">
        <v>38.440000000000005</v>
      </c>
      <c r="L203" s="18">
        <f t="shared" si="41"/>
        <v>38.440000000000005</v>
      </c>
      <c r="M203" s="18">
        <f t="shared" si="42"/>
        <v>0</v>
      </c>
      <c r="N203" s="15">
        <f t="shared" si="43"/>
        <v>130.64000000000001</v>
      </c>
      <c r="O203" s="15">
        <f t="shared" si="34"/>
        <v>130.64000000000001</v>
      </c>
      <c r="P203" s="15">
        <f t="shared" si="35"/>
        <v>0</v>
      </c>
      <c r="Q203" s="5">
        <f t="shared" si="36"/>
        <v>0</v>
      </c>
    </row>
    <row r="204" spans="1:17" x14ac:dyDescent="0.25">
      <c r="A204" s="7">
        <v>46274.416666666664</v>
      </c>
      <c r="B204" s="22">
        <v>1864.8</v>
      </c>
      <c r="C204" s="22">
        <v>7.08</v>
      </c>
      <c r="D204" s="18">
        <f t="shared" si="33"/>
        <v>1871.8799999999999</v>
      </c>
      <c r="E204" s="22">
        <v>0</v>
      </c>
      <c r="F204" s="18">
        <f t="shared" si="37"/>
        <v>0</v>
      </c>
      <c r="G204" s="18">
        <f t="shared" si="38"/>
        <v>0</v>
      </c>
      <c r="H204" s="22">
        <v>32.919999999999995</v>
      </c>
      <c r="I204" s="18">
        <f t="shared" si="39"/>
        <v>32.919999999999995</v>
      </c>
      <c r="J204" s="18">
        <f t="shared" si="40"/>
        <v>0</v>
      </c>
      <c r="K204" s="22">
        <v>30.04</v>
      </c>
      <c r="L204" s="18">
        <f t="shared" si="41"/>
        <v>30.04</v>
      </c>
      <c r="M204" s="18">
        <f t="shared" si="42"/>
        <v>0</v>
      </c>
      <c r="N204" s="15">
        <f t="shared" si="43"/>
        <v>62.959999999999994</v>
      </c>
      <c r="O204" s="15">
        <f t="shared" si="34"/>
        <v>62.959999999999994</v>
      </c>
      <c r="P204" s="15">
        <f t="shared" si="35"/>
        <v>0</v>
      </c>
      <c r="Q204" s="5">
        <f t="shared" si="36"/>
        <v>0</v>
      </c>
    </row>
    <row r="205" spans="1:17" x14ac:dyDescent="0.25">
      <c r="A205" s="7">
        <v>46274.458333333336</v>
      </c>
      <c r="B205" s="22">
        <v>1899.45</v>
      </c>
      <c r="C205" s="22">
        <v>5.52</v>
      </c>
      <c r="D205" s="18">
        <f t="shared" si="33"/>
        <v>1904.97</v>
      </c>
      <c r="E205" s="22">
        <v>0</v>
      </c>
      <c r="F205" s="18">
        <f t="shared" si="37"/>
        <v>0</v>
      </c>
      <c r="G205" s="18">
        <f t="shared" si="38"/>
        <v>0</v>
      </c>
      <c r="H205" s="22">
        <v>24.400000000000002</v>
      </c>
      <c r="I205" s="18">
        <f t="shared" si="39"/>
        <v>24.400000000000002</v>
      </c>
      <c r="J205" s="18">
        <f t="shared" si="40"/>
        <v>0</v>
      </c>
      <c r="K205" s="22">
        <v>24.88</v>
      </c>
      <c r="L205" s="18">
        <f t="shared" si="41"/>
        <v>24.88</v>
      </c>
      <c r="M205" s="18">
        <f t="shared" si="42"/>
        <v>0</v>
      </c>
      <c r="N205" s="15">
        <f t="shared" si="43"/>
        <v>49.28</v>
      </c>
      <c r="O205" s="15">
        <f t="shared" si="34"/>
        <v>49.28</v>
      </c>
      <c r="P205" s="15">
        <f t="shared" si="35"/>
        <v>0</v>
      </c>
      <c r="Q205" s="5">
        <f t="shared" si="36"/>
        <v>0</v>
      </c>
    </row>
    <row r="206" spans="1:17" x14ac:dyDescent="0.25">
      <c r="A206" s="7">
        <v>46274.5</v>
      </c>
      <c r="B206" s="22">
        <v>2129.4</v>
      </c>
      <c r="C206" s="22">
        <v>3.96</v>
      </c>
      <c r="D206" s="18">
        <f t="shared" si="33"/>
        <v>2133.36</v>
      </c>
      <c r="E206" s="22">
        <v>0</v>
      </c>
      <c r="F206" s="18">
        <f t="shared" si="37"/>
        <v>0</v>
      </c>
      <c r="G206" s="18">
        <f t="shared" si="38"/>
        <v>0</v>
      </c>
      <c r="H206" s="22">
        <v>39.64</v>
      </c>
      <c r="I206" s="18">
        <f t="shared" si="39"/>
        <v>39.64</v>
      </c>
      <c r="J206" s="18">
        <f t="shared" si="40"/>
        <v>0</v>
      </c>
      <c r="K206" s="22">
        <v>29.44</v>
      </c>
      <c r="L206" s="18">
        <f t="shared" si="41"/>
        <v>29.44</v>
      </c>
      <c r="M206" s="18">
        <f t="shared" si="42"/>
        <v>0</v>
      </c>
      <c r="N206" s="15">
        <f t="shared" si="43"/>
        <v>69.08</v>
      </c>
      <c r="O206" s="15">
        <f t="shared" si="34"/>
        <v>69.08</v>
      </c>
      <c r="P206" s="15">
        <f t="shared" si="35"/>
        <v>0</v>
      </c>
      <c r="Q206" s="5">
        <f t="shared" si="36"/>
        <v>0</v>
      </c>
    </row>
    <row r="207" spans="1:17" x14ac:dyDescent="0.25">
      <c r="A207" s="7">
        <v>46274.541666666664</v>
      </c>
      <c r="B207" s="22">
        <v>2387.7000000000003</v>
      </c>
      <c r="C207" s="22">
        <v>17.64</v>
      </c>
      <c r="D207" s="18">
        <f t="shared" si="33"/>
        <v>2405.34</v>
      </c>
      <c r="E207" s="22">
        <v>0</v>
      </c>
      <c r="F207" s="18">
        <f t="shared" si="37"/>
        <v>0</v>
      </c>
      <c r="G207" s="18">
        <f t="shared" si="38"/>
        <v>0</v>
      </c>
      <c r="H207" s="22">
        <v>10</v>
      </c>
      <c r="I207" s="18">
        <f t="shared" si="39"/>
        <v>10</v>
      </c>
      <c r="J207" s="18">
        <f t="shared" si="40"/>
        <v>0</v>
      </c>
      <c r="K207" s="22">
        <v>22.96</v>
      </c>
      <c r="L207" s="18">
        <f t="shared" si="41"/>
        <v>22.96</v>
      </c>
      <c r="M207" s="18">
        <f t="shared" si="42"/>
        <v>0</v>
      </c>
      <c r="N207" s="15">
        <f t="shared" si="43"/>
        <v>32.96</v>
      </c>
      <c r="O207" s="15">
        <f t="shared" si="34"/>
        <v>32.96</v>
      </c>
      <c r="P207" s="15">
        <f t="shared" si="35"/>
        <v>0</v>
      </c>
      <c r="Q207" s="5">
        <f t="shared" si="36"/>
        <v>0</v>
      </c>
    </row>
    <row r="208" spans="1:17" x14ac:dyDescent="0.25">
      <c r="A208" s="7">
        <v>46274.583333333336</v>
      </c>
      <c r="B208" s="22">
        <v>1751.4</v>
      </c>
      <c r="C208" s="22">
        <v>9.9600000000000009</v>
      </c>
      <c r="D208" s="18">
        <f t="shared" si="33"/>
        <v>1761.3600000000001</v>
      </c>
      <c r="E208" s="22">
        <v>0</v>
      </c>
      <c r="F208" s="18">
        <f t="shared" si="37"/>
        <v>0</v>
      </c>
      <c r="G208" s="18">
        <f t="shared" si="38"/>
        <v>0</v>
      </c>
      <c r="H208" s="22">
        <v>20.440000000000001</v>
      </c>
      <c r="I208" s="18">
        <f t="shared" si="39"/>
        <v>20.440000000000001</v>
      </c>
      <c r="J208" s="18">
        <f t="shared" si="40"/>
        <v>0</v>
      </c>
      <c r="K208" s="22">
        <v>15.520000000000001</v>
      </c>
      <c r="L208" s="18">
        <f t="shared" si="41"/>
        <v>15.520000000000001</v>
      </c>
      <c r="M208" s="18">
        <f t="shared" si="42"/>
        <v>0</v>
      </c>
      <c r="N208" s="15">
        <f t="shared" si="43"/>
        <v>35.96</v>
      </c>
      <c r="O208" s="15">
        <f t="shared" si="34"/>
        <v>35.96</v>
      </c>
      <c r="P208" s="15">
        <f t="shared" si="35"/>
        <v>0</v>
      </c>
      <c r="Q208" s="5">
        <f t="shared" si="36"/>
        <v>0</v>
      </c>
    </row>
    <row r="209" spans="1:17" x14ac:dyDescent="0.25">
      <c r="A209" s="7">
        <v>46274.625</v>
      </c>
      <c r="B209" s="22">
        <v>1234.8</v>
      </c>
      <c r="C209" s="22">
        <v>1.8</v>
      </c>
      <c r="D209" s="18">
        <f t="shared" si="33"/>
        <v>1236.5999999999999</v>
      </c>
      <c r="E209" s="22">
        <v>0</v>
      </c>
      <c r="F209" s="18">
        <f t="shared" si="37"/>
        <v>0</v>
      </c>
      <c r="G209" s="18">
        <f t="shared" si="38"/>
        <v>0</v>
      </c>
      <c r="H209" s="22">
        <v>31.96</v>
      </c>
      <c r="I209" s="18">
        <f t="shared" si="39"/>
        <v>31.96</v>
      </c>
      <c r="J209" s="18">
        <f t="shared" si="40"/>
        <v>0</v>
      </c>
      <c r="K209" s="22">
        <v>23.68</v>
      </c>
      <c r="L209" s="18">
        <f t="shared" si="41"/>
        <v>23.68</v>
      </c>
      <c r="M209" s="18">
        <f t="shared" si="42"/>
        <v>0</v>
      </c>
      <c r="N209" s="15">
        <f t="shared" si="43"/>
        <v>55.64</v>
      </c>
      <c r="O209" s="15">
        <f t="shared" si="34"/>
        <v>55.64</v>
      </c>
      <c r="P209" s="15">
        <f t="shared" si="35"/>
        <v>0</v>
      </c>
      <c r="Q209" s="5">
        <f t="shared" si="36"/>
        <v>0</v>
      </c>
    </row>
    <row r="210" spans="1:17" x14ac:dyDescent="0.25">
      <c r="A210" s="7">
        <v>46274.666666666664</v>
      </c>
      <c r="B210" s="22">
        <v>960.75</v>
      </c>
      <c r="C210" s="22">
        <v>0.24000000000000002</v>
      </c>
      <c r="D210" s="18">
        <f t="shared" si="33"/>
        <v>960.99</v>
      </c>
      <c r="E210" s="22">
        <v>0</v>
      </c>
      <c r="F210" s="18">
        <f t="shared" si="37"/>
        <v>0</v>
      </c>
      <c r="G210" s="18">
        <f t="shared" si="38"/>
        <v>0</v>
      </c>
      <c r="H210" s="22">
        <v>68.56</v>
      </c>
      <c r="I210" s="18">
        <f t="shared" si="39"/>
        <v>68.56</v>
      </c>
      <c r="J210" s="18">
        <f t="shared" si="40"/>
        <v>0</v>
      </c>
      <c r="K210" s="22">
        <v>19.36</v>
      </c>
      <c r="L210" s="18">
        <f t="shared" si="41"/>
        <v>19.36</v>
      </c>
      <c r="M210" s="18">
        <f t="shared" si="42"/>
        <v>0</v>
      </c>
      <c r="N210" s="15">
        <f t="shared" si="43"/>
        <v>87.92</v>
      </c>
      <c r="O210" s="15">
        <f t="shared" si="34"/>
        <v>87.92</v>
      </c>
      <c r="P210" s="15">
        <f t="shared" si="35"/>
        <v>0</v>
      </c>
      <c r="Q210" s="5">
        <f t="shared" si="36"/>
        <v>0</v>
      </c>
    </row>
    <row r="211" spans="1:17" x14ac:dyDescent="0.25">
      <c r="A211" s="7">
        <v>46274.708333333336</v>
      </c>
      <c r="B211" s="22">
        <v>327.60000000000002</v>
      </c>
      <c r="C211" s="22">
        <v>0</v>
      </c>
      <c r="D211" s="18">
        <f t="shared" si="33"/>
        <v>327.60000000000002</v>
      </c>
      <c r="E211" s="22">
        <v>3.15</v>
      </c>
      <c r="F211" s="18">
        <f t="shared" si="37"/>
        <v>3.15</v>
      </c>
      <c r="G211" s="18">
        <f t="shared" si="38"/>
        <v>0</v>
      </c>
      <c r="H211" s="22">
        <v>78.28</v>
      </c>
      <c r="I211" s="18">
        <f t="shared" si="39"/>
        <v>78.28</v>
      </c>
      <c r="J211" s="18">
        <f t="shared" si="40"/>
        <v>0</v>
      </c>
      <c r="K211" s="22">
        <v>35.314</v>
      </c>
      <c r="L211" s="18">
        <f t="shared" si="41"/>
        <v>35.314</v>
      </c>
      <c r="M211" s="18">
        <f t="shared" si="42"/>
        <v>0</v>
      </c>
      <c r="N211" s="15">
        <f t="shared" si="43"/>
        <v>116.744</v>
      </c>
      <c r="O211" s="15">
        <f t="shared" si="34"/>
        <v>116.744</v>
      </c>
      <c r="P211" s="15">
        <f t="shared" si="35"/>
        <v>0</v>
      </c>
      <c r="Q211" s="5">
        <f t="shared" si="36"/>
        <v>0</v>
      </c>
    </row>
    <row r="212" spans="1:17" x14ac:dyDescent="0.25">
      <c r="A212" s="7">
        <v>46274.75</v>
      </c>
      <c r="B212" s="22">
        <v>28.35</v>
      </c>
      <c r="C212" s="22">
        <v>0</v>
      </c>
      <c r="D212" s="18">
        <f t="shared" si="33"/>
        <v>28.35</v>
      </c>
      <c r="E212" s="22">
        <v>37.799999999999997</v>
      </c>
      <c r="F212" s="18">
        <f t="shared" si="37"/>
        <v>7.6476171445698853</v>
      </c>
      <c r="G212" s="18">
        <f t="shared" si="38"/>
        <v>30.152382855430112</v>
      </c>
      <c r="H212" s="22">
        <v>48.88</v>
      </c>
      <c r="I212" s="18">
        <f t="shared" si="39"/>
        <v>9.889299630332701</v>
      </c>
      <c r="J212" s="18">
        <f t="shared" si="40"/>
        <v>38.990700369667302</v>
      </c>
      <c r="K212" s="22">
        <v>53.445999999999998</v>
      </c>
      <c r="L212" s="18">
        <f t="shared" si="41"/>
        <v>10.813083225097408</v>
      </c>
      <c r="M212" s="18">
        <f t="shared" si="42"/>
        <v>42.63291677490259</v>
      </c>
      <c r="N212" s="15">
        <f t="shared" si="43"/>
        <v>140.126</v>
      </c>
      <c r="O212" s="15">
        <f t="shared" si="34"/>
        <v>28.349999999999994</v>
      </c>
      <c r="P212" s="15">
        <f t="shared" si="35"/>
        <v>111.77600000000001</v>
      </c>
      <c r="Q212" s="5">
        <f t="shared" si="36"/>
        <v>0.79768208612248981</v>
      </c>
    </row>
    <row r="213" spans="1:17" x14ac:dyDescent="0.25">
      <c r="A213" s="7">
        <v>46274.791666666664</v>
      </c>
      <c r="B213" s="22">
        <v>0</v>
      </c>
      <c r="C213" s="22">
        <v>0</v>
      </c>
      <c r="D213" s="18">
        <f t="shared" si="33"/>
        <v>0</v>
      </c>
      <c r="E213" s="22">
        <v>103.95</v>
      </c>
      <c r="F213" s="18">
        <f t="shared" si="37"/>
        <v>0</v>
      </c>
      <c r="G213" s="18">
        <f t="shared" si="38"/>
        <v>103.95</v>
      </c>
      <c r="H213" s="22">
        <v>51.52</v>
      </c>
      <c r="I213" s="18">
        <f t="shared" si="39"/>
        <v>0</v>
      </c>
      <c r="J213" s="18">
        <f t="shared" si="40"/>
        <v>51.52</v>
      </c>
      <c r="K213" s="22">
        <v>18.765000000000001</v>
      </c>
      <c r="L213" s="18">
        <f t="shared" si="41"/>
        <v>0</v>
      </c>
      <c r="M213" s="18">
        <f t="shared" si="42"/>
        <v>18.765000000000001</v>
      </c>
      <c r="N213" s="15">
        <f t="shared" si="43"/>
        <v>174.23500000000001</v>
      </c>
      <c r="O213" s="15">
        <f t="shared" si="34"/>
        <v>0</v>
      </c>
      <c r="P213" s="15">
        <f t="shared" si="35"/>
        <v>174.23500000000001</v>
      </c>
      <c r="Q213" s="5">
        <f t="shared" si="36"/>
        <v>1</v>
      </c>
    </row>
    <row r="214" spans="1:17" x14ac:dyDescent="0.25">
      <c r="A214" s="7">
        <v>46274.833333333336</v>
      </c>
      <c r="B214" s="22">
        <v>0</v>
      </c>
      <c r="C214" s="22">
        <v>0</v>
      </c>
      <c r="D214" s="18">
        <f t="shared" si="33"/>
        <v>0</v>
      </c>
      <c r="E214" s="22">
        <v>283.5</v>
      </c>
      <c r="F214" s="18">
        <f t="shared" si="37"/>
        <v>0</v>
      </c>
      <c r="G214" s="18">
        <f t="shared" si="38"/>
        <v>283.5</v>
      </c>
      <c r="H214" s="22">
        <v>62.8</v>
      </c>
      <c r="I214" s="18">
        <f t="shared" si="39"/>
        <v>0</v>
      </c>
      <c r="J214" s="18">
        <f t="shared" si="40"/>
        <v>62.8</v>
      </c>
      <c r="K214" s="22">
        <v>6.2310000000000008</v>
      </c>
      <c r="L214" s="18">
        <f t="shared" si="41"/>
        <v>0</v>
      </c>
      <c r="M214" s="18">
        <f t="shared" si="42"/>
        <v>6.2310000000000008</v>
      </c>
      <c r="N214" s="15">
        <f t="shared" si="43"/>
        <v>352.53100000000001</v>
      </c>
      <c r="O214" s="15">
        <f t="shared" si="34"/>
        <v>0</v>
      </c>
      <c r="P214" s="15">
        <f t="shared" si="35"/>
        <v>352.53100000000001</v>
      </c>
      <c r="Q214" s="5">
        <f t="shared" si="36"/>
        <v>1</v>
      </c>
    </row>
    <row r="215" spans="1:17" x14ac:dyDescent="0.25">
      <c r="A215" s="7">
        <v>46274.875</v>
      </c>
      <c r="B215" s="22">
        <v>0</v>
      </c>
      <c r="C215" s="22">
        <v>0</v>
      </c>
      <c r="D215" s="18">
        <f t="shared" si="33"/>
        <v>0</v>
      </c>
      <c r="E215" s="22">
        <v>327.60000000000002</v>
      </c>
      <c r="F215" s="18">
        <f t="shared" si="37"/>
        <v>0</v>
      </c>
      <c r="G215" s="18">
        <f t="shared" si="38"/>
        <v>327.60000000000002</v>
      </c>
      <c r="H215" s="22">
        <v>47.919999999999995</v>
      </c>
      <c r="I215" s="18">
        <f t="shared" si="39"/>
        <v>0</v>
      </c>
      <c r="J215" s="18">
        <f t="shared" si="40"/>
        <v>47.919999999999995</v>
      </c>
      <c r="K215" s="22">
        <v>2.8240000000000003</v>
      </c>
      <c r="L215" s="18">
        <f t="shared" si="41"/>
        <v>0</v>
      </c>
      <c r="M215" s="18">
        <f t="shared" si="42"/>
        <v>2.8240000000000003</v>
      </c>
      <c r="N215" s="15">
        <f t="shared" si="43"/>
        <v>378.34400000000005</v>
      </c>
      <c r="O215" s="15">
        <f t="shared" si="34"/>
        <v>0</v>
      </c>
      <c r="P215" s="15">
        <f t="shared" si="35"/>
        <v>378.34400000000005</v>
      </c>
      <c r="Q215" s="5">
        <f t="shared" si="36"/>
        <v>1</v>
      </c>
    </row>
    <row r="216" spans="1:17" x14ac:dyDescent="0.25">
      <c r="A216" s="7">
        <v>46274.916666666664</v>
      </c>
      <c r="B216" s="22">
        <v>0</v>
      </c>
      <c r="C216" s="22">
        <v>0</v>
      </c>
      <c r="D216" s="18">
        <f t="shared" si="33"/>
        <v>0</v>
      </c>
      <c r="E216" s="22">
        <v>371.7</v>
      </c>
      <c r="F216" s="18">
        <f t="shared" si="37"/>
        <v>0</v>
      </c>
      <c r="G216" s="18">
        <f t="shared" si="38"/>
        <v>371.7</v>
      </c>
      <c r="H216" s="22">
        <v>62.68</v>
      </c>
      <c r="I216" s="18">
        <f t="shared" si="39"/>
        <v>0</v>
      </c>
      <c r="J216" s="18">
        <f t="shared" si="40"/>
        <v>62.68</v>
      </c>
      <c r="K216" s="22">
        <v>2.92</v>
      </c>
      <c r="L216" s="18">
        <f t="shared" si="41"/>
        <v>0</v>
      </c>
      <c r="M216" s="18">
        <f t="shared" si="42"/>
        <v>2.92</v>
      </c>
      <c r="N216" s="15">
        <f t="shared" si="43"/>
        <v>437.3</v>
      </c>
      <c r="O216" s="15">
        <f t="shared" si="34"/>
        <v>0</v>
      </c>
      <c r="P216" s="15">
        <f t="shared" si="35"/>
        <v>437.3</v>
      </c>
      <c r="Q216" s="5">
        <f t="shared" si="36"/>
        <v>1</v>
      </c>
    </row>
    <row r="217" spans="1:17" x14ac:dyDescent="0.25">
      <c r="A217" s="7">
        <v>46274.958333333336</v>
      </c>
      <c r="B217" s="22">
        <v>0</v>
      </c>
      <c r="C217" s="22">
        <v>0</v>
      </c>
      <c r="D217" s="18">
        <f t="shared" si="33"/>
        <v>0</v>
      </c>
      <c r="E217" s="22">
        <v>384.29999999999995</v>
      </c>
      <c r="F217" s="18">
        <f t="shared" si="37"/>
        <v>0</v>
      </c>
      <c r="G217" s="18">
        <f t="shared" si="38"/>
        <v>384.29999999999995</v>
      </c>
      <c r="H217" s="22">
        <v>58.6</v>
      </c>
      <c r="I217" s="18">
        <f t="shared" si="39"/>
        <v>0</v>
      </c>
      <c r="J217" s="18">
        <f t="shared" si="40"/>
        <v>58.6</v>
      </c>
      <c r="K217" s="22">
        <v>2.92</v>
      </c>
      <c r="L217" s="18">
        <f t="shared" si="41"/>
        <v>0</v>
      </c>
      <c r="M217" s="18">
        <f t="shared" si="42"/>
        <v>2.92</v>
      </c>
      <c r="N217" s="15">
        <f t="shared" si="43"/>
        <v>445.82</v>
      </c>
      <c r="O217" s="15">
        <f t="shared" si="34"/>
        <v>0</v>
      </c>
      <c r="P217" s="15">
        <f t="shared" si="35"/>
        <v>445.82</v>
      </c>
      <c r="Q217" s="5">
        <f t="shared" si="36"/>
        <v>1</v>
      </c>
    </row>
    <row r="218" spans="1:17" x14ac:dyDescent="0.25">
      <c r="A218" s="7">
        <v>46275</v>
      </c>
      <c r="B218" s="22">
        <v>0</v>
      </c>
      <c r="C218" s="22">
        <v>0</v>
      </c>
      <c r="D218" s="18">
        <f t="shared" si="33"/>
        <v>0</v>
      </c>
      <c r="E218" s="22">
        <v>406.34999999999997</v>
      </c>
      <c r="F218" s="18">
        <f t="shared" si="37"/>
        <v>0</v>
      </c>
      <c r="G218" s="18">
        <f t="shared" si="38"/>
        <v>406.34999999999997</v>
      </c>
      <c r="H218" s="22">
        <v>44.8</v>
      </c>
      <c r="I218" s="18">
        <f t="shared" si="39"/>
        <v>0</v>
      </c>
      <c r="J218" s="18">
        <f t="shared" si="40"/>
        <v>44.8</v>
      </c>
      <c r="K218" s="22">
        <v>2.8</v>
      </c>
      <c r="L218" s="18">
        <f t="shared" si="41"/>
        <v>0</v>
      </c>
      <c r="M218" s="18">
        <f t="shared" si="42"/>
        <v>2.8</v>
      </c>
      <c r="N218" s="15">
        <f t="shared" si="43"/>
        <v>453.95</v>
      </c>
      <c r="O218" s="15">
        <f t="shared" si="34"/>
        <v>0</v>
      </c>
      <c r="P218" s="15">
        <f t="shared" si="35"/>
        <v>453.95</v>
      </c>
      <c r="Q218" s="5">
        <f t="shared" si="36"/>
        <v>1</v>
      </c>
    </row>
    <row r="219" spans="1:17" x14ac:dyDescent="0.25">
      <c r="A219" s="7">
        <v>46275.041666666664</v>
      </c>
      <c r="B219" s="22">
        <v>0</v>
      </c>
      <c r="C219" s="22">
        <v>0</v>
      </c>
      <c r="D219" s="18">
        <f t="shared" si="33"/>
        <v>0</v>
      </c>
      <c r="E219" s="22">
        <v>116.55</v>
      </c>
      <c r="F219" s="18">
        <f t="shared" si="37"/>
        <v>0</v>
      </c>
      <c r="G219" s="18">
        <f t="shared" si="38"/>
        <v>116.55</v>
      </c>
      <c r="H219" s="22">
        <v>43.12</v>
      </c>
      <c r="I219" s="18">
        <f t="shared" si="39"/>
        <v>0</v>
      </c>
      <c r="J219" s="18">
        <f t="shared" si="40"/>
        <v>43.12</v>
      </c>
      <c r="K219" s="22">
        <v>2.92</v>
      </c>
      <c r="L219" s="18">
        <f t="shared" si="41"/>
        <v>0</v>
      </c>
      <c r="M219" s="18">
        <f t="shared" si="42"/>
        <v>2.92</v>
      </c>
      <c r="N219" s="15">
        <f t="shared" si="43"/>
        <v>162.58999999999997</v>
      </c>
      <c r="O219" s="15">
        <f t="shared" si="34"/>
        <v>0</v>
      </c>
      <c r="P219" s="15">
        <f t="shared" si="35"/>
        <v>162.58999999999997</v>
      </c>
      <c r="Q219" s="5">
        <f t="shared" si="36"/>
        <v>1</v>
      </c>
    </row>
    <row r="220" spans="1:17" x14ac:dyDescent="0.25">
      <c r="A220" s="7">
        <v>46275.083333333336</v>
      </c>
      <c r="B220" s="22">
        <v>0</v>
      </c>
      <c r="C220" s="22">
        <v>0</v>
      </c>
      <c r="D220" s="18">
        <f t="shared" si="33"/>
        <v>0</v>
      </c>
      <c r="E220" s="22">
        <v>428.4</v>
      </c>
      <c r="F220" s="18">
        <f t="shared" si="37"/>
        <v>0</v>
      </c>
      <c r="G220" s="18">
        <f t="shared" si="38"/>
        <v>428.4</v>
      </c>
      <c r="H220" s="22">
        <v>46</v>
      </c>
      <c r="I220" s="18">
        <f t="shared" si="39"/>
        <v>0</v>
      </c>
      <c r="J220" s="18">
        <f t="shared" si="40"/>
        <v>46</v>
      </c>
      <c r="K220" s="22">
        <v>2.8</v>
      </c>
      <c r="L220" s="18">
        <f t="shared" si="41"/>
        <v>0</v>
      </c>
      <c r="M220" s="18">
        <f t="shared" si="42"/>
        <v>2.8</v>
      </c>
      <c r="N220" s="15">
        <f t="shared" si="43"/>
        <v>477.2</v>
      </c>
      <c r="O220" s="15">
        <f t="shared" si="34"/>
        <v>0</v>
      </c>
      <c r="P220" s="15">
        <f t="shared" si="35"/>
        <v>477.2</v>
      </c>
      <c r="Q220" s="5">
        <f t="shared" si="36"/>
        <v>1</v>
      </c>
    </row>
    <row r="221" spans="1:17" x14ac:dyDescent="0.25">
      <c r="A221" s="7">
        <v>46275.125</v>
      </c>
      <c r="B221" s="22">
        <v>0</v>
      </c>
      <c r="C221" s="22">
        <v>0</v>
      </c>
      <c r="D221" s="18">
        <f t="shared" si="33"/>
        <v>0</v>
      </c>
      <c r="E221" s="22">
        <v>469.34999999999997</v>
      </c>
      <c r="F221" s="18">
        <f t="shared" si="37"/>
        <v>0</v>
      </c>
      <c r="G221" s="18">
        <f t="shared" si="38"/>
        <v>469.34999999999997</v>
      </c>
      <c r="H221" s="22">
        <v>45.28</v>
      </c>
      <c r="I221" s="18">
        <f t="shared" si="39"/>
        <v>0</v>
      </c>
      <c r="J221" s="18">
        <f t="shared" si="40"/>
        <v>45.28</v>
      </c>
      <c r="K221" s="22">
        <v>2.92</v>
      </c>
      <c r="L221" s="18">
        <f t="shared" si="41"/>
        <v>0</v>
      </c>
      <c r="M221" s="18">
        <f t="shared" si="42"/>
        <v>2.92</v>
      </c>
      <c r="N221" s="15">
        <f t="shared" si="43"/>
        <v>517.54999999999995</v>
      </c>
      <c r="O221" s="15">
        <f t="shared" si="34"/>
        <v>0</v>
      </c>
      <c r="P221" s="15">
        <f t="shared" si="35"/>
        <v>517.54999999999995</v>
      </c>
      <c r="Q221" s="5">
        <f t="shared" si="36"/>
        <v>1</v>
      </c>
    </row>
    <row r="222" spans="1:17" x14ac:dyDescent="0.25">
      <c r="A222" s="7">
        <v>46275.166666666664</v>
      </c>
      <c r="B222" s="22">
        <v>0</v>
      </c>
      <c r="C222" s="22">
        <v>0</v>
      </c>
      <c r="D222" s="18">
        <f t="shared" si="33"/>
        <v>0</v>
      </c>
      <c r="E222" s="22">
        <v>485.09999999999997</v>
      </c>
      <c r="F222" s="18">
        <f t="shared" si="37"/>
        <v>0</v>
      </c>
      <c r="G222" s="18">
        <f t="shared" si="38"/>
        <v>485.09999999999997</v>
      </c>
      <c r="H222" s="22">
        <v>42.160000000000004</v>
      </c>
      <c r="I222" s="18">
        <f t="shared" si="39"/>
        <v>0</v>
      </c>
      <c r="J222" s="18">
        <f t="shared" si="40"/>
        <v>42.160000000000004</v>
      </c>
      <c r="K222" s="22">
        <v>2.8</v>
      </c>
      <c r="L222" s="18">
        <f t="shared" si="41"/>
        <v>0</v>
      </c>
      <c r="M222" s="18">
        <f t="shared" si="42"/>
        <v>2.8</v>
      </c>
      <c r="N222" s="15">
        <f t="shared" si="43"/>
        <v>530.05999999999995</v>
      </c>
      <c r="O222" s="15">
        <f t="shared" si="34"/>
        <v>0</v>
      </c>
      <c r="P222" s="15">
        <f t="shared" si="35"/>
        <v>530.05999999999995</v>
      </c>
      <c r="Q222" s="5">
        <f t="shared" si="36"/>
        <v>1</v>
      </c>
    </row>
    <row r="223" spans="1:17" x14ac:dyDescent="0.25">
      <c r="A223" s="7">
        <v>46275.208333333336</v>
      </c>
      <c r="B223" s="22">
        <v>0</v>
      </c>
      <c r="C223" s="22">
        <v>0</v>
      </c>
      <c r="D223" s="18">
        <f t="shared" si="33"/>
        <v>0</v>
      </c>
      <c r="E223" s="22">
        <v>472.5</v>
      </c>
      <c r="F223" s="18">
        <f t="shared" si="37"/>
        <v>0</v>
      </c>
      <c r="G223" s="18">
        <f t="shared" si="38"/>
        <v>472.5</v>
      </c>
      <c r="H223" s="22">
        <v>48.04</v>
      </c>
      <c r="I223" s="18">
        <f t="shared" si="39"/>
        <v>0</v>
      </c>
      <c r="J223" s="18">
        <f t="shared" si="40"/>
        <v>48.04</v>
      </c>
      <c r="K223" s="22">
        <v>2.8</v>
      </c>
      <c r="L223" s="18">
        <f t="shared" si="41"/>
        <v>0</v>
      </c>
      <c r="M223" s="18">
        <f t="shared" si="42"/>
        <v>2.8</v>
      </c>
      <c r="N223" s="15">
        <f t="shared" si="43"/>
        <v>523.33999999999992</v>
      </c>
      <c r="O223" s="15">
        <f t="shared" si="34"/>
        <v>0</v>
      </c>
      <c r="P223" s="15">
        <f t="shared" si="35"/>
        <v>523.33999999999992</v>
      </c>
      <c r="Q223" s="5">
        <f t="shared" si="36"/>
        <v>1</v>
      </c>
    </row>
    <row r="224" spans="1:17" x14ac:dyDescent="0.25">
      <c r="A224" s="7">
        <v>46275.25</v>
      </c>
      <c r="B224" s="22">
        <v>0</v>
      </c>
      <c r="C224" s="22">
        <v>0</v>
      </c>
      <c r="D224" s="18">
        <f t="shared" si="33"/>
        <v>0</v>
      </c>
      <c r="E224" s="22">
        <v>132.30000000000001</v>
      </c>
      <c r="F224" s="18">
        <f t="shared" si="37"/>
        <v>0</v>
      </c>
      <c r="G224" s="18">
        <f t="shared" si="38"/>
        <v>132.30000000000001</v>
      </c>
      <c r="H224" s="22">
        <v>41.68</v>
      </c>
      <c r="I224" s="18">
        <f t="shared" si="39"/>
        <v>0</v>
      </c>
      <c r="J224" s="18">
        <f t="shared" si="40"/>
        <v>41.68</v>
      </c>
      <c r="K224" s="22">
        <v>4</v>
      </c>
      <c r="L224" s="18">
        <f t="shared" si="41"/>
        <v>0</v>
      </c>
      <c r="M224" s="18">
        <f t="shared" si="42"/>
        <v>4</v>
      </c>
      <c r="N224" s="15">
        <f t="shared" si="43"/>
        <v>177.98000000000002</v>
      </c>
      <c r="O224" s="15">
        <f t="shared" si="34"/>
        <v>0</v>
      </c>
      <c r="P224" s="15">
        <f t="shared" si="35"/>
        <v>177.98000000000002</v>
      </c>
      <c r="Q224" s="5">
        <f t="shared" si="36"/>
        <v>1</v>
      </c>
    </row>
    <row r="225" spans="1:17" x14ac:dyDescent="0.25">
      <c r="A225" s="7">
        <v>46275.291666666664</v>
      </c>
      <c r="B225" s="22">
        <v>302.39999999999998</v>
      </c>
      <c r="C225" s="22">
        <v>0</v>
      </c>
      <c r="D225" s="18">
        <f t="shared" si="33"/>
        <v>302.39999999999998</v>
      </c>
      <c r="E225" s="22">
        <v>3.15</v>
      </c>
      <c r="F225" s="18">
        <f t="shared" si="37"/>
        <v>3.15</v>
      </c>
      <c r="G225" s="18">
        <f t="shared" si="38"/>
        <v>0</v>
      </c>
      <c r="H225" s="22">
        <v>55.239999999999995</v>
      </c>
      <c r="I225" s="18">
        <f t="shared" si="39"/>
        <v>55.239999999999995</v>
      </c>
      <c r="J225" s="18">
        <f t="shared" si="40"/>
        <v>0</v>
      </c>
      <c r="K225" s="22">
        <v>2.68</v>
      </c>
      <c r="L225" s="18">
        <f t="shared" si="41"/>
        <v>2.68</v>
      </c>
      <c r="M225" s="18">
        <f t="shared" si="42"/>
        <v>0</v>
      </c>
      <c r="N225" s="15">
        <f t="shared" si="43"/>
        <v>61.069999999999993</v>
      </c>
      <c r="O225" s="15">
        <f t="shared" si="34"/>
        <v>61.069999999999993</v>
      </c>
      <c r="P225" s="15">
        <f t="shared" si="35"/>
        <v>0</v>
      </c>
      <c r="Q225" s="5">
        <f t="shared" si="36"/>
        <v>0</v>
      </c>
    </row>
    <row r="226" spans="1:17" x14ac:dyDescent="0.25">
      <c r="A226" s="7">
        <v>46275.333333333336</v>
      </c>
      <c r="B226" s="22">
        <v>412.65000000000003</v>
      </c>
      <c r="C226" s="22">
        <v>0</v>
      </c>
      <c r="D226" s="18">
        <f t="shared" si="33"/>
        <v>412.65000000000003</v>
      </c>
      <c r="E226" s="22">
        <v>0</v>
      </c>
      <c r="F226" s="18">
        <f t="shared" si="37"/>
        <v>0</v>
      </c>
      <c r="G226" s="18">
        <f t="shared" si="38"/>
        <v>0</v>
      </c>
      <c r="H226" s="22">
        <v>156.04000000000002</v>
      </c>
      <c r="I226" s="18">
        <f t="shared" si="39"/>
        <v>156.04000000000002</v>
      </c>
      <c r="J226" s="18">
        <f t="shared" si="40"/>
        <v>0</v>
      </c>
      <c r="K226" s="22">
        <v>5.92</v>
      </c>
      <c r="L226" s="18">
        <f t="shared" si="41"/>
        <v>5.92</v>
      </c>
      <c r="M226" s="18">
        <f t="shared" si="42"/>
        <v>0</v>
      </c>
      <c r="N226" s="15">
        <f t="shared" si="43"/>
        <v>161.96</v>
      </c>
      <c r="O226" s="15">
        <f t="shared" si="34"/>
        <v>161.96</v>
      </c>
      <c r="P226" s="15">
        <f t="shared" si="35"/>
        <v>0</v>
      </c>
      <c r="Q226" s="5">
        <f t="shared" si="36"/>
        <v>0</v>
      </c>
    </row>
    <row r="227" spans="1:17" x14ac:dyDescent="0.25">
      <c r="A227" s="7">
        <v>46275.375</v>
      </c>
      <c r="B227" s="22">
        <v>973.35</v>
      </c>
      <c r="C227" s="22">
        <v>0</v>
      </c>
      <c r="D227" s="18">
        <f t="shared" si="33"/>
        <v>973.35</v>
      </c>
      <c r="E227" s="22">
        <v>0</v>
      </c>
      <c r="F227" s="18">
        <f t="shared" si="37"/>
        <v>0</v>
      </c>
      <c r="G227" s="18">
        <f t="shared" si="38"/>
        <v>0</v>
      </c>
      <c r="H227" s="22">
        <v>101.56</v>
      </c>
      <c r="I227" s="18">
        <f t="shared" si="39"/>
        <v>101.56</v>
      </c>
      <c r="J227" s="18">
        <f t="shared" si="40"/>
        <v>0</v>
      </c>
      <c r="K227" s="22">
        <v>51.16</v>
      </c>
      <c r="L227" s="18">
        <f t="shared" si="41"/>
        <v>51.16</v>
      </c>
      <c r="M227" s="18">
        <f t="shared" si="42"/>
        <v>0</v>
      </c>
      <c r="N227" s="15">
        <f t="shared" si="43"/>
        <v>152.72</v>
      </c>
      <c r="O227" s="15">
        <f t="shared" si="34"/>
        <v>152.72</v>
      </c>
      <c r="P227" s="15">
        <f t="shared" si="35"/>
        <v>0</v>
      </c>
      <c r="Q227" s="5">
        <f t="shared" si="36"/>
        <v>0</v>
      </c>
    </row>
    <row r="228" spans="1:17" x14ac:dyDescent="0.25">
      <c r="A228" s="7">
        <v>46275.416666666664</v>
      </c>
      <c r="B228" s="22">
        <v>1953</v>
      </c>
      <c r="C228" s="22">
        <v>4.68</v>
      </c>
      <c r="D228" s="18">
        <f t="shared" si="33"/>
        <v>1957.68</v>
      </c>
      <c r="E228" s="22">
        <v>0</v>
      </c>
      <c r="F228" s="18">
        <f t="shared" si="37"/>
        <v>0</v>
      </c>
      <c r="G228" s="18">
        <f t="shared" si="38"/>
        <v>0</v>
      </c>
      <c r="H228" s="22">
        <v>53.32</v>
      </c>
      <c r="I228" s="18">
        <f t="shared" si="39"/>
        <v>53.32</v>
      </c>
      <c r="J228" s="18">
        <f t="shared" si="40"/>
        <v>0</v>
      </c>
      <c r="K228" s="22">
        <v>33.76</v>
      </c>
      <c r="L228" s="18">
        <f t="shared" si="41"/>
        <v>33.76</v>
      </c>
      <c r="M228" s="18">
        <f t="shared" si="42"/>
        <v>0</v>
      </c>
      <c r="N228" s="15">
        <f t="shared" si="43"/>
        <v>87.08</v>
      </c>
      <c r="O228" s="15">
        <f t="shared" si="34"/>
        <v>87.08</v>
      </c>
      <c r="P228" s="15">
        <f t="shared" si="35"/>
        <v>0</v>
      </c>
      <c r="Q228" s="5">
        <f t="shared" si="36"/>
        <v>0</v>
      </c>
    </row>
    <row r="229" spans="1:17" x14ac:dyDescent="0.25">
      <c r="A229" s="7">
        <v>46275.458333333336</v>
      </c>
      <c r="B229" s="22">
        <v>2450.6999999999998</v>
      </c>
      <c r="C229" s="22">
        <v>16.2</v>
      </c>
      <c r="D229" s="18">
        <f t="shared" si="33"/>
        <v>2466.8999999999996</v>
      </c>
      <c r="E229" s="22">
        <v>0</v>
      </c>
      <c r="F229" s="18">
        <f t="shared" si="37"/>
        <v>0</v>
      </c>
      <c r="G229" s="18">
        <f t="shared" si="38"/>
        <v>0</v>
      </c>
      <c r="H229" s="22">
        <v>19.12</v>
      </c>
      <c r="I229" s="18">
        <f t="shared" si="39"/>
        <v>19.12</v>
      </c>
      <c r="J229" s="18">
        <f t="shared" si="40"/>
        <v>0</v>
      </c>
      <c r="K229" s="22">
        <v>34.6</v>
      </c>
      <c r="L229" s="18">
        <f t="shared" si="41"/>
        <v>34.6</v>
      </c>
      <c r="M229" s="18">
        <f t="shared" si="42"/>
        <v>0</v>
      </c>
      <c r="N229" s="15">
        <f t="shared" si="43"/>
        <v>53.72</v>
      </c>
      <c r="O229" s="15">
        <f t="shared" si="34"/>
        <v>53.72</v>
      </c>
      <c r="P229" s="15">
        <f t="shared" si="35"/>
        <v>0</v>
      </c>
      <c r="Q229" s="5">
        <f t="shared" si="36"/>
        <v>0</v>
      </c>
    </row>
    <row r="230" spans="1:17" x14ac:dyDescent="0.25">
      <c r="A230" s="7">
        <v>46275.5</v>
      </c>
      <c r="B230" s="22">
        <v>2545.1999999999998</v>
      </c>
      <c r="C230" s="22">
        <v>6.7200000000000006</v>
      </c>
      <c r="D230" s="18">
        <f t="shared" si="33"/>
        <v>2551.9199999999996</v>
      </c>
      <c r="E230" s="22">
        <v>0</v>
      </c>
      <c r="F230" s="18">
        <f t="shared" si="37"/>
        <v>0</v>
      </c>
      <c r="G230" s="18">
        <f t="shared" si="38"/>
        <v>0</v>
      </c>
      <c r="H230" s="22">
        <v>31</v>
      </c>
      <c r="I230" s="18">
        <f t="shared" si="39"/>
        <v>31</v>
      </c>
      <c r="J230" s="18">
        <f t="shared" si="40"/>
        <v>0</v>
      </c>
      <c r="K230" s="22">
        <v>41.56</v>
      </c>
      <c r="L230" s="18">
        <f t="shared" si="41"/>
        <v>41.56</v>
      </c>
      <c r="M230" s="18">
        <f t="shared" si="42"/>
        <v>0</v>
      </c>
      <c r="N230" s="15">
        <f t="shared" si="43"/>
        <v>72.56</v>
      </c>
      <c r="O230" s="15">
        <f t="shared" si="34"/>
        <v>72.56</v>
      </c>
      <c r="P230" s="15">
        <f t="shared" si="35"/>
        <v>0</v>
      </c>
      <c r="Q230" s="5">
        <f t="shared" si="36"/>
        <v>0</v>
      </c>
    </row>
    <row r="231" spans="1:17" x14ac:dyDescent="0.25">
      <c r="A231" s="7">
        <v>46275.541666666664</v>
      </c>
      <c r="B231" s="22">
        <v>2315.25</v>
      </c>
      <c r="C231" s="22">
        <v>11.16</v>
      </c>
      <c r="D231" s="18">
        <f t="shared" si="33"/>
        <v>2326.41</v>
      </c>
      <c r="E231" s="22">
        <v>0</v>
      </c>
      <c r="F231" s="18">
        <f t="shared" si="37"/>
        <v>0</v>
      </c>
      <c r="G231" s="18">
        <f t="shared" si="38"/>
        <v>0</v>
      </c>
      <c r="H231" s="22">
        <v>20.68</v>
      </c>
      <c r="I231" s="18">
        <f t="shared" si="39"/>
        <v>20.68</v>
      </c>
      <c r="J231" s="18">
        <f t="shared" si="40"/>
        <v>0</v>
      </c>
      <c r="K231" s="22">
        <v>44.68</v>
      </c>
      <c r="L231" s="18">
        <f t="shared" si="41"/>
        <v>44.68</v>
      </c>
      <c r="M231" s="18">
        <f t="shared" si="42"/>
        <v>0</v>
      </c>
      <c r="N231" s="15">
        <f t="shared" si="43"/>
        <v>65.36</v>
      </c>
      <c r="O231" s="15">
        <f t="shared" si="34"/>
        <v>65.36</v>
      </c>
      <c r="P231" s="15">
        <f t="shared" si="35"/>
        <v>0</v>
      </c>
      <c r="Q231" s="5">
        <f t="shared" si="36"/>
        <v>0</v>
      </c>
    </row>
    <row r="232" spans="1:17" x14ac:dyDescent="0.25">
      <c r="A232" s="7">
        <v>46275.583333333336</v>
      </c>
      <c r="B232" s="22">
        <v>1704.15</v>
      </c>
      <c r="C232" s="22">
        <v>0.36000000000000004</v>
      </c>
      <c r="D232" s="18">
        <f t="shared" si="33"/>
        <v>1704.51</v>
      </c>
      <c r="E232" s="22">
        <v>0</v>
      </c>
      <c r="F232" s="18">
        <f t="shared" si="37"/>
        <v>0</v>
      </c>
      <c r="G232" s="18">
        <f t="shared" si="38"/>
        <v>0</v>
      </c>
      <c r="H232" s="22">
        <v>61.839999999999996</v>
      </c>
      <c r="I232" s="18">
        <f t="shared" si="39"/>
        <v>61.839999999999996</v>
      </c>
      <c r="J232" s="18">
        <f t="shared" si="40"/>
        <v>0</v>
      </c>
      <c r="K232" s="22">
        <v>35.32</v>
      </c>
      <c r="L232" s="18">
        <f t="shared" si="41"/>
        <v>35.32</v>
      </c>
      <c r="M232" s="18">
        <f t="shared" si="42"/>
        <v>0</v>
      </c>
      <c r="N232" s="15">
        <f t="shared" si="43"/>
        <v>97.16</v>
      </c>
      <c r="O232" s="15">
        <f t="shared" si="34"/>
        <v>97.16</v>
      </c>
      <c r="P232" s="15">
        <f t="shared" si="35"/>
        <v>0</v>
      </c>
      <c r="Q232" s="5">
        <f t="shared" si="36"/>
        <v>0</v>
      </c>
    </row>
    <row r="233" spans="1:17" x14ac:dyDescent="0.25">
      <c r="A233" s="7">
        <v>46275.625</v>
      </c>
      <c r="B233" s="22">
        <v>1256.8499999999999</v>
      </c>
      <c r="C233" s="22">
        <v>0.12000000000000001</v>
      </c>
      <c r="D233" s="18">
        <f t="shared" si="33"/>
        <v>1256.9699999999998</v>
      </c>
      <c r="E233" s="22">
        <v>0</v>
      </c>
      <c r="F233" s="18">
        <f t="shared" si="37"/>
        <v>0</v>
      </c>
      <c r="G233" s="18">
        <f t="shared" si="38"/>
        <v>0</v>
      </c>
      <c r="H233" s="22">
        <v>80.199999999999989</v>
      </c>
      <c r="I233" s="18">
        <f t="shared" si="39"/>
        <v>80.199999999999989</v>
      </c>
      <c r="J233" s="18">
        <f t="shared" si="40"/>
        <v>0</v>
      </c>
      <c r="K233" s="22">
        <v>66.28</v>
      </c>
      <c r="L233" s="18">
        <f t="shared" si="41"/>
        <v>66.28</v>
      </c>
      <c r="M233" s="18">
        <f t="shared" si="42"/>
        <v>0</v>
      </c>
      <c r="N233" s="15">
        <f t="shared" si="43"/>
        <v>146.47999999999999</v>
      </c>
      <c r="O233" s="15">
        <f t="shared" si="34"/>
        <v>146.47999999999999</v>
      </c>
      <c r="P233" s="15">
        <f t="shared" si="35"/>
        <v>0</v>
      </c>
      <c r="Q233" s="5">
        <f t="shared" si="36"/>
        <v>0</v>
      </c>
    </row>
    <row r="234" spans="1:17" x14ac:dyDescent="0.25">
      <c r="A234" s="7">
        <v>46275.666666666664</v>
      </c>
      <c r="B234" s="22">
        <v>1272.5999999999999</v>
      </c>
      <c r="C234" s="22">
        <v>0</v>
      </c>
      <c r="D234" s="18">
        <f t="shared" si="33"/>
        <v>1272.5999999999999</v>
      </c>
      <c r="E234" s="22">
        <v>0</v>
      </c>
      <c r="F234" s="18">
        <f t="shared" si="37"/>
        <v>0</v>
      </c>
      <c r="G234" s="18">
        <f t="shared" si="38"/>
        <v>0</v>
      </c>
      <c r="H234" s="22">
        <v>99.16</v>
      </c>
      <c r="I234" s="18">
        <f t="shared" si="39"/>
        <v>99.16</v>
      </c>
      <c r="J234" s="18">
        <f t="shared" si="40"/>
        <v>0</v>
      </c>
      <c r="K234" s="22">
        <v>78.88000000000001</v>
      </c>
      <c r="L234" s="18">
        <f t="shared" si="41"/>
        <v>78.88000000000001</v>
      </c>
      <c r="M234" s="18">
        <f t="shared" si="42"/>
        <v>0</v>
      </c>
      <c r="N234" s="15">
        <f t="shared" si="43"/>
        <v>178.04000000000002</v>
      </c>
      <c r="O234" s="15">
        <f t="shared" si="34"/>
        <v>178.04000000000002</v>
      </c>
      <c r="P234" s="15">
        <f t="shared" si="35"/>
        <v>0</v>
      </c>
      <c r="Q234" s="5">
        <f t="shared" si="36"/>
        <v>0</v>
      </c>
    </row>
    <row r="235" spans="1:17" x14ac:dyDescent="0.25">
      <c r="A235" s="7">
        <v>46275.708333333336</v>
      </c>
      <c r="B235" s="22">
        <v>274.05</v>
      </c>
      <c r="C235" s="22">
        <v>0</v>
      </c>
      <c r="D235" s="18">
        <f t="shared" si="33"/>
        <v>274.05</v>
      </c>
      <c r="E235" s="22">
        <v>148.04999999999998</v>
      </c>
      <c r="F235" s="18">
        <f t="shared" si="37"/>
        <v>148.04999999999998</v>
      </c>
      <c r="G235" s="18">
        <f t="shared" si="38"/>
        <v>0</v>
      </c>
      <c r="H235" s="22">
        <v>61.96</v>
      </c>
      <c r="I235" s="18">
        <f t="shared" si="39"/>
        <v>61.96</v>
      </c>
      <c r="J235" s="18">
        <f t="shared" si="40"/>
        <v>0</v>
      </c>
      <c r="K235" s="22">
        <v>38.234999999999999</v>
      </c>
      <c r="L235" s="18">
        <f t="shared" si="41"/>
        <v>38.234999999999999</v>
      </c>
      <c r="M235" s="18">
        <f t="shared" si="42"/>
        <v>0</v>
      </c>
      <c r="N235" s="15">
        <f t="shared" si="43"/>
        <v>248.245</v>
      </c>
      <c r="O235" s="15">
        <f t="shared" si="34"/>
        <v>248.245</v>
      </c>
      <c r="P235" s="15">
        <f t="shared" si="35"/>
        <v>0</v>
      </c>
      <c r="Q235" s="5">
        <f t="shared" si="36"/>
        <v>0</v>
      </c>
    </row>
    <row r="236" spans="1:17" x14ac:dyDescent="0.25">
      <c r="A236" s="7">
        <v>46275.75</v>
      </c>
      <c r="B236" s="22">
        <v>31.5</v>
      </c>
      <c r="C236" s="22">
        <v>0</v>
      </c>
      <c r="D236" s="18">
        <f t="shared" si="33"/>
        <v>31.5</v>
      </c>
      <c r="E236" s="22">
        <v>59.85</v>
      </c>
      <c r="F236" s="18">
        <f t="shared" si="37"/>
        <v>13.018146790131127</v>
      </c>
      <c r="G236" s="18">
        <f t="shared" si="38"/>
        <v>46.831853209868875</v>
      </c>
      <c r="H236" s="22">
        <v>63.04</v>
      </c>
      <c r="I236" s="18">
        <f t="shared" si="39"/>
        <v>13.712012926480639</v>
      </c>
      <c r="J236" s="18">
        <f t="shared" si="40"/>
        <v>49.32798707351936</v>
      </c>
      <c r="K236" s="22">
        <v>21.929000000000002</v>
      </c>
      <c r="L236" s="18">
        <f t="shared" si="41"/>
        <v>4.769840283388227</v>
      </c>
      <c r="M236" s="18">
        <f t="shared" si="42"/>
        <v>17.159159716611775</v>
      </c>
      <c r="N236" s="15">
        <f t="shared" si="43"/>
        <v>144.81900000000002</v>
      </c>
      <c r="O236" s="15">
        <f t="shared" si="34"/>
        <v>31.5</v>
      </c>
      <c r="P236" s="15">
        <f t="shared" si="35"/>
        <v>113.31900000000002</v>
      </c>
      <c r="Q236" s="5">
        <f t="shared" si="36"/>
        <v>0.78248710459262949</v>
      </c>
    </row>
    <row r="237" spans="1:17" x14ac:dyDescent="0.25">
      <c r="A237" s="7">
        <v>46275.791666666664</v>
      </c>
      <c r="B237" s="22">
        <v>0</v>
      </c>
      <c r="C237" s="22">
        <v>0</v>
      </c>
      <c r="D237" s="18">
        <f t="shared" si="33"/>
        <v>0</v>
      </c>
      <c r="E237" s="22">
        <v>148.04999999999998</v>
      </c>
      <c r="F237" s="18">
        <f t="shared" si="37"/>
        <v>0</v>
      </c>
      <c r="G237" s="18">
        <f t="shared" si="38"/>
        <v>148.04999999999998</v>
      </c>
      <c r="H237" s="22">
        <v>58.72</v>
      </c>
      <c r="I237" s="18">
        <f t="shared" si="39"/>
        <v>0</v>
      </c>
      <c r="J237" s="18">
        <f t="shared" si="40"/>
        <v>58.72</v>
      </c>
      <c r="K237" s="22">
        <v>21.198</v>
      </c>
      <c r="L237" s="18">
        <f t="shared" si="41"/>
        <v>0</v>
      </c>
      <c r="M237" s="18">
        <f t="shared" si="42"/>
        <v>21.198</v>
      </c>
      <c r="N237" s="15">
        <f t="shared" si="43"/>
        <v>227.96799999999999</v>
      </c>
      <c r="O237" s="15">
        <f t="shared" si="34"/>
        <v>0</v>
      </c>
      <c r="P237" s="15">
        <f t="shared" si="35"/>
        <v>227.96799999999999</v>
      </c>
      <c r="Q237" s="5">
        <f t="shared" si="36"/>
        <v>1</v>
      </c>
    </row>
    <row r="238" spans="1:17" x14ac:dyDescent="0.25">
      <c r="A238" s="7">
        <v>46275.833333333336</v>
      </c>
      <c r="B238" s="22">
        <v>0</v>
      </c>
      <c r="C238" s="22">
        <v>0</v>
      </c>
      <c r="D238" s="18">
        <f t="shared" si="33"/>
        <v>0</v>
      </c>
      <c r="E238" s="22">
        <v>258.29999999999995</v>
      </c>
      <c r="F238" s="18">
        <f t="shared" si="37"/>
        <v>0</v>
      </c>
      <c r="G238" s="18">
        <f t="shared" si="38"/>
        <v>258.29999999999995</v>
      </c>
      <c r="H238" s="22">
        <v>44.56</v>
      </c>
      <c r="I238" s="18">
        <f t="shared" si="39"/>
        <v>0</v>
      </c>
      <c r="J238" s="18">
        <f t="shared" si="40"/>
        <v>44.56</v>
      </c>
      <c r="K238" s="22">
        <v>3.4319999999999999</v>
      </c>
      <c r="L238" s="18">
        <f t="shared" si="41"/>
        <v>0</v>
      </c>
      <c r="M238" s="18">
        <f t="shared" si="42"/>
        <v>3.4319999999999999</v>
      </c>
      <c r="N238" s="15">
        <f t="shared" si="43"/>
        <v>306.29199999999997</v>
      </c>
      <c r="O238" s="15">
        <f t="shared" si="34"/>
        <v>0</v>
      </c>
      <c r="P238" s="15">
        <f t="shared" si="35"/>
        <v>306.29199999999997</v>
      </c>
      <c r="Q238" s="5">
        <f t="shared" si="36"/>
        <v>1</v>
      </c>
    </row>
    <row r="239" spans="1:17" x14ac:dyDescent="0.25">
      <c r="A239" s="7">
        <v>46275.875</v>
      </c>
      <c r="B239" s="22">
        <v>0</v>
      </c>
      <c r="C239" s="22">
        <v>0</v>
      </c>
      <c r="D239" s="18">
        <f t="shared" si="33"/>
        <v>0</v>
      </c>
      <c r="E239" s="22">
        <v>141.75</v>
      </c>
      <c r="F239" s="18">
        <f t="shared" si="37"/>
        <v>0</v>
      </c>
      <c r="G239" s="18">
        <f t="shared" si="38"/>
        <v>141.75</v>
      </c>
      <c r="H239" s="22">
        <v>40.120000000000005</v>
      </c>
      <c r="I239" s="18">
        <f t="shared" si="39"/>
        <v>0</v>
      </c>
      <c r="J239" s="18">
        <f t="shared" si="40"/>
        <v>40.120000000000005</v>
      </c>
      <c r="K239" s="22">
        <v>2.9450000000000003</v>
      </c>
      <c r="L239" s="18">
        <f t="shared" si="41"/>
        <v>0</v>
      </c>
      <c r="M239" s="18">
        <f t="shared" si="42"/>
        <v>2.9450000000000003</v>
      </c>
      <c r="N239" s="15">
        <f t="shared" si="43"/>
        <v>184.815</v>
      </c>
      <c r="O239" s="15">
        <f t="shared" si="34"/>
        <v>0</v>
      </c>
      <c r="P239" s="15">
        <f t="shared" si="35"/>
        <v>184.815</v>
      </c>
      <c r="Q239" s="5">
        <f t="shared" si="36"/>
        <v>1</v>
      </c>
    </row>
    <row r="240" spans="1:17" x14ac:dyDescent="0.25">
      <c r="A240" s="7">
        <v>46275.916666666664</v>
      </c>
      <c r="B240" s="22">
        <v>0</v>
      </c>
      <c r="C240" s="22">
        <v>0</v>
      </c>
      <c r="D240" s="18">
        <f t="shared" si="33"/>
        <v>0</v>
      </c>
      <c r="E240" s="22">
        <v>381.15</v>
      </c>
      <c r="F240" s="18">
        <f t="shared" si="37"/>
        <v>0</v>
      </c>
      <c r="G240" s="18">
        <f t="shared" si="38"/>
        <v>381.15</v>
      </c>
      <c r="H240" s="22">
        <v>45.519999999999996</v>
      </c>
      <c r="I240" s="18">
        <f t="shared" si="39"/>
        <v>0</v>
      </c>
      <c r="J240" s="18">
        <f t="shared" si="40"/>
        <v>45.519999999999996</v>
      </c>
      <c r="K240" s="22">
        <v>2.8</v>
      </c>
      <c r="L240" s="18">
        <f t="shared" si="41"/>
        <v>0</v>
      </c>
      <c r="M240" s="18">
        <f t="shared" si="42"/>
        <v>2.8</v>
      </c>
      <c r="N240" s="15">
        <f t="shared" si="43"/>
        <v>429.46999999999997</v>
      </c>
      <c r="O240" s="15">
        <f t="shared" si="34"/>
        <v>0</v>
      </c>
      <c r="P240" s="15">
        <f t="shared" si="35"/>
        <v>429.46999999999997</v>
      </c>
      <c r="Q240" s="5">
        <f t="shared" si="36"/>
        <v>1</v>
      </c>
    </row>
    <row r="241" spans="1:17" x14ac:dyDescent="0.25">
      <c r="A241" s="7">
        <v>46275.958333333336</v>
      </c>
      <c r="B241" s="22">
        <v>0</v>
      </c>
      <c r="C241" s="22">
        <v>0</v>
      </c>
      <c r="D241" s="18">
        <f t="shared" si="33"/>
        <v>0</v>
      </c>
      <c r="E241" s="22">
        <v>374.85</v>
      </c>
      <c r="F241" s="18">
        <f t="shared" si="37"/>
        <v>0</v>
      </c>
      <c r="G241" s="18">
        <f t="shared" si="38"/>
        <v>374.85</v>
      </c>
      <c r="H241" s="22">
        <v>40.120000000000005</v>
      </c>
      <c r="I241" s="18">
        <f t="shared" si="39"/>
        <v>0</v>
      </c>
      <c r="J241" s="18">
        <f t="shared" si="40"/>
        <v>40.120000000000005</v>
      </c>
      <c r="K241" s="22">
        <v>4.12</v>
      </c>
      <c r="L241" s="18">
        <f t="shared" si="41"/>
        <v>0</v>
      </c>
      <c r="M241" s="18">
        <f t="shared" si="42"/>
        <v>4.12</v>
      </c>
      <c r="N241" s="15">
        <f t="shared" si="43"/>
        <v>419.09000000000003</v>
      </c>
      <c r="O241" s="15">
        <f t="shared" si="34"/>
        <v>0</v>
      </c>
      <c r="P241" s="15">
        <f t="shared" si="35"/>
        <v>419.09000000000003</v>
      </c>
      <c r="Q241" s="5">
        <f t="shared" si="36"/>
        <v>1</v>
      </c>
    </row>
    <row r="242" spans="1:17" x14ac:dyDescent="0.25">
      <c r="A242" s="7">
        <v>46276</v>
      </c>
      <c r="B242" s="22">
        <v>0</v>
      </c>
      <c r="C242" s="22">
        <v>0</v>
      </c>
      <c r="D242" s="18">
        <f t="shared" si="33"/>
        <v>0</v>
      </c>
      <c r="E242" s="22">
        <v>381.15</v>
      </c>
      <c r="F242" s="18">
        <f t="shared" si="37"/>
        <v>0</v>
      </c>
      <c r="G242" s="18">
        <f t="shared" si="38"/>
        <v>381.15</v>
      </c>
      <c r="H242" s="22">
        <v>39.64</v>
      </c>
      <c r="I242" s="18">
        <f t="shared" si="39"/>
        <v>0</v>
      </c>
      <c r="J242" s="18">
        <f t="shared" si="40"/>
        <v>39.64</v>
      </c>
      <c r="K242" s="22">
        <v>2.68</v>
      </c>
      <c r="L242" s="18">
        <f t="shared" si="41"/>
        <v>0</v>
      </c>
      <c r="M242" s="18">
        <f t="shared" si="42"/>
        <v>2.68</v>
      </c>
      <c r="N242" s="15">
        <f t="shared" si="43"/>
        <v>423.46999999999997</v>
      </c>
      <c r="O242" s="15">
        <f t="shared" si="34"/>
        <v>0</v>
      </c>
      <c r="P242" s="15">
        <f t="shared" si="35"/>
        <v>423.46999999999997</v>
      </c>
      <c r="Q242" s="5">
        <f t="shared" si="36"/>
        <v>1</v>
      </c>
    </row>
    <row r="243" spans="1:17" x14ac:dyDescent="0.25">
      <c r="A243" s="7">
        <v>46276.041666666664</v>
      </c>
      <c r="B243" s="22">
        <v>0</v>
      </c>
      <c r="C243" s="22">
        <v>0</v>
      </c>
      <c r="D243" s="18">
        <f t="shared" si="33"/>
        <v>0</v>
      </c>
      <c r="E243" s="22">
        <v>148.04999999999998</v>
      </c>
      <c r="F243" s="18">
        <f t="shared" si="37"/>
        <v>0</v>
      </c>
      <c r="G243" s="18">
        <f t="shared" si="38"/>
        <v>148.04999999999998</v>
      </c>
      <c r="H243" s="22">
        <v>39.4</v>
      </c>
      <c r="I243" s="18">
        <f t="shared" si="39"/>
        <v>0</v>
      </c>
      <c r="J243" s="18">
        <f t="shared" si="40"/>
        <v>39.4</v>
      </c>
      <c r="K243" s="22">
        <v>2.92</v>
      </c>
      <c r="L243" s="18">
        <f t="shared" si="41"/>
        <v>0</v>
      </c>
      <c r="M243" s="18">
        <f t="shared" si="42"/>
        <v>2.92</v>
      </c>
      <c r="N243" s="15">
        <f t="shared" si="43"/>
        <v>190.36999999999998</v>
      </c>
      <c r="O243" s="15">
        <f t="shared" si="34"/>
        <v>0</v>
      </c>
      <c r="P243" s="15">
        <f t="shared" si="35"/>
        <v>190.36999999999998</v>
      </c>
      <c r="Q243" s="5">
        <f t="shared" si="36"/>
        <v>1</v>
      </c>
    </row>
    <row r="244" spans="1:17" x14ac:dyDescent="0.25">
      <c r="A244" s="7">
        <v>46276.083333333336</v>
      </c>
      <c r="B244" s="22">
        <v>0</v>
      </c>
      <c r="C244" s="22">
        <v>0</v>
      </c>
      <c r="D244" s="18">
        <f t="shared" si="33"/>
        <v>0</v>
      </c>
      <c r="E244" s="22">
        <v>504</v>
      </c>
      <c r="F244" s="18">
        <f t="shared" si="37"/>
        <v>0</v>
      </c>
      <c r="G244" s="18">
        <f t="shared" si="38"/>
        <v>504</v>
      </c>
      <c r="H244" s="22">
        <v>54.4</v>
      </c>
      <c r="I244" s="18">
        <f t="shared" si="39"/>
        <v>0</v>
      </c>
      <c r="J244" s="18">
        <f t="shared" si="40"/>
        <v>54.4</v>
      </c>
      <c r="K244" s="22">
        <v>2.8</v>
      </c>
      <c r="L244" s="18">
        <f t="shared" si="41"/>
        <v>0</v>
      </c>
      <c r="M244" s="18">
        <f t="shared" si="42"/>
        <v>2.8</v>
      </c>
      <c r="N244" s="15">
        <f t="shared" si="43"/>
        <v>561.19999999999993</v>
      </c>
      <c r="O244" s="15">
        <f t="shared" si="34"/>
        <v>0</v>
      </c>
      <c r="P244" s="15">
        <f t="shared" si="35"/>
        <v>561.19999999999993</v>
      </c>
      <c r="Q244" s="5">
        <f t="shared" si="36"/>
        <v>1</v>
      </c>
    </row>
    <row r="245" spans="1:17" x14ac:dyDescent="0.25">
      <c r="A245" s="7">
        <v>46276.125</v>
      </c>
      <c r="B245" s="22">
        <v>0</v>
      </c>
      <c r="C245" s="22">
        <v>0</v>
      </c>
      <c r="D245" s="18">
        <f t="shared" si="33"/>
        <v>0</v>
      </c>
      <c r="E245" s="22">
        <v>491.4</v>
      </c>
      <c r="F245" s="18">
        <f t="shared" si="37"/>
        <v>0</v>
      </c>
      <c r="G245" s="18">
        <f t="shared" si="38"/>
        <v>491.4</v>
      </c>
      <c r="H245" s="22">
        <v>52.24</v>
      </c>
      <c r="I245" s="18">
        <f t="shared" si="39"/>
        <v>0</v>
      </c>
      <c r="J245" s="18">
        <f t="shared" si="40"/>
        <v>52.24</v>
      </c>
      <c r="K245" s="22">
        <v>2.8</v>
      </c>
      <c r="L245" s="18">
        <f t="shared" si="41"/>
        <v>0</v>
      </c>
      <c r="M245" s="18">
        <f t="shared" si="42"/>
        <v>2.8</v>
      </c>
      <c r="N245" s="15">
        <f t="shared" si="43"/>
        <v>546.43999999999994</v>
      </c>
      <c r="O245" s="15">
        <f t="shared" si="34"/>
        <v>0</v>
      </c>
      <c r="P245" s="15">
        <f t="shared" si="35"/>
        <v>546.43999999999994</v>
      </c>
      <c r="Q245" s="5">
        <f t="shared" si="36"/>
        <v>1</v>
      </c>
    </row>
    <row r="246" spans="1:17" x14ac:dyDescent="0.25">
      <c r="A246" s="7">
        <v>46276.166666666664</v>
      </c>
      <c r="B246" s="22">
        <v>0</v>
      </c>
      <c r="C246" s="22">
        <v>0</v>
      </c>
      <c r="D246" s="18">
        <f t="shared" si="33"/>
        <v>0</v>
      </c>
      <c r="E246" s="22">
        <v>481.95</v>
      </c>
      <c r="F246" s="18">
        <f t="shared" si="37"/>
        <v>0</v>
      </c>
      <c r="G246" s="18">
        <f t="shared" si="38"/>
        <v>481.95</v>
      </c>
      <c r="H246" s="22">
        <v>42.76</v>
      </c>
      <c r="I246" s="18">
        <f t="shared" si="39"/>
        <v>0</v>
      </c>
      <c r="J246" s="18">
        <f t="shared" si="40"/>
        <v>42.76</v>
      </c>
      <c r="K246" s="22">
        <v>2.8</v>
      </c>
      <c r="L246" s="18">
        <f t="shared" si="41"/>
        <v>0</v>
      </c>
      <c r="M246" s="18">
        <f t="shared" si="42"/>
        <v>2.8</v>
      </c>
      <c r="N246" s="15">
        <f t="shared" si="43"/>
        <v>527.51</v>
      </c>
      <c r="O246" s="15">
        <f t="shared" si="34"/>
        <v>0</v>
      </c>
      <c r="P246" s="15">
        <f t="shared" si="35"/>
        <v>527.51</v>
      </c>
      <c r="Q246" s="5">
        <f t="shared" si="36"/>
        <v>1</v>
      </c>
    </row>
    <row r="247" spans="1:17" x14ac:dyDescent="0.25">
      <c r="A247" s="7">
        <v>46276.208333333336</v>
      </c>
      <c r="B247" s="22">
        <v>0</v>
      </c>
      <c r="C247" s="22">
        <v>0</v>
      </c>
      <c r="D247" s="18">
        <f t="shared" si="33"/>
        <v>0</v>
      </c>
      <c r="E247" s="22">
        <v>485.09999999999997</v>
      </c>
      <c r="F247" s="18">
        <f t="shared" si="37"/>
        <v>0</v>
      </c>
      <c r="G247" s="18">
        <f t="shared" si="38"/>
        <v>485.09999999999997</v>
      </c>
      <c r="H247" s="22">
        <v>47.559999999999995</v>
      </c>
      <c r="I247" s="18">
        <f t="shared" si="39"/>
        <v>0</v>
      </c>
      <c r="J247" s="18">
        <f t="shared" si="40"/>
        <v>47.559999999999995</v>
      </c>
      <c r="K247" s="22">
        <v>2.8</v>
      </c>
      <c r="L247" s="18">
        <f t="shared" si="41"/>
        <v>0</v>
      </c>
      <c r="M247" s="18">
        <f t="shared" si="42"/>
        <v>2.8</v>
      </c>
      <c r="N247" s="15">
        <f t="shared" si="43"/>
        <v>535.45999999999992</v>
      </c>
      <c r="O247" s="15">
        <f t="shared" si="34"/>
        <v>0</v>
      </c>
      <c r="P247" s="15">
        <f t="shared" si="35"/>
        <v>535.45999999999992</v>
      </c>
      <c r="Q247" s="5">
        <f t="shared" si="36"/>
        <v>1</v>
      </c>
    </row>
    <row r="248" spans="1:17" x14ac:dyDescent="0.25">
      <c r="A248" s="7">
        <v>46276.25</v>
      </c>
      <c r="B248" s="22">
        <v>0</v>
      </c>
      <c r="C248" s="22">
        <v>0</v>
      </c>
      <c r="D248" s="18">
        <f t="shared" si="33"/>
        <v>0</v>
      </c>
      <c r="E248" s="22">
        <v>148.04999999999998</v>
      </c>
      <c r="F248" s="18">
        <f t="shared" si="37"/>
        <v>0</v>
      </c>
      <c r="G248" s="18">
        <f t="shared" si="38"/>
        <v>148.04999999999998</v>
      </c>
      <c r="H248" s="22">
        <v>39.519999999999996</v>
      </c>
      <c r="I248" s="18">
        <f t="shared" si="39"/>
        <v>0</v>
      </c>
      <c r="J248" s="18">
        <f t="shared" si="40"/>
        <v>39.519999999999996</v>
      </c>
      <c r="K248" s="22">
        <v>4.24</v>
      </c>
      <c r="L248" s="18">
        <f t="shared" si="41"/>
        <v>0</v>
      </c>
      <c r="M248" s="18">
        <f t="shared" si="42"/>
        <v>4.24</v>
      </c>
      <c r="N248" s="15">
        <f t="shared" si="43"/>
        <v>191.81</v>
      </c>
      <c r="O248" s="15">
        <f t="shared" si="34"/>
        <v>0</v>
      </c>
      <c r="P248" s="15">
        <f t="shared" si="35"/>
        <v>191.81</v>
      </c>
      <c r="Q248" s="5">
        <f t="shared" si="36"/>
        <v>1</v>
      </c>
    </row>
    <row r="249" spans="1:17" x14ac:dyDescent="0.25">
      <c r="A249" s="7">
        <v>46276.291666666664</v>
      </c>
      <c r="B249" s="22">
        <v>299.25</v>
      </c>
      <c r="C249" s="22">
        <v>0.6</v>
      </c>
      <c r="D249" s="18">
        <f t="shared" si="33"/>
        <v>299.85000000000002</v>
      </c>
      <c r="E249" s="22">
        <v>9.4499999999999993</v>
      </c>
      <c r="F249" s="18">
        <f t="shared" si="37"/>
        <v>9.4499999999999993</v>
      </c>
      <c r="G249" s="18">
        <f t="shared" si="38"/>
        <v>0</v>
      </c>
      <c r="H249" s="22">
        <v>41.56</v>
      </c>
      <c r="I249" s="18">
        <f t="shared" si="39"/>
        <v>41.56</v>
      </c>
      <c r="J249" s="18">
        <f t="shared" si="40"/>
        <v>0</v>
      </c>
      <c r="K249" s="22">
        <v>2.56</v>
      </c>
      <c r="L249" s="18">
        <f t="shared" si="41"/>
        <v>2.56</v>
      </c>
      <c r="M249" s="18">
        <f t="shared" si="42"/>
        <v>0</v>
      </c>
      <c r="N249" s="15">
        <f t="shared" si="43"/>
        <v>53.570000000000007</v>
      </c>
      <c r="O249" s="15">
        <f t="shared" si="34"/>
        <v>53.570000000000007</v>
      </c>
      <c r="P249" s="15">
        <f t="shared" si="35"/>
        <v>0</v>
      </c>
      <c r="Q249" s="5">
        <f t="shared" si="36"/>
        <v>0</v>
      </c>
    </row>
    <row r="250" spans="1:17" x14ac:dyDescent="0.25">
      <c r="A250" s="7">
        <v>46276.333333333336</v>
      </c>
      <c r="B250" s="22">
        <v>960.75</v>
      </c>
      <c r="C250" s="22">
        <v>0</v>
      </c>
      <c r="D250" s="18">
        <f t="shared" si="33"/>
        <v>960.75</v>
      </c>
      <c r="E250" s="22">
        <v>0</v>
      </c>
      <c r="F250" s="18">
        <f t="shared" si="37"/>
        <v>0</v>
      </c>
      <c r="G250" s="18">
        <f t="shared" si="38"/>
        <v>0</v>
      </c>
      <c r="H250" s="22">
        <v>150.88</v>
      </c>
      <c r="I250" s="18">
        <f t="shared" si="39"/>
        <v>150.88</v>
      </c>
      <c r="J250" s="18">
        <f t="shared" si="40"/>
        <v>0</v>
      </c>
      <c r="K250" s="22">
        <v>20.32</v>
      </c>
      <c r="L250" s="18">
        <f t="shared" si="41"/>
        <v>20.32</v>
      </c>
      <c r="M250" s="18">
        <f t="shared" si="42"/>
        <v>0</v>
      </c>
      <c r="N250" s="15">
        <f t="shared" si="43"/>
        <v>171.2</v>
      </c>
      <c r="O250" s="15">
        <f t="shared" si="34"/>
        <v>171.2</v>
      </c>
      <c r="P250" s="15">
        <f t="shared" si="35"/>
        <v>0</v>
      </c>
      <c r="Q250" s="5">
        <f t="shared" si="36"/>
        <v>0</v>
      </c>
    </row>
    <row r="251" spans="1:17" x14ac:dyDescent="0.25">
      <c r="A251" s="7">
        <v>46276.375</v>
      </c>
      <c r="B251" s="22">
        <v>1666.35</v>
      </c>
      <c r="C251" s="22">
        <v>0.36000000000000004</v>
      </c>
      <c r="D251" s="18">
        <f t="shared" si="33"/>
        <v>1666.7099999999998</v>
      </c>
      <c r="E251" s="22">
        <v>0</v>
      </c>
      <c r="F251" s="18">
        <f t="shared" si="37"/>
        <v>0</v>
      </c>
      <c r="G251" s="18">
        <f t="shared" si="38"/>
        <v>0</v>
      </c>
      <c r="H251" s="22">
        <v>73.72</v>
      </c>
      <c r="I251" s="18">
        <f t="shared" si="39"/>
        <v>73.72</v>
      </c>
      <c r="J251" s="18">
        <f t="shared" si="40"/>
        <v>0</v>
      </c>
      <c r="K251" s="22">
        <v>41.08</v>
      </c>
      <c r="L251" s="18">
        <f t="shared" si="41"/>
        <v>41.08</v>
      </c>
      <c r="M251" s="18">
        <f t="shared" si="42"/>
        <v>0</v>
      </c>
      <c r="N251" s="15">
        <f t="shared" si="43"/>
        <v>114.8</v>
      </c>
      <c r="O251" s="15">
        <f t="shared" si="34"/>
        <v>114.8</v>
      </c>
      <c r="P251" s="15">
        <f t="shared" si="35"/>
        <v>0</v>
      </c>
      <c r="Q251" s="5">
        <f t="shared" si="36"/>
        <v>0</v>
      </c>
    </row>
    <row r="252" spans="1:17" x14ac:dyDescent="0.25">
      <c r="A252" s="7">
        <v>46276.416666666664</v>
      </c>
      <c r="B252" s="22">
        <v>2249.1</v>
      </c>
      <c r="C252" s="22">
        <v>0.84000000000000008</v>
      </c>
      <c r="D252" s="18">
        <f t="shared" si="33"/>
        <v>2249.94</v>
      </c>
      <c r="E252" s="22">
        <v>0</v>
      </c>
      <c r="F252" s="18">
        <f t="shared" si="37"/>
        <v>0</v>
      </c>
      <c r="G252" s="18">
        <f t="shared" si="38"/>
        <v>0</v>
      </c>
      <c r="H252" s="22">
        <v>54.4</v>
      </c>
      <c r="I252" s="18">
        <f t="shared" si="39"/>
        <v>54.4</v>
      </c>
      <c r="J252" s="18">
        <f t="shared" si="40"/>
        <v>0</v>
      </c>
      <c r="K252" s="22">
        <v>15.879999999999999</v>
      </c>
      <c r="L252" s="18">
        <f t="shared" si="41"/>
        <v>15.879999999999999</v>
      </c>
      <c r="M252" s="18">
        <f t="shared" si="42"/>
        <v>0</v>
      </c>
      <c r="N252" s="15">
        <f t="shared" si="43"/>
        <v>70.28</v>
      </c>
      <c r="O252" s="15">
        <f t="shared" si="34"/>
        <v>70.28</v>
      </c>
      <c r="P252" s="15">
        <f t="shared" si="35"/>
        <v>0</v>
      </c>
      <c r="Q252" s="5">
        <f t="shared" si="36"/>
        <v>0</v>
      </c>
    </row>
    <row r="253" spans="1:17" x14ac:dyDescent="0.25">
      <c r="A253" s="7">
        <v>46276.458333333336</v>
      </c>
      <c r="B253" s="22">
        <v>2614.5</v>
      </c>
      <c r="C253" s="22">
        <v>2.16</v>
      </c>
      <c r="D253" s="18">
        <f t="shared" si="33"/>
        <v>2616.66</v>
      </c>
      <c r="E253" s="22">
        <v>0</v>
      </c>
      <c r="F253" s="18">
        <f t="shared" si="37"/>
        <v>0</v>
      </c>
      <c r="G253" s="18">
        <f t="shared" si="38"/>
        <v>0</v>
      </c>
      <c r="H253" s="22">
        <v>49</v>
      </c>
      <c r="I253" s="18">
        <f t="shared" si="39"/>
        <v>49</v>
      </c>
      <c r="J253" s="18">
        <f t="shared" si="40"/>
        <v>0</v>
      </c>
      <c r="K253" s="22">
        <v>41.68</v>
      </c>
      <c r="L253" s="18">
        <f t="shared" si="41"/>
        <v>41.68</v>
      </c>
      <c r="M253" s="18">
        <f t="shared" si="42"/>
        <v>0</v>
      </c>
      <c r="N253" s="15">
        <f t="shared" si="43"/>
        <v>90.68</v>
      </c>
      <c r="O253" s="15">
        <f t="shared" si="34"/>
        <v>90.68</v>
      </c>
      <c r="P253" s="15">
        <f t="shared" si="35"/>
        <v>0</v>
      </c>
      <c r="Q253" s="5">
        <f t="shared" si="36"/>
        <v>0</v>
      </c>
    </row>
    <row r="254" spans="1:17" x14ac:dyDescent="0.25">
      <c r="A254" s="7">
        <v>46276.5</v>
      </c>
      <c r="B254" s="22">
        <v>2463.2999999999997</v>
      </c>
      <c r="C254" s="22">
        <v>9.6</v>
      </c>
      <c r="D254" s="18">
        <f t="shared" si="33"/>
        <v>2472.8999999999996</v>
      </c>
      <c r="E254" s="22">
        <v>0</v>
      </c>
      <c r="F254" s="18">
        <f t="shared" si="37"/>
        <v>0</v>
      </c>
      <c r="G254" s="18">
        <f t="shared" si="38"/>
        <v>0</v>
      </c>
      <c r="H254" s="22">
        <v>28.72</v>
      </c>
      <c r="I254" s="18">
        <f t="shared" si="39"/>
        <v>28.72</v>
      </c>
      <c r="J254" s="18">
        <f t="shared" si="40"/>
        <v>0</v>
      </c>
      <c r="K254" s="22">
        <v>21.52</v>
      </c>
      <c r="L254" s="18">
        <f t="shared" si="41"/>
        <v>21.52</v>
      </c>
      <c r="M254" s="18">
        <f t="shared" si="42"/>
        <v>0</v>
      </c>
      <c r="N254" s="15">
        <f t="shared" si="43"/>
        <v>50.239999999999995</v>
      </c>
      <c r="O254" s="15">
        <f t="shared" si="34"/>
        <v>50.239999999999995</v>
      </c>
      <c r="P254" s="15">
        <f t="shared" si="35"/>
        <v>0</v>
      </c>
      <c r="Q254" s="5">
        <f t="shared" si="36"/>
        <v>0</v>
      </c>
    </row>
    <row r="255" spans="1:17" x14ac:dyDescent="0.25">
      <c r="A255" s="7">
        <v>46276.541666666664</v>
      </c>
      <c r="B255" s="22">
        <v>2702.7000000000003</v>
      </c>
      <c r="C255" s="22">
        <v>15</v>
      </c>
      <c r="D255" s="18">
        <f t="shared" si="33"/>
        <v>2717.7000000000003</v>
      </c>
      <c r="E255" s="22">
        <v>0</v>
      </c>
      <c r="F255" s="18">
        <f t="shared" si="37"/>
        <v>0</v>
      </c>
      <c r="G255" s="18">
        <f t="shared" si="38"/>
        <v>0</v>
      </c>
      <c r="H255" s="22">
        <v>22</v>
      </c>
      <c r="I255" s="18">
        <f t="shared" si="39"/>
        <v>22</v>
      </c>
      <c r="J255" s="18">
        <f t="shared" si="40"/>
        <v>0</v>
      </c>
      <c r="K255" s="22">
        <v>31.6</v>
      </c>
      <c r="L255" s="18">
        <f t="shared" si="41"/>
        <v>31.6</v>
      </c>
      <c r="M255" s="18">
        <f t="shared" si="42"/>
        <v>0</v>
      </c>
      <c r="N255" s="15">
        <f t="shared" si="43"/>
        <v>53.6</v>
      </c>
      <c r="O255" s="15">
        <f t="shared" si="34"/>
        <v>53.6</v>
      </c>
      <c r="P255" s="15">
        <f t="shared" si="35"/>
        <v>0</v>
      </c>
      <c r="Q255" s="5">
        <f t="shared" si="36"/>
        <v>0</v>
      </c>
    </row>
    <row r="256" spans="1:17" x14ac:dyDescent="0.25">
      <c r="A256" s="7">
        <v>46276.583333333336</v>
      </c>
      <c r="B256" s="22">
        <v>2422.35</v>
      </c>
      <c r="C256" s="22">
        <v>0.72000000000000008</v>
      </c>
      <c r="D256" s="18">
        <f t="shared" si="33"/>
        <v>2423.0699999999997</v>
      </c>
      <c r="E256" s="22">
        <v>0</v>
      </c>
      <c r="F256" s="18">
        <f t="shared" si="37"/>
        <v>0</v>
      </c>
      <c r="G256" s="18">
        <f t="shared" si="38"/>
        <v>0</v>
      </c>
      <c r="H256" s="22">
        <v>83.8</v>
      </c>
      <c r="I256" s="18">
        <f t="shared" si="39"/>
        <v>83.8</v>
      </c>
      <c r="J256" s="18">
        <f t="shared" si="40"/>
        <v>0</v>
      </c>
      <c r="K256" s="22">
        <v>27.52</v>
      </c>
      <c r="L256" s="18">
        <f t="shared" si="41"/>
        <v>27.52</v>
      </c>
      <c r="M256" s="18">
        <f t="shared" si="42"/>
        <v>0</v>
      </c>
      <c r="N256" s="15">
        <f t="shared" si="43"/>
        <v>111.32</v>
      </c>
      <c r="O256" s="15">
        <f t="shared" si="34"/>
        <v>111.32</v>
      </c>
      <c r="P256" s="15">
        <f t="shared" si="35"/>
        <v>0</v>
      </c>
      <c r="Q256" s="5">
        <f t="shared" si="36"/>
        <v>0</v>
      </c>
    </row>
    <row r="257" spans="1:17" x14ac:dyDescent="0.25">
      <c r="A257" s="7">
        <v>46276.625</v>
      </c>
      <c r="B257" s="22">
        <v>2003.4</v>
      </c>
      <c r="C257" s="22">
        <v>0</v>
      </c>
      <c r="D257" s="18">
        <f t="shared" si="33"/>
        <v>2003.4</v>
      </c>
      <c r="E257" s="22">
        <v>0</v>
      </c>
      <c r="F257" s="18">
        <f t="shared" si="37"/>
        <v>0</v>
      </c>
      <c r="G257" s="18">
        <f t="shared" si="38"/>
        <v>0</v>
      </c>
      <c r="H257" s="22">
        <v>97.48</v>
      </c>
      <c r="I257" s="18">
        <f t="shared" si="39"/>
        <v>97.48</v>
      </c>
      <c r="J257" s="18">
        <f t="shared" si="40"/>
        <v>0</v>
      </c>
      <c r="K257" s="22">
        <v>24.639999999999997</v>
      </c>
      <c r="L257" s="18">
        <f t="shared" si="41"/>
        <v>24.639999999999997</v>
      </c>
      <c r="M257" s="18">
        <f t="shared" si="42"/>
        <v>0</v>
      </c>
      <c r="N257" s="15">
        <f t="shared" si="43"/>
        <v>122.12</v>
      </c>
      <c r="O257" s="15">
        <f t="shared" si="34"/>
        <v>122.12</v>
      </c>
      <c r="P257" s="15">
        <f t="shared" si="35"/>
        <v>0</v>
      </c>
      <c r="Q257" s="5">
        <f t="shared" si="36"/>
        <v>0</v>
      </c>
    </row>
    <row r="258" spans="1:17" x14ac:dyDescent="0.25">
      <c r="A258" s="7">
        <v>46276.666666666664</v>
      </c>
      <c r="B258" s="22">
        <v>1219.05</v>
      </c>
      <c r="C258" s="22">
        <v>0</v>
      </c>
      <c r="D258" s="18">
        <f t="shared" ref="D258:D321" si="44">+B258+C258</f>
        <v>1219.05</v>
      </c>
      <c r="E258" s="22">
        <v>0</v>
      </c>
      <c r="F258" s="18">
        <f t="shared" si="37"/>
        <v>0</v>
      </c>
      <c r="G258" s="18">
        <f t="shared" si="38"/>
        <v>0</v>
      </c>
      <c r="H258" s="22">
        <v>108.52000000000001</v>
      </c>
      <c r="I258" s="18">
        <f t="shared" si="39"/>
        <v>108.52000000000001</v>
      </c>
      <c r="J258" s="18">
        <f t="shared" si="40"/>
        <v>0</v>
      </c>
      <c r="K258" s="22">
        <v>27.16</v>
      </c>
      <c r="L258" s="18">
        <f t="shared" si="41"/>
        <v>27.16</v>
      </c>
      <c r="M258" s="18">
        <f t="shared" si="42"/>
        <v>0</v>
      </c>
      <c r="N258" s="15">
        <f t="shared" si="43"/>
        <v>135.68</v>
      </c>
      <c r="O258" s="15">
        <f t="shared" ref="O258:O321" si="45">+N258-P258</f>
        <v>135.68</v>
      </c>
      <c r="P258" s="15">
        <f t="shared" ref="P258:P321" si="46">+IF(N258&gt;D258,N258-D258,0)</f>
        <v>0</v>
      </c>
      <c r="Q258" s="5">
        <f t="shared" ref="Q258:Q321" si="47">+IF(P258=0,P258,P258/N258)</f>
        <v>0</v>
      </c>
    </row>
    <row r="259" spans="1:17" x14ac:dyDescent="0.25">
      <c r="A259" s="7">
        <v>46276.708333333336</v>
      </c>
      <c r="B259" s="22">
        <v>337.05</v>
      </c>
      <c r="C259" s="22">
        <v>0</v>
      </c>
      <c r="D259" s="18">
        <f t="shared" si="44"/>
        <v>337.05</v>
      </c>
      <c r="E259" s="22">
        <v>3.15</v>
      </c>
      <c r="F259" s="18">
        <f t="shared" ref="F259:F322" si="48">+E259-G259</f>
        <v>3.15</v>
      </c>
      <c r="G259" s="18">
        <f t="shared" ref="G259:G322" si="49">+E259*Q259</f>
        <v>0</v>
      </c>
      <c r="H259" s="22">
        <v>72.64</v>
      </c>
      <c r="I259" s="18">
        <f t="shared" ref="I259:I322" si="50">+H259-J259</f>
        <v>72.64</v>
      </c>
      <c r="J259" s="18">
        <f t="shared" ref="J259:J322" si="51">+H259*Q259</f>
        <v>0</v>
      </c>
      <c r="K259" s="22">
        <v>36.288000000000004</v>
      </c>
      <c r="L259" s="18">
        <f t="shared" ref="L259:L322" si="52">+K259-M259</f>
        <v>36.288000000000004</v>
      </c>
      <c r="M259" s="18">
        <f t="shared" ref="M259:M322" si="53">+K259*Q259</f>
        <v>0</v>
      </c>
      <c r="N259" s="15">
        <f t="shared" ref="N259:N322" si="54">+E259+H259+K259</f>
        <v>112.078</v>
      </c>
      <c r="O259" s="15">
        <f t="shared" si="45"/>
        <v>112.078</v>
      </c>
      <c r="P259" s="15">
        <f t="shared" si="46"/>
        <v>0</v>
      </c>
      <c r="Q259" s="5">
        <f t="shared" si="47"/>
        <v>0</v>
      </c>
    </row>
    <row r="260" spans="1:17" x14ac:dyDescent="0.25">
      <c r="A260" s="7">
        <v>46276.75</v>
      </c>
      <c r="B260" s="22">
        <v>37.799999999999997</v>
      </c>
      <c r="C260" s="22">
        <v>0</v>
      </c>
      <c r="D260" s="18">
        <f t="shared" si="44"/>
        <v>37.799999999999997</v>
      </c>
      <c r="E260" s="22">
        <v>72.45</v>
      </c>
      <c r="F260" s="18">
        <f t="shared" si="48"/>
        <v>16.91063687895965</v>
      </c>
      <c r="G260" s="18">
        <f t="shared" si="49"/>
        <v>55.539363121040353</v>
      </c>
      <c r="H260" s="22">
        <v>69.88</v>
      </c>
      <c r="I260" s="18">
        <f t="shared" si="50"/>
        <v>16.310770256752242</v>
      </c>
      <c r="J260" s="18">
        <f t="shared" si="51"/>
        <v>53.569229743247753</v>
      </c>
      <c r="K260" s="22">
        <v>19.616000000000003</v>
      </c>
      <c r="L260" s="18">
        <f t="shared" si="52"/>
        <v>4.5785928642880958</v>
      </c>
      <c r="M260" s="18">
        <f t="shared" si="53"/>
        <v>15.037407135711907</v>
      </c>
      <c r="N260" s="15">
        <f t="shared" si="54"/>
        <v>161.946</v>
      </c>
      <c r="O260" s="15">
        <f t="shared" si="45"/>
        <v>37.799999999999997</v>
      </c>
      <c r="P260" s="15">
        <f t="shared" si="46"/>
        <v>124.146</v>
      </c>
      <c r="Q260" s="5">
        <f t="shared" si="47"/>
        <v>0.76658886295431816</v>
      </c>
    </row>
    <row r="261" spans="1:17" x14ac:dyDescent="0.25">
      <c r="A261" s="7">
        <v>46276.791666666664</v>
      </c>
      <c r="B261" s="22">
        <v>0</v>
      </c>
      <c r="C261" s="22">
        <v>0</v>
      </c>
      <c r="D261" s="18">
        <f t="shared" si="44"/>
        <v>0</v>
      </c>
      <c r="E261" s="22">
        <v>179.54999999999998</v>
      </c>
      <c r="F261" s="18">
        <f t="shared" si="48"/>
        <v>0</v>
      </c>
      <c r="G261" s="18">
        <f t="shared" si="49"/>
        <v>179.54999999999998</v>
      </c>
      <c r="H261" s="22">
        <v>52.839999999999996</v>
      </c>
      <c r="I261" s="18">
        <f t="shared" si="50"/>
        <v>0</v>
      </c>
      <c r="J261" s="18">
        <f t="shared" si="51"/>
        <v>52.839999999999996</v>
      </c>
      <c r="K261" s="22">
        <v>7.9340000000000002</v>
      </c>
      <c r="L261" s="18">
        <f t="shared" si="52"/>
        <v>0</v>
      </c>
      <c r="M261" s="18">
        <f t="shared" si="53"/>
        <v>7.9340000000000002</v>
      </c>
      <c r="N261" s="15">
        <f t="shared" si="54"/>
        <v>240.32399999999998</v>
      </c>
      <c r="O261" s="15">
        <f t="shared" si="45"/>
        <v>0</v>
      </c>
      <c r="P261" s="15">
        <f t="shared" si="46"/>
        <v>240.32399999999998</v>
      </c>
      <c r="Q261" s="5">
        <f t="shared" si="47"/>
        <v>1</v>
      </c>
    </row>
    <row r="262" spans="1:17" x14ac:dyDescent="0.25">
      <c r="A262" s="7">
        <v>46276.833333333336</v>
      </c>
      <c r="B262" s="22">
        <v>0</v>
      </c>
      <c r="C262" s="22">
        <v>0</v>
      </c>
      <c r="D262" s="18">
        <f t="shared" si="44"/>
        <v>0</v>
      </c>
      <c r="E262" s="22">
        <v>283.5</v>
      </c>
      <c r="F262" s="18">
        <f t="shared" si="48"/>
        <v>0</v>
      </c>
      <c r="G262" s="18">
        <f t="shared" si="49"/>
        <v>283.5</v>
      </c>
      <c r="H262" s="22">
        <v>37.119999999999997</v>
      </c>
      <c r="I262" s="18">
        <f t="shared" si="50"/>
        <v>0</v>
      </c>
      <c r="J262" s="18">
        <f t="shared" si="51"/>
        <v>37.119999999999997</v>
      </c>
      <c r="K262" s="22">
        <v>2.702</v>
      </c>
      <c r="L262" s="18">
        <f t="shared" si="52"/>
        <v>0</v>
      </c>
      <c r="M262" s="18">
        <f t="shared" si="53"/>
        <v>2.702</v>
      </c>
      <c r="N262" s="15">
        <f t="shared" si="54"/>
        <v>323.322</v>
      </c>
      <c r="O262" s="15">
        <f t="shared" si="45"/>
        <v>0</v>
      </c>
      <c r="P262" s="15">
        <f t="shared" si="46"/>
        <v>323.322</v>
      </c>
      <c r="Q262" s="5">
        <f t="shared" si="47"/>
        <v>1</v>
      </c>
    </row>
    <row r="263" spans="1:17" x14ac:dyDescent="0.25">
      <c r="A263" s="7">
        <v>46276.875</v>
      </c>
      <c r="B263" s="22">
        <v>0</v>
      </c>
      <c r="C263" s="22">
        <v>0</v>
      </c>
      <c r="D263" s="18">
        <f t="shared" si="44"/>
        <v>0</v>
      </c>
      <c r="E263" s="22">
        <v>441</v>
      </c>
      <c r="F263" s="18">
        <f t="shared" si="48"/>
        <v>0</v>
      </c>
      <c r="G263" s="18">
        <f t="shared" si="49"/>
        <v>441</v>
      </c>
      <c r="H263" s="22">
        <v>40.36</v>
      </c>
      <c r="I263" s="18">
        <f t="shared" si="50"/>
        <v>0</v>
      </c>
      <c r="J263" s="18">
        <f t="shared" si="51"/>
        <v>40.36</v>
      </c>
      <c r="K263" s="22">
        <v>2.8240000000000003</v>
      </c>
      <c r="L263" s="18">
        <f t="shared" si="52"/>
        <v>0</v>
      </c>
      <c r="M263" s="18">
        <f t="shared" si="53"/>
        <v>2.8240000000000003</v>
      </c>
      <c r="N263" s="15">
        <f t="shared" si="54"/>
        <v>484.18400000000003</v>
      </c>
      <c r="O263" s="15">
        <f t="shared" si="45"/>
        <v>0</v>
      </c>
      <c r="P263" s="15">
        <f t="shared" si="46"/>
        <v>484.18400000000003</v>
      </c>
      <c r="Q263" s="5">
        <f t="shared" si="47"/>
        <v>1</v>
      </c>
    </row>
    <row r="264" spans="1:17" x14ac:dyDescent="0.25">
      <c r="A264" s="7">
        <v>46276.916666666664</v>
      </c>
      <c r="B264" s="22">
        <v>0</v>
      </c>
      <c r="C264" s="22">
        <v>0</v>
      </c>
      <c r="D264" s="18">
        <f t="shared" si="44"/>
        <v>0</v>
      </c>
      <c r="E264" s="22">
        <v>453.6</v>
      </c>
      <c r="F264" s="18">
        <f t="shared" si="48"/>
        <v>0</v>
      </c>
      <c r="G264" s="18">
        <f t="shared" si="49"/>
        <v>453.6</v>
      </c>
      <c r="H264" s="22">
        <v>40</v>
      </c>
      <c r="I264" s="18">
        <f t="shared" si="50"/>
        <v>0</v>
      </c>
      <c r="J264" s="18">
        <f t="shared" si="51"/>
        <v>40</v>
      </c>
      <c r="K264" s="22">
        <v>3.04</v>
      </c>
      <c r="L264" s="18">
        <f t="shared" si="52"/>
        <v>0</v>
      </c>
      <c r="M264" s="18">
        <f t="shared" si="53"/>
        <v>3.04</v>
      </c>
      <c r="N264" s="15">
        <f t="shared" si="54"/>
        <v>496.64000000000004</v>
      </c>
      <c r="O264" s="15">
        <f t="shared" si="45"/>
        <v>0</v>
      </c>
      <c r="P264" s="15">
        <f t="shared" si="46"/>
        <v>496.64000000000004</v>
      </c>
      <c r="Q264" s="5">
        <f t="shared" si="47"/>
        <v>1</v>
      </c>
    </row>
    <row r="265" spans="1:17" x14ac:dyDescent="0.25">
      <c r="A265" s="7">
        <v>46276.958333333336</v>
      </c>
      <c r="B265" s="22">
        <v>0</v>
      </c>
      <c r="C265" s="22">
        <v>0</v>
      </c>
      <c r="D265" s="18">
        <f t="shared" si="44"/>
        <v>0</v>
      </c>
      <c r="E265" s="22">
        <v>463.05</v>
      </c>
      <c r="F265" s="18">
        <f t="shared" si="48"/>
        <v>0</v>
      </c>
      <c r="G265" s="18">
        <f t="shared" si="49"/>
        <v>463.05</v>
      </c>
      <c r="H265" s="22">
        <v>41.8</v>
      </c>
      <c r="I265" s="18">
        <f t="shared" si="50"/>
        <v>0</v>
      </c>
      <c r="J265" s="18">
        <f t="shared" si="51"/>
        <v>41.8</v>
      </c>
      <c r="K265" s="22">
        <v>2.8</v>
      </c>
      <c r="L265" s="18">
        <f t="shared" si="52"/>
        <v>0</v>
      </c>
      <c r="M265" s="18">
        <f t="shared" si="53"/>
        <v>2.8</v>
      </c>
      <c r="N265" s="15">
        <f t="shared" si="54"/>
        <v>507.65000000000003</v>
      </c>
      <c r="O265" s="15">
        <f t="shared" si="45"/>
        <v>0</v>
      </c>
      <c r="P265" s="15">
        <f t="shared" si="46"/>
        <v>507.65000000000003</v>
      </c>
      <c r="Q265" s="5">
        <f t="shared" si="47"/>
        <v>1</v>
      </c>
    </row>
    <row r="266" spans="1:17" x14ac:dyDescent="0.25">
      <c r="A266" s="7">
        <v>46277</v>
      </c>
      <c r="B266" s="22">
        <v>0</v>
      </c>
      <c r="C266" s="22">
        <v>0</v>
      </c>
      <c r="D266" s="18">
        <f t="shared" si="44"/>
        <v>0</v>
      </c>
      <c r="E266" s="22">
        <v>437.85</v>
      </c>
      <c r="F266" s="18">
        <f t="shared" si="48"/>
        <v>0</v>
      </c>
      <c r="G266" s="18">
        <f t="shared" si="49"/>
        <v>437.85</v>
      </c>
      <c r="H266" s="22">
        <v>43.48</v>
      </c>
      <c r="I266" s="18">
        <f t="shared" si="50"/>
        <v>0</v>
      </c>
      <c r="J266" s="18">
        <f t="shared" si="51"/>
        <v>43.48</v>
      </c>
      <c r="K266" s="22">
        <v>2.8</v>
      </c>
      <c r="L266" s="18">
        <f t="shared" si="52"/>
        <v>0</v>
      </c>
      <c r="M266" s="18">
        <f t="shared" si="53"/>
        <v>2.8</v>
      </c>
      <c r="N266" s="15">
        <f t="shared" si="54"/>
        <v>484.13000000000005</v>
      </c>
      <c r="O266" s="15">
        <f t="shared" si="45"/>
        <v>0</v>
      </c>
      <c r="P266" s="15">
        <f t="shared" si="46"/>
        <v>484.13000000000005</v>
      </c>
      <c r="Q266" s="5">
        <f t="shared" si="47"/>
        <v>1</v>
      </c>
    </row>
    <row r="267" spans="1:17" x14ac:dyDescent="0.25">
      <c r="A267" s="7">
        <v>46277.041666666664</v>
      </c>
      <c r="B267" s="22">
        <v>0</v>
      </c>
      <c r="C267" s="22">
        <v>0</v>
      </c>
      <c r="D267" s="18">
        <f t="shared" si="44"/>
        <v>0</v>
      </c>
      <c r="E267" s="22">
        <v>166.95</v>
      </c>
      <c r="F267" s="18">
        <f t="shared" si="48"/>
        <v>0</v>
      </c>
      <c r="G267" s="18">
        <f t="shared" si="49"/>
        <v>166.95</v>
      </c>
      <c r="H267" s="22">
        <v>35.44</v>
      </c>
      <c r="I267" s="18">
        <f t="shared" si="50"/>
        <v>0</v>
      </c>
      <c r="J267" s="18">
        <f t="shared" si="51"/>
        <v>35.44</v>
      </c>
      <c r="K267" s="22">
        <v>2.68</v>
      </c>
      <c r="L267" s="18">
        <f t="shared" si="52"/>
        <v>0</v>
      </c>
      <c r="M267" s="18">
        <f t="shared" si="53"/>
        <v>2.68</v>
      </c>
      <c r="N267" s="15">
        <f t="shared" si="54"/>
        <v>205.07</v>
      </c>
      <c r="O267" s="15">
        <f t="shared" si="45"/>
        <v>0</v>
      </c>
      <c r="P267" s="15">
        <f t="shared" si="46"/>
        <v>205.07</v>
      </c>
      <c r="Q267" s="5">
        <f t="shared" si="47"/>
        <v>1</v>
      </c>
    </row>
    <row r="268" spans="1:17" x14ac:dyDescent="0.25">
      <c r="A268" s="7">
        <v>46277.083333333336</v>
      </c>
      <c r="B268" s="22">
        <v>0</v>
      </c>
      <c r="C268" s="22">
        <v>0</v>
      </c>
      <c r="D268" s="18">
        <f t="shared" si="44"/>
        <v>0</v>
      </c>
      <c r="E268" s="22">
        <v>359.09999999999997</v>
      </c>
      <c r="F268" s="18">
        <f t="shared" si="48"/>
        <v>0</v>
      </c>
      <c r="G268" s="18">
        <f t="shared" si="49"/>
        <v>359.09999999999997</v>
      </c>
      <c r="H268" s="22">
        <v>41.2</v>
      </c>
      <c r="I268" s="18">
        <f t="shared" si="50"/>
        <v>0</v>
      </c>
      <c r="J268" s="18">
        <f t="shared" si="51"/>
        <v>41.2</v>
      </c>
      <c r="K268" s="22">
        <v>2.8</v>
      </c>
      <c r="L268" s="18">
        <f t="shared" si="52"/>
        <v>0</v>
      </c>
      <c r="M268" s="18">
        <f t="shared" si="53"/>
        <v>2.8</v>
      </c>
      <c r="N268" s="15">
        <f t="shared" si="54"/>
        <v>403.09999999999997</v>
      </c>
      <c r="O268" s="15">
        <f t="shared" si="45"/>
        <v>0</v>
      </c>
      <c r="P268" s="15">
        <f t="shared" si="46"/>
        <v>403.09999999999997</v>
      </c>
      <c r="Q268" s="5">
        <f t="shared" si="47"/>
        <v>1</v>
      </c>
    </row>
    <row r="269" spans="1:17" x14ac:dyDescent="0.25">
      <c r="A269" s="7">
        <v>46277.125</v>
      </c>
      <c r="B269" s="22">
        <v>0</v>
      </c>
      <c r="C269" s="22">
        <v>0</v>
      </c>
      <c r="D269" s="18">
        <f t="shared" si="44"/>
        <v>0</v>
      </c>
      <c r="E269" s="22">
        <v>463.05</v>
      </c>
      <c r="F269" s="18">
        <f t="shared" si="48"/>
        <v>0</v>
      </c>
      <c r="G269" s="18">
        <f t="shared" si="49"/>
        <v>463.05</v>
      </c>
      <c r="H269" s="22">
        <v>42.4</v>
      </c>
      <c r="I269" s="18">
        <f t="shared" si="50"/>
        <v>0</v>
      </c>
      <c r="J269" s="18">
        <f t="shared" si="51"/>
        <v>42.4</v>
      </c>
      <c r="K269" s="22">
        <v>2.92</v>
      </c>
      <c r="L269" s="18">
        <f t="shared" si="52"/>
        <v>0</v>
      </c>
      <c r="M269" s="18">
        <f t="shared" si="53"/>
        <v>2.92</v>
      </c>
      <c r="N269" s="15">
        <f t="shared" si="54"/>
        <v>508.37</v>
      </c>
      <c r="O269" s="15">
        <f t="shared" si="45"/>
        <v>0</v>
      </c>
      <c r="P269" s="15">
        <f t="shared" si="46"/>
        <v>508.37</v>
      </c>
      <c r="Q269" s="5">
        <f t="shared" si="47"/>
        <v>1</v>
      </c>
    </row>
    <row r="270" spans="1:17" x14ac:dyDescent="0.25">
      <c r="A270" s="7">
        <v>46277.166666666664</v>
      </c>
      <c r="B270" s="22">
        <v>0</v>
      </c>
      <c r="C270" s="22">
        <v>0</v>
      </c>
      <c r="D270" s="18">
        <f t="shared" si="44"/>
        <v>0</v>
      </c>
      <c r="E270" s="22">
        <v>437.85</v>
      </c>
      <c r="F270" s="18">
        <f t="shared" si="48"/>
        <v>0</v>
      </c>
      <c r="G270" s="18">
        <f t="shared" si="49"/>
        <v>437.85</v>
      </c>
      <c r="H270" s="22">
        <v>43.36</v>
      </c>
      <c r="I270" s="18">
        <f t="shared" si="50"/>
        <v>0</v>
      </c>
      <c r="J270" s="18">
        <f t="shared" si="51"/>
        <v>43.36</v>
      </c>
      <c r="K270" s="22">
        <v>2.8</v>
      </c>
      <c r="L270" s="18">
        <f t="shared" si="52"/>
        <v>0</v>
      </c>
      <c r="M270" s="18">
        <f t="shared" si="53"/>
        <v>2.8</v>
      </c>
      <c r="N270" s="15">
        <f t="shared" si="54"/>
        <v>484.01000000000005</v>
      </c>
      <c r="O270" s="15">
        <f t="shared" si="45"/>
        <v>0</v>
      </c>
      <c r="P270" s="15">
        <f t="shared" si="46"/>
        <v>484.01000000000005</v>
      </c>
      <c r="Q270" s="5">
        <f t="shared" si="47"/>
        <v>1</v>
      </c>
    </row>
    <row r="271" spans="1:17" x14ac:dyDescent="0.25">
      <c r="A271" s="7">
        <v>46277.208333333336</v>
      </c>
      <c r="B271" s="22">
        <v>0</v>
      </c>
      <c r="C271" s="22">
        <v>0</v>
      </c>
      <c r="D271" s="18">
        <f t="shared" si="44"/>
        <v>0</v>
      </c>
      <c r="E271" s="22">
        <v>396.9</v>
      </c>
      <c r="F271" s="18">
        <f t="shared" si="48"/>
        <v>0</v>
      </c>
      <c r="G271" s="18">
        <f t="shared" si="49"/>
        <v>396.9</v>
      </c>
      <c r="H271" s="22">
        <v>44.56</v>
      </c>
      <c r="I271" s="18">
        <f t="shared" si="50"/>
        <v>0</v>
      </c>
      <c r="J271" s="18">
        <f t="shared" si="51"/>
        <v>44.56</v>
      </c>
      <c r="K271" s="22">
        <v>2.8</v>
      </c>
      <c r="L271" s="18">
        <f t="shared" si="52"/>
        <v>0</v>
      </c>
      <c r="M271" s="18">
        <f t="shared" si="53"/>
        <v>2.8</v>
      </c>
      <c r="N271" s="15">
        <f t="shared" si="54"/>
        <v>444.26</v>
      </c>
      <c r="O271" s="15">
        <f t="shared" si="45"/>
        <v>0</v>
      </c>
      <c r="P271" s="15">
        <f t="shared" si="46"/>
        <v>444.26</v>
      </c>
      <c r="Q271" s="5">
        <f t="shared" si="47"/>
        <v>1</v>
      </c>
    </row>
    <row r="272" spans="1:17" x14ac:dyDescent="0.25">
      <c r="A272" s="7">
        <v>46277.25</v>
      </c>
      <c r="B272" s="22">
        <v>6.3</v>
      </c>
      <c r="C272" s="22">
        <v>0</v>
      </c>
      <c r="D272" s="18">
        <f t="shared" si="44"/>
        <v>6.3</v>
      </c>
      <c r="E272" s="22">
        <v>44.1</v>
      </c>
      <c r="F272" s="18">
        <f t="shared" si="48"/>
        <v>3.3209419077217319</v>
      </c>
      <c r="G272" s="18">
        <f t="shared" si="49"/>
        <v>40.779058092278269</v>
      </c>
      <c r="H272" s="22">
        <v>35.32</v>
      </c>
      <c r="I272" s="18">
        <f t="shared" si="50"/>
        <v>2.6597657183839374</v>
      </c>
      <c r="J272" s="18">
        <f t="shared" si="51"/>
        <v>32.660234281616063</v>
      </c>
      <c r="K272" s="22">
        <v>4.24</v>
      </c>
      <c r="L272" s="18">
        <f t="shared" si="52"/>
        <v>0.31929237389433407</v>
      </c>
      <c r="M272" s="18">
        <f t="shared" si="53"/>
        <v>3.9207076261056661</v>
      </c>
      <c r="N272" s="15">
        <f t="shared" si="54"/>
        <v>83.66</v>
      </c>
      <c r="O272" s="15">
        <f t="shared" si="45"/>
        <v>6.2999999999999972</v>
      </c>
      <c r="P272" s="15">
        <f t="shared" si="46"/>
        <v>77.36</v>
      </c>
      <c r="Q272" s="5">
        <f t="shared" si="47"/>
        <v>0.92469519483624196</v>
      </c>
    </row>
    <row r="273" spans="1:17" x14ac:dyDescent="0.25">
      <c r="A273" s="7">
        <v>46277.291666666664</v>
      </c>
      <c r="B273" s="22">
        <v>359.09999999999997</v>
      </c>
      <c r="C273" s="22">
        <v>0.84000000000000008</v>
      </c>
      <c r="D273" s="18">
        <f t="shared" si="44"/>
        <v>359.93999999999994</v>
      </c>
      <c r="E273" s="22">
        <v>0</v>
      </c>
      <c r="F273" s="18">
        <f t="shared" si="48"/>
        <v>0</v>
      </c>
      <c r="G273" s="18">
        <f t="shared" si="49"/>
        <v>0</v>
      </c>
      <c r="H273" s="22">
        <v>38.92</v>
      </c>
      <c r="I273" s="18">
        <f t="shared" si="50"/>
        <v>38.92</v>
      </c>
      <c r="J273" s="18">
        <f t="shared" si="51"/>
        <v>0</v>
      </c>
      <c r="K273" s="22">
        <v>3.04</v>
      </c>
      <c r="L273" s="18">
        <f t="shared" si="52"/>
        <v>3.04</v>
      </c>
      <c r="M273" s="18">
        <f t="shared" si="53"/>
        <v>0</v>
      </c>
      <c r="N273" s="15">
        <f t="shared" si="54"/>
        <v>41.96</v>
      </c>
      <c r="O273" s="15">
        <f t="shared" si="45"/>
        <v>41.96</v>
      </c>
      <c r="P273" s="15">
        <f t="shared" si="46"/>
        <v>0</v>
      </c>
      <c r="Q273" s="5">
        <f t="shared" si="47"/>
        <v>0</v>
      </c>
    </row>
    <row r="274" spans="1:17" x14ac:dyDescent="0.25">
      <c r="A274" s="7">
        <v>46277.333333333336</v>
      </c>
      <c r="B274" s="22">
        <v>567</v>
      </c>
      <c r="C274" s="22">
        <v>0</v>
      </c>
      <c r="D274" s="18">
        <f t="shared" si="44"/>
        <v>567</v>
      </c>
      <c r="E274" s="22">
        <v>0</v>
      </c>
      <c r="F274" s="18">
        <f t="shared" si="48"/>
        <v>0</v>
      </c>
      <c r="G274" s="18">
        <f t="shared" si="49"/>
        <v>0</v>
      </c>
      <c r="H274" s="22">
        <v>115.36</v>
      </c>
      <c r="I274" s="18">
        <f t="shared" si="50"/>
        <v>115.36</v>
      </c>
      <c r="J274" s="18">
        <f t="shared" si="51"/>
        <v>0</v>
      </c>
      <c r="K274" s="22">
        <v>9.2799999999999994</v>
      </c>
      <c r="L274" s="18">
        <f t="shared" si="52"/>
        <v>9.2799999999999994</v>
      </c>
      <c r="M274" s="18">
        <f t="shared" si="53"/>
        <v>0</v>
      </c>
      <c r="N274" s="15">
        <f t="shared" si="54"/>
        <v>124.64</v>
      </c>
      <c r="O274" s="15">
        <f t="shared" si="45"/>
        <v>124.64</v>
      </c>
      <c r="P274" s="15">
        <f t="shared" si="46"/>
        <v>0</v>
      </c>
      <c r="Q274" s="5">
        <f t="shared" si="47"/>
        <v>0</v>
      </c>
    </row>
    <row r="275" spans="1:17" x14ac:dyDescent="0.25">
      <c r="A275" s="7">
        <v>46277.375</v>
      </c>
      <c r="B275" s="22">
        <v>1067.8499999999999</v>
      </c>
      <c r="C275" s="22">
        <v>0.84000000000000008</v>
      </c>
      <c r="D275" s="18">
        <f t="shared" si="44"/>
        <v>1068.6899999999998</v>
      </c>
      <c r="E275" s="22">
        <v>0</v>
      </c>
      <c r="F275" s="18">
        <f t="shared" si="48"/>
        <v>0</v>
      </c>
      <c r="G275" s="18">
        <f t="shared" si="49"/>
        <v>0</v>
      </c>
      <c r="H275" s="22">
        <v>47.32</v>
      </c>
      <c r="I275" s="18">
        <f t="shared" si="50"/>
        <v>47.32</v>
      </c>
      <c r="J275" s="18">
        <f t="shared" si="51"/>
        <v>0</v>
      </c>
      <c r="K275" s="22">
        <v>24.52</v>
      </c>
      <c r="L275" s="18">
        <f t="shared" si="52"/>
        <v>24.52</v>
      </c>
      <c r="M275" s="18">
        <f t="shared" si="53"/>
        <v>0</v>
      </c>
      <c r="N275" s="15">
        <f t="shared" si="54"/>
        <v>71.84</v>
      </c>
      <c r="O275" s="15">
        <f t="shared" si="45"/>
        <v>71.84</v>
      </c>
      <c r="P275" s="15">
        <f t="shared" si="46"/>
        <v>0</v>
      </c>
      <c r="Q275" s="5">
        <f t="shared" si="47"/>
        <v>0</v>
      </c>
    </row>
    <row r="276" spans="1:17" x14ac:dyDescent="0.25">
      <c r="A276" s="7">
        <v>46277.416666666664</v>
      </c>
      <c r="B276" s="22">
        <v>1565.55</v>
      </c>
      <c r="C276" s="22">
        <v>18.84</v>
      </c>
      <c r="D276" s="18">
        <f t="shared" si="44"/>
        <v>1584.3899999999999</v>
      </c>
      <c r="E276" s="22">
        <v>0</v>
      </c>
      <c r="F276" s="18">
        <f t="shared" si="48"/>
        <v>0</v>
      </c>
      <c r="G276" s="18">
        <f t="shared" si="49"/>
        <v>0</v>
      </c>
      <c r="H276" s="22">
        <v>19.36</v>
      </c>
      <c r="I276" s="18">
        <f t="shared" si="50"/>
        <v>19.36</v>
      </c>
      <c r="J276" s="18">
        <f t="shared" si="51"/>
        <v>0</v>
      </c>
      <c r="K276" s="22">
        <v>30.64</v>
      </c>
      <c r="L276" s="18">
        <f t="shared" si="52"/>
        <v>30.64</v>
      </c>
      <c r="M276" s="18">
        <f t="shared" si="53"/>
        <v>0</v>
      </c>
      <c r="N276" s="15">
        <f t="shared" si="54"/>
        <v>50</v>
      </c>
      <c r="O276" s="15">
        <f t="shared" si="45"/>
        <v>50</v>
      </c>
      <c r="P276" s="15">
        <f t="shared" si="46"/>
        <v>0</v>
      </c>
      <c r="Q276" s="5">
        <f t="shared" si="47"/>
        <v>0</v>
      </c>
    </row>
    <row r="277" spans="1:17" x14ac:dyDescent="0.25">
      <c r="A277" s="7">
        <v>46277.458333333336</v>
      </c>
      <c r="B277" s="22">
        <v>1716.75</v>
      </c>
      <c r="C277" s="22">
        <v>24.479999999999997</v>
      </c>
      <c r="D277" s="18">
        <f t="shared" si="44"/>
        <v>1741.23</v>
      </c>
      <c r="E277" s="22">
        <v>0</v>
      </c>
      <c r="F277" s="18">
        <f t="shared" si="48"/>
        <v>0</v>
      </c>
      <c r="G277" s="18">
        <f t="shared" si="49"/>
        <v>0</v>
      </c>
      <c r="H277" s="22">
        <v>14.92</v>
      </c>
      <c r="I277" s="18">
        <f t="shared" si="50"/>
        <v>14.92</v>
      </c>
      <c r="J277" s="18">
        <f t="shared" si="51"/>
        <v>0</v>
      </c>
      <c r="K277" s="22">
        <v>55.96</v>
      </c>
      <c r="L277" s="18">
        <f t="shared" si="52"/>
        <v>55.96</v>
      </c>
      <c r="M277" s="18">
        <f t="shared" si="53"/>
        <v>0</v>
      </c>
      <c r="N277" s="15">
        <f t="shared" si="54"/>
        <v>70.88</v>
      </c>
      <c r="O277" s="15">
        <f t="shared" si="45"/>
        <v>70.88</v>
      </c>
      <c r="P277" s="15">
        <f t="shared" si="46"/>
        <v>0</v>
      </c>
      <c r="Q277" s="5">
        <f t="shared" si="47"/>
        <v>0</v>
      </c>
    </row>
    <row r="278" spans="1:17" x14ac:dyDescent="0.25">
      <c r="A278" s="7">
        <v>46277.5</v>
      </c>
      <c r="B278" s="22">
        <v>2305.8000000000002</v>
      </c>
      <c r="C278" s="22">
        <v>92.64</v>
      </c>
      <c r="D278" s="18">
        <f t="shared" si="44"/>
        <v>2398.44</v>
      </c>
      <c r="E278" s="22">
        <v>0</v>
      </c>
      <c r="F278" s="18">
        <f t="shared" si="48"/>
        <v>0</v>
      </c>
      <c r="G278" s="18">
        <f t="shared" si="49"/>
        <v>0</v>
      </c>
      <c r="H278" s="22">
        <v>1.24</v>
      </c>
      <c r="I278" s="18">
        <f t="shared" si="50"/>
        <v>1.24</v>
      </c>
      <c r="J278" s="18">
        <f t="shared" si="51"/>
        <v>0</v>
      </c>
      <c r="K278" s="22">
        <v>53.32</v>
      </c>
      <c r="L278" s="18">
        <f t="shared" si="52"/>
        <v>53.32</v>
      </c>
      <c r="M278" s="18">
        <f t="shared" si="53"/>
        <v>0</v>
      </c>
      <c r="N278" s="15">
        <f t="shared" si="54"/>
        <v>54.56</v>
      </c>
      <c r="O278" s="15">
        <f t="shared" si="45"/>
        <v>54.56</v>
      </c>
      <c r="P278" s="15">
        <f t="shared" si="46"/>
        <v>0</v>
      </c>
      <c r="Q278" s="5">
        <f t="shared" si="47"/>
        <v>0</v>
      </c>
    </row>
    <row r="279" spans="1:17" x14ac:dyDescent="0.25">
      <c r="A279" s="7">
        <v>46277.541666666664</v>
      </c>
      <c r="B279" s="22">
        <v>2375.1000000000004</v>
      </c>
      <c r="C279" s="22">
        <v>92.039999999999992</v>
      </c>
      <c r="D279" s="18">
        <f t="shared" si="44"/>
        <v>2467.1400000000003</v>
      </c>
      <c r="E279" s="22">
        <v>0</v>
      </c>
      <c r="F279" s="18">
        <f t="shared" si="48"/>
        <v>0</v>
      </c>
      <c r="G279" s="18">
        <f t="shared" si="49"/>
        <v>0</v>
      </c>
      <c r="H279" s="22">
        <v>1.1199999999999999</v>
      </c>
      <c r="I279" s="18">
        <f t="shared" si="50"/>
        <v>1.1199999999999999</v>
      </c>
      <c r="J279" s="18">
        <f t="shared" si="51"/>
        <v>0</v>
      </c>
      <c r="K279" s="22">
        <v>33.880000000000003</v>
      </c>
      <c r="L279" s="18">
        <f t="shared" si="52"/>
        <v>33.880000000000003</v>
      </c>
      <c r="M279" s="18">
        <f t="shared" si="53"/>
        <v>0</v>
      </c>
      <c r="N279" s="15">
        <f t="shared" si="54"/>
        <v>35</v>
      </c>
      <c r="O279" s="15">
        <f t="shared" si="45"/>
        <v>35</v>
      </c>
      <c r="P279" s="15">
        <f t="shared" si="46"/>
        <v>0</v>
      </c>
      <c r="Q279" s="5">
        <f t="shared" si="47"/>
        <v>0</v>
      </c>
    </row>
    <row r="280" spans="1:17" x14ac:dyDescent="0.25">
      <c r="A280" s="7">
        <v>46277.583333333336</v>
      </c>
      <c r="B280" s="22">
        <v>1764</v>
      </c>
      <c r="C280" s="22">
        <v>46.68</v>
      </c>
      <c r="D280" s="18">
        <f t="shared" si="44"/>
        <v>1810.68</v>
      </c>
      <c r="E280" s="22">
        <v>0</v>
      </c>
      <c r="F280" s="18">
        <f t="shared" si="48"/>
        <v>0</v>
      </c>
      <c r="G280" s="18">
        <f t="shared" si="49"/>
        <v>0</v>
      </c>
      <c r="H280" s="22">
        <v>1.24</v>
      </c>
      <c r="I280" s="18">
        <f t="shared" si="50"/>
        <v>1.24</v>
      </c>
      <c r="J280" s="18">
        <f t="shared" si="51"/>
        <v>0</v>
      </c>
      <c r="K280" s="22">
        <v>43.839999999999996</v>
      </c>
      <c r="L280" s="18">
        <f t="shared" si="52"/>
        <v>43.839999999999996</v>
      </c>
      <c r="M280" s="18">
        <f t="shared" si="53"/>
        <v>0</v>
      </c>
      <c r="N280" s="15">
        <f t="shared" si="54"/>
        <v>45.08</v>
      </c>
      <c r="O280" s="15">
        <f t="shared" si="45"/>
        <v>45.08</v>
      </c>
      <c r="P280" s="15">
        <f t="shared" si="46"/>
        <v>0</v>
      </c>
      <c r="Q280" s="5">
        <f t="shared" si="47"/>
        <v>0</v>
      </c>
    </row>
    <row r="281" spans="1:17" x14ac:dyDescent="0.25">
      <c r="A281" s="7">
        <v>46277.625</v>
      </c>
      <c r="B281" s="22">
        <v>1609.65</v>
      </c>
      <c r="C281" s="22">
        <v>10.08</v>
      </c>
      <c r="D281" s="18">
        <f t="shared" si="44"/>
        <v>1619.73</v>
      </c>
      <c r="E281" s="22">
        <v>0</v>
      </c>
      <c r="F281" s="18">
        <f t="shared" si="48"/>
        <v>0</v>
      </c>
      <c r="G281" s="18">
        <f t="shared" si="49"/>
        <v>0</v>
      </c>
      <c r="H281" s="22">
        <v>28.240000000000002</v>
      </c>
      <c r="I281" s="18">
        <f t="shared" si="50"/>
        <v>28.240000000000002</v>
      </c>
      <c r="J281" s="18">
        <f t="shared" si="51"/>
        <v>0</v>
      </c>
      <c r="K281" s="22">
        <v>51.28</v>
      </c>
      <c r="L281" s="18">
        <f t="shared" si="52"/>
        <v>51.28</v>
      </c>
      <c r="M281" s="18">
        <f t="shared" si="53"/>
        <v>0</v>
      </c>
      <c r="N281" s="15">
        <f t="shared" si="54"/>
        <v>79.52000000000001</v>
      </c>
      <c r="O281" s="15">
        <f t="shared" si="45"/>
        <v>79.52000000000001</v>
      </c>
      <c r="P281" s="15">
        <f t="shared" si="46"/>
        <v>0</v>
      </c>
      <c r="Q281" s="5">
        <f t="shared" si="47"/>
        <v>0</v>
      </c>
    </row>
    <row r="282" spans="1:17" x14ac:dyDescent="0.25">
      <c r="A282" s="7">
        <v>46277.666666666664</v>
      </c>
      <c r="B282" s="22">
        <v>513.44999999999993</v>
      </c>
      <c r="C282" s="22">
        <v>0.36000000000000004</v>
      </c>
      <c r="D282" s="18">
        <f t="shared" si="44"/>
        <v>513.80999999999995</v>
      </c>
      <c r="E282" s="22">
        <v>0</v>
      </c>
      <c r="F282" s="18">
        <f t="shared" si="48"/>
        <v>0</v>
      </c>
      <c r="G282" s="18">
        <f t="shared" si="49"/>
        <v>0</v>
      </c>
      <c r="H282" s="22">
        <v>49.72</v>
      </c>
      <c r="I282" s="18">
        <f t="shared" si="50"/>
        <v>49.72</v>
      </c>
      <c r="J282" s="18">
        <f t="shared" si="51"/>
        <v>0</v>
      </c>
      <c r="K282" s="22">
        <v>37.36</v>
      </c>
      <c r="L282" s="18">
        <f t="shared" si="52"/>
        <v>37.36</v>
      </c>
      <c r="M282" s="18">
        <f t="shared" si="53"/>
        <v>0</v>
      </c>
      <c r="N282" s="15">
        <f t="shared" si="54"/>
        <v>87.08</v>
      </c>
      <c r="O282" s="15">
        <f t="shared" si="45"/>
        <v>87.08</v>
      </c>
      <c r="P282" s="15">
        <f t="shared" si="46"/>
        <v>0</v>
      </c>
      <c r="Q282" s="5">
        <f t="shared" si="47"/>
        <v>0</v>
      </c>
    </row>
    <row r="283" spans="1:17" x14ac:dyDescent="0.25">
      <c r="A283" s="7">
        <v>46277.708333333336</v>
      </c>
      <c r="B283" s="22">
        <v>6.3</v>
      </c>
      <c r="C283" s="22">
        <v>0</v>
      </c>
      <c r="D283" s="18">
        <f t="shared" si="44"/>
        <v>6.3</v>
      </c>
      <c r="E283" s="22">
        <v>384.29999999999995</v>
      </c>
      <c r="F283" s="18">
        <f t="shared" si="48"/>
        <v>4.7314360087785303</v>
      </c>
      <c r="G283" s="18">
        <f t="shared" si="49"/>
        <v>379.56856399122142</v>
      </c>
      <c r="H283" s="22">
        <v>91.48</v>
      </c>
      <c r="I283" s="18">
        <f t="shared" si="50"/>
        <v>1.126286146456053</v>
      </c>
      <c r="J283" s="18">
        <f t="shared" si="51"/>
        <v>90.353713853543951</v>
      </c>
      <c r="K283" s="22">
        <v>35.922999999999995</v>
      </c>
      <c r="L283" s="18">
        <f t="shared" si="52"/>
        <v>0.44227784476542098</v>
      </c>
      <c r="M283" s="18">
        <f t="shared" si="53"/>
        <v>35.480722155234574</v>
      </c>
      <c r="N283" s="15">
        <f t="shared" si="54"/>
        <v>511.70299999999997</v>
      </c>
      <c r="O283" s="15">
        <f t="shared" si="45"/>
        <v>6.3000000000000114</v>
      </c>
      <c r="P283" s="15">
        <f t="shared" si="46"/>
        <v>505.40299999999996</v>
      </c>
      <c r="Q283" s="5">
        <f t="shared" si="47"/>
        <v>0.98768817067713099</v>
      </c>
    </row>
    <row r="284" spans="1:17" x14ac:dyDescent="0.25">
      <c r="A284" s="7">
        <v>46277.75</v>
      </c>
      <c r="B284" s="22">
        <v>50.4</v>
      </c>
      <c r="C284" s="22">
        <v>0</v>
      </c>
      <c r="D284" s="18">
        <f t="shared" si="44"/>
        <v>50.4</v>
      </c>
      <c r="E284" s="22">
        <v>22.05</v>
      </c>
      <c r="F284" s="18">
        <f t="shared" si="48"/>
        <v>9.9996400806219441</v>
      </c>
      <c r="G284" s="18">
        <f t="shared" si="49"/>
        <v>12.050359919378057</v>
      </c>
      <c r="H284" s="22">
        <v>64.47999999999999</v>
      </c>
      <c r="I284" s="18">
        <f t="shared" si="50"/>
        <v>29.241577886553415</v>
      </c>
      <c r="J284" s="18">
        <f t="shared" si="51"/>
        <v>35.238422113446575</v>
      </c>
      <c r="K284" s="22">
        <v>24.605999999999998</v>
      </c>
      <c r="L284" s="18">
        <f t="shared" si="52"/>
        <v>11.158782032824648</v>
      </c>
      <c r="M284" s="18">
        <f t="shared" si="53"/>
        <v>13.44721796717535</v>
      </c>
      <c r="N284" s="15">
        <f t="shared" si="54"/>
        <v>111.13599999999998</v>
      </c>
      <c r="O284" s="15">
        <f t="shared" si="45"/>
        <v>50.4</v>
      </c>
      <c r="P284" s="15">
        <f t="shared" si="46"/>
        <v>60.735999999999983</v>
      </c>
      <c r="Q284" s="5">
        <f t="shared" si="47"/>
        <v>0.54650158364526336</v>
      </c>
    </row>
    <row r="285" spans="1:17" x14ac:dyDescent="0.25">
      <c r="A285" s="7">
        <v>46277.791666666664</v>
      </c>
      <c r="B285" s="22">
        <v>0</v>
      </c>
      <c r="C285" s="22">
        <v>0</v>
      </c>
      <c r="D285" s="18">
        <f t="shared" si="44"/>
        <v>0</v>
      </c>
      <c r="E285" s="22">
        <v>75.599999999999994</v>
      </c>
      <c r="F285" s="18">
        <f t="shared" si="48"/>
        <v>0</v>
      </c>
      <c r="G285" s="18">
        <f t="shared" si="49"/>
        <v>75.599999999999994</v>
      </c>
      <c r="H285" s="22">
        <v>61.48</v>
      </c>
      <c r="I285" s="18">
        <f t="shared" si="50"/>
        <v>0</v>
      </c>
      <c r="J285" s="18">
        <f t="shared" si="51"/>
        <v>61.48</v>
      </c>
      <c r="K285" s="22">
        <v>21.806999999999999</v>
      </c>
      <c r="L285" s="18">
        <f t="shared" si="52"/>
        <v>0</v>
      </c>
      <c r="M285" s="18">
        <f t="shared" si="53"/>
        <v>21.806999999999999</v>
      </c>
      <c r="N285" s="15">
        <f t="shared" si="54"/>
        <v>158.88699999999997</v>
      </c>
      <c r="O285" s="15">
        <f t="shared" si="45"/>
        <v>0</v>
      </c>
      <c r="P285" s="15">
        <f t="shared" si="46"/>
        <v>158.88699999999997</v>
      </c>
      <c r="Q285" s="5">
        <f t="shared" si="47"/>
        <v>1</v>
      </c>
    </row>
    <row r="286" spans="1:17" x14ac:dyDescent="0.25">
      <c r="A286" s="7">
        <v>46277.833333333336</v>
      </c>
      <c r="B286" s="22">
        <v>0</v>
      </c>
      <c r="C286" s="22">
        <v>0</v>
      </c>
      <c r="D286" s="18">
        <f t="shared" si="44"/>
        <v>0</v>
      </c>
      <c r="E286" s="22">
        <v>248.85</v>
      </c>
      <c r="F286" s="18">
        <f t="shared" si="48"/>
        <v>0</v>
      </c>
      <c r="G286" s="18">
        <f t="shared" si="49"/>
        <v>248.85</v>
      </c>
      <c r="H286" s="22">
        <v>54.519999999999996</v>
      </c>
      <c r="I286" s="18">
        <f t="shared" si="50"/>
        <v>0</v>
      </c>
      <c r="J286" s="18">
        <f t="shared" si="51"/>
        <v>54.519999999999996</v>
      </c>
      <c r="K286" s="22">
        <v>3.31</v>
      </c>
      <c r="L286" s="18">
        <f t="shared" si="52"/>
        <v>0</v>
      </c>
      <c r="M286" s="18">
        <f t="shared" si="53"/>
        <v>3.31</v>
      </c>
      <c r="N286" s="15">
        <f t="shared" si="54"/>
        <v>306.68</v>
      </c>
      <c r="O286" s="15">
        <f t="shared" si="45"/>
        <v>0</v>
      </c>
      <c r="P286" s="15">
        <f t="shared" si="46"/>
        <v>306.68</v>
      </c>
      <c r="Q286" s="5">
        <f t="shared" si="47"/>
        <v>1</v>
      </c>
    </row>
    <row r="287" spans="1:17" x14ac:dyDescent="0.25">
      <c r="A287" s="7">
        <v>46277.875</v>
      </c>
      <c r="B287" s="22">
        <v>0</v>
      </c>
      <c r="C287" s="22">
        <v>0</v>
      </c>
      <c r="D287" s="18">
        <f t="shared" si="44"/>
        <v>0</v>
      </c>
      <c r="E287" s="22">
        <v>403.2</v>
      </c>
      <c r="F287" s="18">
        <f t="shared" si="48"/>
        <v>0</v>
      </c>
      <c r="G287" s="18">
        <f t="shared" si="49"/>
        <v>403.2</v>
      </c>
      <c r="H287" s="22">
        <v>55.84</v>
      </c>
      <c r="I287" s="18">
        <f t="shared" si="50"/>
        <v>0</v>
      </c>
      <c r="J287" s="18">
        <f t="shared" si="51"/>
        <v>55.84</v>
      </c>
      <c r="K287" s="22">
        <v>3.0669999999999997</v>
      </c>
      <c r="L287" s="18">
        <f t="shared" si="52"/>
        <v>0</v>
      </c>
      <c r="M287" s="18">
        <f t="shared" si="53"/>
        <v>3.0669999999999997</v>
      </c>
      <c r="N287" s="15">
        <f t="shared" si="54"/>
        <v>462.10699999999997</v>
      </c>
      <c r="O287" s="15">
        <f t="shared" si="45"/>
        <v>0</v>
      </c>
      <c r="P287" s="15">
        <f t="shared" si="46"/>
        <v>462.10699999999997</v>
      </c>
      <c r="Q287" s="5">
        <f t="shared" si="47"/>
        <v>1</v>
      </c>
    </row>
    <row r="288" spans="1:17" x14ac:dyDescent="0.25">
      <c r="A288" s="7">
        <v>46277.916666666664</v>
      </c>
      <c r="B288" s="22">
        <v>0</v>
      </c>
      <c r="C288" s="22">
        <v>0</v>
      </c>
      <c r="D288" s="18">
        <f t="shared" si="44"/>
        <v>0</v>
      </c>
      <c r="E288" s="22">
        <v>396.9</v>
      </c>
      <c r="F288" s="18">
        <f t="shared" si="48"/>
        <v>0</v>
      </c>
      <c r="G288" s="18">
        <f t="shared" si="49"/>
        <v>396.9</v>
      </c>
      <c r="H288" s="22">
        <v>52.96</v>
      </c>
      <c r="I288" s="18">
        <f t="shared" si="50"/>
        <v>0</v>
      </c>
      <c r="J288" s="18">
        <f t="shared" si="51"/>
        <v>52.96</v>
      </c>
      <c r="K288" s="22">
        <v>2.92</v>
      </c>
      <c r="L288" s="18">
        <f t="shared" si="52"/>
        <v>0</v>
      </c>
      <c r="M288" s="18">
        <f t="shared" si="53"/>
        <v>2.92</v>
      </c>
      <c r="N288" s="15">
        <f t="shared" si="54"/>
        <v>452.78</v>
      </c>
      <c r="O288" s="15">
        <f t="shared" si="45"/>
        <v>0</v>
      </c>
      <c r="P288" s="15">
        <f t="shared" si="46"/>
        <v>452.78</v>
      </c>
      <c r="Q288" s="5">
        <f t="shared" si="47"/>
        <v>1</v>
      </c>
    </row>
    <row r="289" spans="1:17" x14ac:dyDescent="0.25">
      <c r="A289" s="7">
        <v>46277.958333333336</v>
      </c>
      <c r="B289" s="22">
        <v>0</v>
      </c>
      <c r="C289" s="22">
        <v>0</v>
      </c>
      <c r="D289" s="18">
        <f t="shared" si="44"/>
        <v>0</v>
      </c>
      <c r="E289" s="22">
        <v>343.34999999999997</v>
      </c>
      <c r="F289" s="18">
        <f t="shared" si="48"/>
        <v>0</v>
      </c>
      <c r="G289" s="18">
        <f t="shared" si="49"/>
        <v>343.34999999999997</v>
      </c>
      <c r="H289" s="22">
        <v>55.36</v>
      </c>
      <c r="I289" s="18">
        <f t="shared" si="50"/>
        <v>0</v>
      </c>
      <c r="J289" s="18">
        <f t="shared" si="51"/>
        <v>55.36</v>
      </c>
      <c r="K289" s="22">
        <v>3.16</v>
      </c>
      <c r="L289" s="18">
        <f t="shared" si="52"/>
        <v>0</v>
      </c>
      <c r="M289" s="18">
        <f t="shared" si="53"/>
        <v>3.16</v>
      </c>
      <c r="N289" s="15">
        <f t="shared" si="54"/>
        <v>401.87</v>
      </c>
      <c r="O289" s="15">
        <f t="shared" si="45"/>
        <v>0</v>
      </c>
      <c r="P289" s="15">
        <f t="shared" si="46"/>
        <v>401.87</v>
      </c>
      <c r="Q289" s="5">
        <f t="shared" si="47"/>
        <v>1</v>
      </c>
    </row>
    <row r="290" spans="1:17" x14ac:dyDescent="0.25">
      <c r="A290" s="7">
        <v>46278</v>
      </c>
      <c r="B290" s="22">
        <v>0</v>
      </c>
      <c r="C290" s="22">
        <v>0</v>
      </c>
      <c r="D290" s="18">
        <f t="shared" si="44"/>
        <v>0</v>
      </c>
      <c r="E290" s="22">
        <v>412.65000000000003</v>
      </c>
      <c r="F290" s="18">
        <f t="shared" si="48"/>
        <v>0</v>
      </c>
      <c r="G290" s="18">
        <f t="shared" si="49"/>
        <v>412.65000000000003</v>
      </c>
      <c r="H290" s="22">
        <v>55.599999999999994</v>
      </c>
      <c r="I290" s="18">
        <f t="shared" si="50"/>
        <v>0</v>
      </c>
      <c r="J290" s="18">
        <f t="shared" si="51"/>
        <v>55.599999999999994</v>
      </c>
      <c r="K290" s="22">
        <v>3.16</v>
      </c>
      <c r="L290" s="18">
        <f t="shared" si="52"/>
        <v>0</v>
      </c>
      <c r="M290" s="18">
        <f t="shared" si="53"/>
        <v>3.16</v>
      </c>
      <c r="N290" s="15">
        <f t="shared" si="54"/>
        <v>471.41</v>
      </c>
      <c r="O290" s="15">
        <f t="shared" si="45"/>
        <v>0</v>
      </c>
      <c r="P290" s="15">
        <f t="shared" si="46"/>
        <v>471.41</v>
      </c>
      <c r="Q290" s="5">
        <f t="shared" si="47"/>
        <v>1</v>
      </c>
    </row>
    <row r="291" spans="1:17" x14ac:dyDescent="0.25">
      <c r="A291" s="7">
        <v>46278.041666666664</v>
      </c>
      <c r="B291" s="22">
        <v>0</v>
      </c>
      <c r="C291" s="22">
        <v>0</v>
      </c>
      <c r="D291" s="18">
        <f t="shared" si="44"/>
        <v>0</v>
      </c>
      <c r="E291" s="22">
        <v>103.95</v>
      </c>
      <c r="F291" s="18">
        <f t="shared" si="48"/>
        <v>0</v>
      </c>
      <c r="G291" s="18">
        <f t="shared" si="49"/>
        <v>103.95</v>
      </c>
      <c r="H291" s="22">
        <v>47.800000000000004</v>
      </c>
      <c r="I291" s="18">
        <f t="shared" si="50"/>
        <v>0</v>
      </c>
      <c r="J291" s="18">
        <f t="shared" si="51"/>
        <v>47.800000000000004</v>
      </c>
      <c r="K291" s="22">
        <v>3.16</v>
      </c>
      <c r="L291" s="18">
        <f t="shared" si="52"/>
        <v>0</v>
      </c>
      <c r="M291" s="18">
        <f t="shared" si="53"/>
        <v>3.16</v>
      </c>
      <c r="N291" s="15">
        <f t="shared" si="54"/>
        <v>154.91</v>
      </c>
      <c r="O291" s="15">
        <f t="shared" si="45"/>
        <v>0</v>
      </c>
      <c r="P291" s="15">
        <f t="shared" si="46"/>
        <v>154.91</v>
      </c>
      <c r="Q291" s="5">
        <f t="shared" si="47"/>
        <v>1</v>
      </c>
    </row>
    <row r="292" spans="1:17" x14ac:dyDescent="0.25">
      <c r="A292" s="7">
        <v>46278.083333333336</v>
      </c>
      <c r="B292" s="22">
        <v>0</v>
      </c>
      <c r="C292" s="22">
        <v>0</v>
      </c>
      <c r="D292" s="18">
        <f t="shared" si="44"/>
        <v>0</v>
      </c>
      <c r="E292" s="22">
        <v>381.15</v>
      </c>
      <c r="F292" s="18">
        <f t="shared" si="48"/>
        <v>0</v>
      </c>
      <c r="G292" s="18">
        <f t="shared" si="49"/>
        <v>381.15</v>
      </c>
      <c r="H292" s="22">
        <v>55.36</v>
      </c>
      <c r="I292" s="18">
        <f t="shared" si="50"/>
        <v>0</v>
      </c>
      <c r="J292" s="18">
        <f t="shared" si="51"/>
        <v>55.36</v>
      </c>
      <c r="K292" s="22">
        <v>3.04</v>
      </c>
      <c r="L292" s="18">
        <f t="shared" si="52"/>
        <v>0</v>
      </c>
      <c r="M292" s="18">
        <f t="shared" si="53"/>
        <v>3.04</v>
      </c>
      <c r="N292" s="15">
        <f t="shared" si="54"/>
        <v>439.55</v>
      </c>
      <c r="O292" s="15">
        <f t="shared" si="45"/>
        <v>0</v>
      </c>
      <c r="P292" s="15">
        <f t="shared" si="46"/>
        <v>439.55</v>
      </c>
      <c r="Q292" s="5">
        <f t="shared" si="47"/>
        <v>1</v>
      </c>
    </row>
    <row r="293" spans="1:17" x14ac:dyDescent="0.25">
      <c r="A293" s="7">
        <v>46278.125</v>
      </c>
      <c r="B293" s="22">
        <v>0</v>
      </c>
      <c r="C293" s="22">
        <v>0</v>
      </c>
      <c r="D293" s="18">
        <f t="shared" si="44"/>
        <v>0</v>
      </c>
      <c r="E293" s="22">
        <v>352.8</v>
      </c>
      <c r="F293" s="18">
        <f t="shared" si="48"/>
        <v>0</v>
      </c>
      <c r="G293" s="18">
        <f t="shared" si="49"/>
        <v>352.8</v>
      </c>
      <c r="H293" s="22">
        <v>53.68</v>
      </c>
      <c r="I293" s="18">
        <f t="shared" si="50"/>
        <v>0</v>
      </c>
      <c r="J293" s="18">
        <f t="shared" si="51"/>
        <v>53.68</v>
      </c>
      <c r="K293" s="22">
        <v>2.8</v>
      </c>
      <c r="L293" s="18">
        <f t="shared" si="52"/>
        <v>0</v>
      </c>
      <c r="M293" s="18">
        <f t="shared" si="53"/>
        <v>2.8</v>
      </c>
      <c r="N293" s="15">
        <f t="shared" si="54"/>
        <v>409.28000000000003</v>
      </c>
      <c r="O293" s="15">
        <f t="shared" si="45"/>
        <v>0</v>
      </c>
      <c r="P293" s="15">
        <f t="shared" si="46"/>
        <v>409.28000000000003</v>
      </c>
      <c r="Q293" s="5">
        <f t="shared" si="47"/>
        <v>1</v>
      </c>
    </row>
    <row r="294" spans="1:17" x14ac:dyDescent="0.25">
      <c r="A294" s="7">
        <v>46278.166666666664</v>
      </c>
      <c r="B294" s="22">
        <v>0</v>
      </c>
      <c r="C294" s="22">
        <v>0</v>
      </c>
      <c r="D294" s="18">
        <f t="shared" si="44"/>
        <v>0</v>
      </c>
      <c r="E294" s="22">
        <v>406.34999999999997</v>
      </c>
      <c r="F294" s="18">
        <f t="shared" si="48"/>
        <v>0</v>
      </c>
      <c r="G294" s="18">
        <f t="shared" si="49"/>
        <v>406.34999999999997</v>
      </c>
      <c r="H294" s="22">
        <v>58.36</v>
      </c>
      <c r="I294" s="18">
        <f t="shared" si="50"/>
        <v>0</v>
      </c>
      <c r="J294" s="18">
        <f t="shared" si="51"/>
        <v>58.36</v>
      </c>
      <c r="K294" s="22">
        <v>2.92</v>
      </c>
      <c r="L294" s="18">
        <f t="shared" si="52"/>
        <v>0</v>
      </c>
      <c r="M294" s="18">
        <f t="shared" si="53"/>
        <v>2.92</v>
      </c>
      <c r="N294" s="15">
        <f t="shared" si="54"/>
        <v>467.63</v>
      </c>
      <c r="O294" s="15">
        <f t="shared" si="45"/>
        <v>0</v>
      </c>
      <c r="P294" s="15">
        <f t="shared" si="46"/>
        <v>467.63</v>
      </c>
      <c r="Q294" s="5">
        <f t="shared" si="47"/>
        <v>1</v>
      </c>
    </row>
    <row r="295" spans="1:17" x14ac:dyDescent="0.25">
      <c r="A295" s="7">
        <v>46278.208333333336</v>
      </c>
      <c r="B295" s="22">
        <v>0</v>
      </c>
      <c r="C295" s="22">
        <v>0</v>
      </c>
      <c r="D295" s="18">
        <f t="shared" si="44"/>
        <v>0</v>
      </c>
      <c r="E295" s="22">
        <v>359.09999999999997</v>
      </c>
      <c r="F295" s="18">
        <f t="shared" si="48"/>
        <v>0</v>
      </c>
      <c r="G295" s="18">
        <f t="shared" si="49"/>
        <v>359.09999999999997</v>
      </c>
      <c r="H295" s="22">
        <v>59.92</v>
      </c>
      <c r="I295" s="18">
        <f t="shared" si="50"/>
        <v>0</v>
      </c>
      <c r="J295" s="18">
        <f t="shared" si="51"/>
        <v>59.92</v>
      </c>
      <c r="K295" s="22">
        <v>3.4</v>
      </c>
      <c r="L295" s="18">
        <f t="shared" si="52"/>
        <v>0</v>
      </c>
      <c r="M295" s="18">
        <f t="shared" si="53"/>
        <v>3.4</v>
      </c>
      <c r="N295" s="15">
        <f t="shared" si="54"/>
        <v>422.41999999999996</v>
      </c>
      <c r="O295" s="15">
        <f t="shared" si="45"/>
        <v>0</v>
      </c>
      <c r="P295" s="15">
        <f t="shared" si="46"/>
        <v>422.41999999999996</v>
      </c>
      <c r="Q295" s="5">
        <f t="shared" si="47"/>
        <v>1</v>
      </c>
    </row>
    <row r="296" spans="1:17" x14ac:dyDescent="0.25">
      <c r="A296" s="7">
        <v>46278.25</v>
      </c>
      <c r="B296" s="22">
        <v>3.15</v>
      </c>
      <c r="C296" s="22">
        <v>0</v>
      </c>
      <c r="D296" s="18">
        <f t="shared" si="44"/>
        <v>3.15</v>
      </c>
      <c r="E296" s="22">
        <v>47.25</v>
      </c>
      <c r="F296" s="18">
        <f t="shared" si="48"/>
        <v>1.4990180279987939</v>
      </c>
      <c r="G296" s="18">
        <f t="shared" si="49"/>
        <v>45.750981972001206</v>
      </c>
      <c r="H296" s="22">
        <v>49.12</v>
      </c>
      <c r="I296" s="18">
        <f t="shared" si="50"/>
        <v>1.5583442441333517</v>
      </c>
      <c r="J296" s="18">
        <f t="shared" si="51"/>
        <v>47.561655755866646</v>
      </c>
      <c r="K296" s="22">
        <v>2.92</v>
      </c>
      <c r="L296" s="18">
        <f t="shared" si="52"/>
        <v>9.2637727867862285E-2</v>
      </c>
      <c r="M296" s="18">
        <f t="shared" si="53"/>
        <v>2.8273622721321376</v>
      </c>
      <c r="N296" s="15">
        <f t="shared" si="54"/>
        <v>99.29</v>
      </c>
      <c r="O296" s="15">
        <f t="shared" si="45"/>
        <v>3.1500000000000057</v>
      </c>
      <c r="P296" s="15">
        <f t="shared" si="46"/>
        <v>96.14</v>
      </c>
      <c r="Q296" s="5">
        <f t="shared" si="47"/>
        <v>0.96827475073018421</v>
      </c>
    </row>
    <row r="297" spans="1:17" x14ac:dyDescent="0.25">
      <c r="A297" s="7">
        <v>46278.291666666664</v>
      </c>
      <c r="B297" s="22">
        <v>378</v>
      </c>
      <c r="C297" s="22">
        <v>1.08</v>
      </c>
      <c r="D297" s="18">
        <f t="shared" si="44"/>
        <v>379.08</v>
      </c>
      <c r="E297" s="22">
        <v>0</v>
      </c>
      <c r="F297" s="18">
        <f t="shared" si="48"/>
        <v>0</v>
      </c>
      <c r="G297" s="18">
        <f t="shared" si="49"/>
        <v>0</v>
      </c>
      <c r="H297" s="22">
        <v>19</v>
      </c>
      <c r="I297" s="18">
        <f t="shared" si="50"/>
        <v>19</v>
      </c>
      <c r="J297" s="18">
        <f t="shared" si="51"/>
        <v>0</v>
      </c>
      <c r="K297" s="22">
        <v>4.7200000000000006</v>
      </c>
      <c r="L297" s="18">
        <f t="shared" si="52"/>
        <v>4.7200000000000006</v>
      </c>
      <c r="M297" s="18">
        <f t="shared" si="53"/>
        <v>0</v>
      </c>
      <c r="N297" s="15">
        <f t="shared" si="54"/>
        <v>23.72</v>
      </c>
      <c r="O297" s="15">
        <f t="shared" si="45"/>
        <v>23.72</v>
      </c>
      <c r="P297" s="15">
        <f t="shared" si="46"/>
        <v>0</v>
      </c>
      <c r="Q297" s="5">
        <f t="shared" si="47"/>
        <v>0</v>
      </c>
    </row>
    <row r="298" spans="1:17" x14ac:dyDescent="0.25">
      <c r="A298" s="7">
        <v>46278.333333333336</v>
      </c>
      <c r="B298" s="22">
        <v>1171.8</v>
      </c>
      <c r="C298" s="22">
        <v>1.6800000000000002</v>
      </c>
      <c r="D298" s="18">
        <f t="shared" si="44"/>
        <v>1173.48</v>
      </c>
      <c r="E298" s="22">
        <v>0</v>
      </c>
      <c r="F298" s="18">
        <f t="shared" si="48"/>
        <v>0</v>
      </c>
      <c r="G298" s="18">
        <f t="shared" si="49"/>
        <v>0</v>
      </c>
      <c r="H298" s="22">
        <v>43.24</v>
      </c>
      <c r="I298" s="18">
        <f t="shared" si="50"/>
        <v>43.24</v>
      </c>
      <c r="J298" s="18">
        <f t="shared" si="51"/>
        <v>0</v>
      </c>
      <c r="K298" s="22">
        <v>6.1599999999999993</v>
      </c>
      <c r="L298" s="18">
        <f t="shared" si="52"/>
        <v>6.1599999999999993</v>
      </c>
      <c r="M298" s="18">
        <f t="shared" si="53"/>
        <v>0</v>
      </c>
      <c r="N298" s="15">
        <f t="shared" si="54"/>
        <v>49.4</v>
      </c>
      <c r="O298" s="15">
        <f t="shared" si="45"/>
        <v>49.4</v>
      </c>
      <c r="P298" s="15">
        <f t="shared" si="46"/>
        <v>0</v>
      </c>
      <c r="Q298" s="5">
        <f t="shared" si="47"/>
        <v>0</v>
      </c>
    </row>
    <row r="299" spans="1:17" x14ac:dyDescent="0.25">
      <c r="A299" s="7">
        <v>46278.375</v>
      </c>
      <c r="B299" s="22">
        <v>1855.3500000000001</v>
      </c>
      <c r="C299" s="22">
        <v>49.8</v>
      </c>
      <c r="D299" s="18">
        <f t="shared" si="44"/>
        <v>1905.15</v>
      </c>
      <c r="E299" s="22">
        <v>0</v>
      </c>
      <c r="F299" s="18">
        <f t="shared" si="48"/>
        <v>0</v>
      </c>
      <c r="G299" s="18">
        <f t="shared" si="49"/>
        <v>0</v>
      </c>
      <c r="H299" s="22">
        <v>2.92</v>
      </c>
      <c r="I299" s="18">
        <f t="shared" si="50"/>
        <v>2.92</v>
      </c>
      <c r="J299" s="18">
        <f t="shared" si="51"/>
        <v>0</v>
      </c>
      <c r="K299" s="22">
        <v>29.919999999999998</v>
      </c>
      <c r="L299" s="18">
        <f t="shared" si="52"/>
        <v>29.919999999999998</v>
      </c>
      <c r="M299" s="18">
        <f t="shared" si="53"/>
        <v>0</v>
      </c>
      <c r="N299" s="15">
        <f t="shared" si="54"/>
        <v>32.839999999999996</v>
      </c>
      <c r="O299" s="15">
        <f t="shared" si="45"/>
        <v>32.839999999999996</v>
      </c>
      <c r="P299" s="15">
        <f t="shared" si="46"/>
        <v>0</v>
      </c>
      <c r="Q299" s="5">
        <f t="shared" si="47"/>
        <v>0</v>
      </c>
    </row>
    <row r="300" spans="1:17" x14ac:dyDescent="0.25">
      <c r="A300" s="7">
        <v>46278.416666666664</v>
      </c>
      <c r="B300" s="22">
        <v>2331</v>
      </c>
      <c r="C300" s="22">
        <v>71.760000000000005</v>
      </c>
      <c r="D300" s="18">
        <f t="shared" si="44"/>
        <v>2402.7600000000002</v>
      </c>
      <c r="E300" s="22">
        <v>0</v>
      </c>
      <c r="F300" s="18">
        <f t="shared" si="48"/>
        <v>0</v>
      </c>
      <c r="G300" s="18">
        <f t="shared" si="49"/>
        <v>0</v>
      </c>
      <c r="H300" s="22">
        <v>1.84</v>
      </c>
      <c r="I300" s="18">
        <f t="shared" si="50"/>
        <v>1.84</v>
      </c>
      <c r="J300" s="18">
        <f t="shared" si="51"/>
        <v>0</v>
      </c>
      <c r="K300" s="22">
        <v>14.92</v>
      </c>
      <c r="L300" s="18">
        <f t="shared" si="52"/>
        <v>14.92</v>
      </c>
      <c r="M300" s="18">
        <f t="shared" si="53"/>
        <v>0</v>
      </c>
      <c r="N300" s="15">
        <f t="shared" si="54"/>
        <v>16.760000000000002</v>
      </c>
      <c r="O300" s="15">
        <f t="shared" si="45"/>
        <v>16.760000000000002</v>
      </c>
      <c r="P300" s="15">
        <f t="shared" si="46"/>
        <v>0</v>
      </c>
      <c r="Q300" s="5">
        <f t="shared" si="47"/>
        <v>0</v>
      </c>
    </row>
    <row r="301" spans="1:17" x14ac:dyDescent="0.25">
      <c r="A301" s="7">
        <v>46278.458333333336</v>
      </c>
      <c r="B301" s="22">
        <v>2627.1</v>
      </c>
      <c r="C301" s="22">
        <v>97.320000000000007</v>
      </c>
      <c r="D301" s="18">
        <f t="shared" si="44"/>
        <v>2724.42</v>
      </c>
      <c r="E301" s="22">
        <v>0</v>
      </c>
      <c r="F301" s="18">
        <f t="shared" si="48"/>
        <v>0</v>
      </c>
      <c r="G301" s="18">
        <f t="shared" si="49"/>
        <v>0</v>
      </c>
      <c r="H301" s="22">
        <v>1.1199999999999999</v>
      </c>
      <c r="I301" s="18">
        <f t="shared" si="50"/>
        <v>1.1199999999999999</v>
      </c>
      <c r="J301" s="18">
        <f t="shared" si="51"/>
        <v>0</v>
      </c>
      <c r="K301" s="22">
        <v>38.559999999999995</v>
      </c>
      <c r="L301" s="18">
        <f t="shared" si="52"/>
        <v>38.559999999999995</v>
      </c>
      <c r="M301" s="18">
        <f t="shared" si="53"/>
        <v>0</v>
      </c>
      <c r="N301" s="15">
        <f t="shared" si="54"/>
        <v>39.679999999999993</v>
      </c>
      <c r="O301" s="15">
        <f t="shared" si="45"/>
        <v>39.679999999999993</v>
      </c>
      <c r="P301" s="15">
        <f t="shared" si="46"/>
        <v>0</v>
      </c>
      <c r="Q301" s="5">
        <f t="shared" si="47"/>
        <v>0</v>
      </c>
    </row>
    <row r="302" spans="1:17" x14ac:dyDescent="0.25">
      <c r="A302" s="7">
        <v>46278.5</v>
      </c>
      <c r="B302" s="22">
        <v>2560.9500000000003</v>
      </c>
      <c r="C302" s="22">
        <v>91.44</v>
      </c>
      <c r="D302" s="18">
        <f t="shared" si="44"/>
        <v>2652.3900000000003</v>
      </c>
      <c r="E302" s="22">
        <v>0</v>
      </c>
      <c r="F302" s="18">
        <f t="shared" si="48"/>
        <v>0</v>
      </c>
      <c r="G302" s="18">
        <f t="shared" si="49"/>
        <v>0</v>
      </c>
      <c r="H302" s="22">
        <v>1.1199999999999999</v>
      </c>
      <c r="I302" s="18">
        <f t="shared" si="50"/>
        <v>1.1199999999999999</v>
      </c>
      <c r="J302" s="18">
        <f t="shared" si="51"/>
        <v>0</v>
      </c>
      <c r="K302" s="22">
        <v>31.96</v>
      </c>
      <c r="L302" s="18">
        <f t="shared" si="52"/>
        <v>31.96</v>
      </c>
      <c r="M302" s="18">
        <f t="shared" si="53"/>
        <v>0</v>
      </c>
      <c r="N302" s="15">
        <f t="shared" si="54"/>
        <v>33.08</v>
      </c>
      <c r="O302" s="15">
        <f t="shared" si="45"/>
        <v>33.08</v>
      </c>
      <c r="P302" s="15">
        <f t="shared" si="46"/>
        <v>0</v>
      </c>
      <c r="Q302" s="5">
        <f t="shared" si="47"/>
        <v>0</v>
      </c>
    </row>
    <row r="303" spans="1:17" x14ac:dyDescent="0.25">
      <c r="A303" s="7">
        <v>46278.541666666664</v>
      </c>
      <c r="B303" s="22">
        <v>2583</v>
      </c>
      <c r="C303" s="22">
        <v>93.11999999999999</v>
      </c>
      <c r="D303" s="18">
        <f t="shared" si="44"/>
        <v>2676.12</v>
      </c>
      <c r="E303" s="22">
        <v>0</v>
      </c>
      <c r="F303" s="18">
        <f t="shared" si="48"/>
        <v>0</v>
      </c>
      <c r="G303" s="18">
        <f t="shared" si="49"/>
        <v>0</v>
      </c>
      <c r="H303" s="22">
        <v>1.24</v>
      </c>
      <c r="I303" s="18">
        <f t="shared" si="50"/>
        <v>1.24</v>
      </c>
      <c r="J303" s="18">
        <f t="shared" si="51"/>
        <v>0</v>
      </c>
      <c r="K303" s="22">
        <v>42.76</v>
      </c>
      <c r="L303" s="18">
        <f t="shared" si="52"/>
        <v>42.76</v>
      </c>
      <c r="M303" s="18">
        <f t="shared" si="53"/>
        <v>0</v>
      </c>
      <c r="N303" s="15">
        <f t="shared" si="54"/>
        <v>44</v>
      </c>
      <c r="O303" s="15">
        <f t="shared" si="45"/>
        <v>44</v>
      </c>
      <c r="P303" s="15">
        <f t="shared" si="46"/>
        <v>0</v>
      </c>
      <c r="Q303" s="5">
        <f t="shared" si="47"/>
        <v>0</v>
      </c>
    </row>
    <row r="304" spans="1:17" x14ac:dyDescent="0.25">
      <c r="A304" s="7">
        <v>46278.583333333336</v>
      </c>
      <c r="B304" s="22">
        <v>2434.9500000000003</v>
      </c>
      <c r="C304" s="22">
        <v>74.88</v>
      </c>
      <c r="D304" s="18">
        <f t="shared" si="44"/>
        <v>2509.8300000000004</v>
      </c>
      <c r="E304" s="22">
        <v>0</v>
      </c>
      <c r="F304" s="18">
        <f t="shared" si="48"/>
        <v>0</v>
      </c>
      <c r="G304" s="18">
        <f t="shared" si="49"/>
        <v>0</v>
      </c>
      <c r="H304" s="22">
        <v>1.84</v>
      </c>
      <c r="I304" s="18">
        <f t="shared" si="50"/>
        <v>1.84</v>
      </c>
      <c r="J304" s="18">
        <f t="shared" si="51"/>
        <v>0</v>
      </c>
      <c r="K304" s="22">
        <v>37.6</v>
      </c>
      <c r="L304" s="18">
        <f t="shared" si="52"/>
        <v>37.6</v>
      </c>
      <c r="M304" s="18">
        <f t="shared" si="53"/>
        <v>0</v>
      </c>
      <c r="N304" s="15">
        <f t="shared" si="54"/>
        <v>39.440000000000005</v>
      </c>
      <c r="O304" s="15">
        <f t="shared" si="45"/>
        <v>39.440000000000005</v>
      </c>
      <c r="P304" s="15">
        <f t="shared" si="46"/>
        <v>0</v>
      </c>
      <c r="Q304" s="5">
        <f t="shared" si="47"/>
        <v>0</v>
      </c>
    </row>
    <row r="305" spans="1:17" x14ac:dyDescent="0.25">
      <c r="A305" s="7">
        <v>46278.625</v>
      </c>
      <c r="B305" s="22">
        <v>2012.85</v>
      </c>
      <c r="C305" s="22">
        <v>30</v>
      </c>
      <c r="D305" s="18">
        <f t="shared" si="44"/>
        <v>2042.85</v>
      </c>
      <c r="E305" s="22">
        <v>0</v>
      </c>
      <c r="F305" s="18">
        <f t="shared" si="48"/>
        <v>0</v>
      </c>
      <c r="G305" s="18">
        <f t="shared" si="49"/>
        <v>0</v>
      </c>
      <c r="H305" s="22">
        <v>8.56</v>
      </c>
      <c r="I305" s="18">
        <f t="shared" si="50"/>
        <v>8.56</v>
      </c>
      <c r="J305" s="18">
        <f t="shared" si="51"/>
        <v>0</v>
      </c>
      <c r="K305" s="22">
        <v>24.400000000000002</v>
      </c>
      <c r="L305" s="18">
        <f t="shared" si="52"/>
        <v>24.400000000000002</v>
      </c>
      <c r="M305" s="18">
        <f t="shared" si="53"/>
        <v>0</v>
      </c>
      <c r="N305" s="15">
        <f t="shared" si="54"/>
        <v>32.96</v>
      </c>
      <c r="O305" s="15">
        <f t="shared" si="45"/>
        <v>32.96</v>
      </c>
      <c r="P305" s="15">
        <f t="shared" si="46"/>
        <v>0</v>
      </c>
      <c r="Q305" s="5">
        <f t="shared" si="47"/>
        <v>0</v>
      </c>
    </row>
    <row r="306" spans="1:17" x14ac:dyDescent="0.25">
      <c r="A306" s="7">
        <v>46278.666666666664</v>
      </c>
      <c r="B306" s="22">
        <v>1345.0500000000002</v>
      </c>
      <c r="C306" s="22">
        <v>15.72</v>
      </c>
      <c r="D306" s="18">
        <f t="shared" si="44"/>
        <v>1360.7700000000002</v>
      </c>
      <c r="E306" s="22">
        <v>0</v>
      </c>
      <c r="F306" s="18">
        <f t="shared" si="48"/>
        <v>0</v>
      </c>
      <c r="G306" s="18">
        <f t="shared" si="49"/>
        <v>0</v>
      </c>
      <c r="H306" s="22">
        <v>7.36</v>
      </c>
      <c r="I306" s="18">
        <f t="shared" si="50"/>
        <v>7.36</v>
      </c>
      <c r="J306" s="18">
        <f t="shared" si="51"/>
        <v>0</v>
      </c>
      <c r="K306" s="22">
        <v>39.04</v>
      </c>
      <c r="L306" s="18">
        <f t="shared" si="52"/>
        <v>39.04</v>
      </c>
      <c r="M306" s="18">
        <f t="shared" si="53"/>
        <v>0</v>
      </c>
      <c r="N306" s="15">
        <f t="shared" si="54"/>
        <v>46.4</v>
      </c>
      <c r="O306" s="15">
        <f t="shared" si="45"/>
        <v>46.4</v>
      </c>
      <c r="P306" s="15">
        <f t="shared" si="46"/>
        <v>0</v>
      </c>
      <c r="Q306" s="5">
        <f t="shared" si="47"/>
        <v>0</v>
      </c>
    </row>
    <row r="307" spans="1:17" x14ac:dyDescent="0.25">
      <c r="A307" s="7">
        <v>46278.708333333336</v>
      </c>
      <c r="B307" s="22">
        <v>570.15000000000009</v>
      </c>
      <c r="C307" s="22">
        <v>0</v>
      </c>
      <c r="D307" s="18">
        <f t="shared" si="44"/>
        <v>570.15000000000009</v>
      </c>
      <c r="E307" s="22">
        <v>0</v>
      </c>
      <c r="F307" s="18">
        <f t="shared" si="48"/>
        <v>0</v>
      </c>
      <c r="G307" s="18">
        <f t="shared" si="49"/>
        <v>0</v>
      </c>
      <c r="H307" s="22">
        <v>45.64</v>
      </c>
      <c r="I307" s="18">
        <f t="shared" si="50"/>
        <v>45.64</v>
      </c>
      <c r="J307" s="18">
        <f t="shared" si="51"/>
        <v>0</v>
      </c>
      <c r="K307" s="22">
        <v>32.272000000000006</v>
      </c>
      <c r="L307" s="18">
        <f t="shared" si="52"/>
        <v>32.272000000000006</v>
      </c>
      <c r="M307" s="18">
        <f t="shared" si="53"/>
        <v>0</v>
      </c>
      <c r="N307" s="15">
        <f t="shared" si="54"/>
        <v>77.912000000000006</v>
      </c>
      <c r="O307" s="15">
        <f t="shared" si="45"/>
        <v>77.912000000000006</v>
      </c>
      <c r="P307" s="15">
        <f t="shared" si="46"/>
        <v>0</v>
      </c>
      <c r="Q307" s="5">
        <f t="shared" si="47"/>
        <v>0</v>
      </c>
    </row>
    <row r="308" spans="1:17" x14ac:dyDescent="0.25">
      <c r="A308" s="7">
        <v>46278.75</v>
      </c>
      <c r="B308" s="22">
        <v>47.25</v>
      </c>
      <c r="C308" s="22">
        <v>0</v>
      </c>
      <c r="D308" s="18">
        <f t="shared" si="44"/>
        <v>47.25</v>
      </c>
      <c r="E308" s="22">
        <v>28.35</v>
      </c>
      <c r="F308" s="18">
        <f t="shared" si="48"/>
        <v>13.012293091389497</v>
      </c>
      <c r="G308" s="18">
        <f t="shared" si="49"/>
        <v>15.337706908610505</v>
      </c>
      <c r="H308" s="22">
        <v>47.919999999999995</v>
      </c>
      <c r="I308" s="18">
        <f t="shared" si="50"/>
        <v>21.994676717438608</v>
      </c>
      <c r="J308" s="18">
        <f t="shared" si="51"/>
        <v>25.925323282561386</v>
      </c>
      <c r="K308" s="22">
        <v>26.673999999999999</v>
      </c>
      <c r="L308" s="18">
        <f t="shared" si="52"/>
        <v>12.243030191171901</v>
      </c>
      <c r="M308" s="18">
        <f t="shared" si="53"/>
        <v>14.430969808828099</v>
      </c>
      <c r="N308" s="15">
        <f t="shared" si="54"/>
        <v>102.94399999999999</v>
      </c>
      <c r="O308" s="15">
        <f t="shared" si="45"/>
        <v>47.25</v>
      </c>
      <c r="P308" s="15">
        <f t="shared" si="46"/>
        <v>55.693999999999988</v>
      </c>
      <c r="Q308" s="5">
        <f t="shared" si="47"/>
        <v>0.54101258936897723</v>
      </c>
    </row>
    <row r="309" spans="1:17" x14ac:dyDescent="0.25">
      <c r="A309" s="7">
        <v>46278.791666666664</v>
      </c>
      <c r="B309" s="22">
        <v>0</v>
      </c>
      <c r="C309" s="22">
        <v>0</v>
      </c>
      <c r="D309" s="18">
        <f t="shared" si="44"/>
        <v>0</v>
      </c>
      <c r="E309" s="22">
        <v>103.95</v>
      </c>
      <c r="F309" s="18">
        <f t="shared" si="48"/>
        <v>0</v>
      </c>
      <c r="G309" s="18">
        <f t="shared" si="49"/>
        <v>103.95</v>
      </c>
      <c r="H309" s="22">
        <v>53.68</v>
      </c>
      <c r="I309" s="18">
        <f t="shared" si="50"/>
        <v>0</v>
      </c>
      <c r="J309" s="18">
        <f t="shared" si="51"/>
        <v>53.68</v>
      </c>
      <c r="K309" s="22">
        <v>10.977</v>
      </c>
      <c r="L309" s="18">
        <f t="shared" si="52"/>
        <v>0</v>
      </c>
      <c r="M309" s="18">
        <f t="shared" si="53"/>
        <v>10.977</v>
      </c>
      <c r="N309" s="15">
        <f t="shared" si="54"/>
        <v>168.607</v>
      </c>
      <c r="O309" s="15">
        <f t="shared" si="45"/>
        <v>0</v>
      </c>
      <c r="P309" s="15">
        <f t="shared" si="46"/>
        <v>168.607</v>
      </c>
      <c r="Q309" s="5">
        <f t="shared" si="47"/>
        <v>1</v>
      </c>
    </row>
    <row r="310" spans="1:17" x14ac:dyDescent="0.25">
      <c r="A310" s="7">
        <v>46278.833333333336</v>
      </c>
      <c r="B310" s="22">
        <v>0</v>
      </c>
      <c r="C310" s="22">
        <v>0</v>
      </c>
      <c r="D310" s="18">
        <f t="shared" si="44"/>
        <v>0</v>
      </c>
      <c r="E310" s="22">
        <v>107.1</v>
      </c>
      <c r="F310" s="18">
        <f t="shared" si="48"/>
        <v>0</v>
      </c>
      <c r="G310" s="18">
        <f t="shared" si="49"/>
        <v>107.1</v>
      </c>
      <c r="H310" s="22">
        <v>49.96</v>
      </c>
      <c r="I310" s="18">
        <f t="shared" si="50"/>
        <v>0</v>
      </c>
      <c r="J310" s="18">
        <f t="shared" si="51"/>
        <v>49.96</v>
      </c>
      <c r="K310" s="22">
        <v>3.5539999999999998</v>
      </c>
      <c r="L310" s="18">
        <f t="shared" si="52"/>
        <v>0</v>
      </c>
      <c r="M310" s="18">
        <f t="shared" si="53"/>
        <v>3.5539999999999998</v>
      </c>
      <c r="N310" s="15">
        <f t="shared" si="54"/>
        <v>160.614</v>
      </c>
      <c r="O310" s="15">
        <f t="shared" si="45"/>
        <v>0</v>
      </c>
      <c r="P310" s="15">
        <f t="shared" si="46"/>
        <v>160.614</v>
      </c>
      <c r="Q310" s="5">
        <f t="shared" si="47"/>
        <v>1</v>
      </c>
    </row>
    <row r="311" spans="1:17" x14ac:dyDescent="0.25">
      <c r="A311" s="7">
        <v>46278.875</v>
      </c>
      <c r="B311" s="22">
        <v>0</v>
      </c>
      <c r="C311" s="22">
        <v>0</v>
      </c>
      <c r="D311" s="18">
        <f t="shared" si="44"/>
        <v>0</v>
      </c>
      <c r="E311" s="22">
        <v>97.65</v>
      </c>
      <c r="F311" s="18">
        <f t="shared" si="48"/>
        <v>0</v>
      </c>
      <c r="G311" s="18">
        <f t="shared" si="49"/>
        <v>97.65</v>
      </c>
      <c r="H311" s="22">
        <v>49.96</v>
      </c>
      <c r="I311" s="18">
        <f t="shared" si="50"/>
        <v>0</v>
      </c>
      <c r="J311" s="18">
        <f t="shared" si="51"/>
        <v>49.96</v>
      </c>
      <c r="K311" s="22">
        <v>3.9189999999999996</v>
      </c>
      <c r="L311" s="18">
        <f t="shared" si="52"/>
        <v>0</v>
      </c>
      <c r="M311" s="18">
        <f t="shared" si="53"/>
        <v>3.9189999999999996</v>
      </c>
      <c r="N311" s="15">
        <f t="shared" si="54"/>
        <v>151.52900000000002</v>
      </c>
      <c r="O311" s="15">
        <f t="shared" si="45"/>
        <v>0</v>
      </c>
      <c r="P311" s="15">
        <f t="shared" si="46"/>
        <v>151.52900000000002</v>
      </c>
      <c r="Q311" s="5">
        <f t="shared" si="47"/>
        <v>1</v>
      </c>
    </row>
    <row r="312" spans="1:17" x14ac:dyDescent="0.25">
      <c r="A312" s="7">
        <v>46278.916666666664</v>
      </c>
      <c r="B312" s="22">
        <v>0</v>
      </c>
      <c r="C312" s="22">
        <v>0</v>
      </c>
      <c r="D312" s="18">
        <f t="shared" si="44"/>
        <v>0</v>
      </c>
      <c r="E312" s="22">
        <v>78.75</v>
      </c>
      <c r="F312" s="18">
        <f t="shared" si="48"/>
        <v>0</v>
      </c>
      <c r="G312" s="18">
        <f t="shared" si="49"/>
        <v>78.75</v>
      </c>
      <c r="H312" s="22">
        <v>50.08</v>
      </c>
      <c r="I312" s="18">
        <f t="shared" si="50"/>
        <v>0</v>
      </c>
      <c r="J312" s="18">
        <f t="shared" si="51"/>
        <v>50.08</v>
      </c>
      <c r="K312" s="22">
        <v>24.400000000000002</v>
      </c>
      <c r="L312" s="18">
        <f t="shared" si="52"/>
        <v>0</v>
      </c>
      <c r="M312" s="18">
        <f t="shared" si="53"/>
        <v>24.400000000000002</v>
      </c>
      <c r="N312" s="15">
        <f t="shared" si="54"/>
        <v>153.22999999999999</v>
      </c>
      <c r="O312" s="15">
        <f t="shared" si="45"/>
        <v>0</v>
      </c>
      <c r="P312" s="15">
        <f t="shared" si="46"/>
        <v>153.22999999999999</v>
      </c>
      <c r="Q312" s="5">
        <f t="shared" si="47"/>
        <v>1</v>
      </c>
    </row>
    <row r="313" spans="1:17" x14ac:dyDescent="0.25">
      <c r="A313" s="7">
        <v>46278.958333333336</v>
      </c>
      <c r="B313" s="22">
        <v>0</v>
      </c>
      <c r="C313" s="22">
        <v>0</v>
      </c>
      <c r="D313" s="18">
        <f t="shared" si="44"/>
        <v>0</v>
      </c>
      <c r="E313" s="22">
        <v>78.75</v>
      </c>
      <c r="F313" s="18">
        <f t="shared" si="48"/>
        <v>0</v>
      </c>
      <c r="G313" s="18">
        <f t="shared" si="49"/>
        <v>78.75</v>
      </c>
      <c r="H313" s="22">
        <v>47.800000000000004</v>
      </c>
      <c r="I313" s="18">
        <f t="shared" si="50"/>
        <v>0</v>
      </c>
      <c r="J313" s="18">
        <f t="shared" si="51"/>
        <v>47.800000000000004</v>
      </c>
      <c r="K313" s="22">
        <v>3.16</v>
      </c>
      <c r="L313" s="18">
        <f t="shared" si="52"/>
        <v>0</v>
      </c>
      <c r="M313" s="18">
        <f t="shared" si="53"/>
        <v>3.16</v>
      </c>
      <c r="N313" s="15">
        <f t="shared" si="54"/>
        <v>129.71</v>
      </c>
      <c r="O313" s="15">
        <f t="shared" si="45"/>
        <v>0</v>
      </c>
      <c r="P313" s="15">
        <f t="shared" si="46"/>
        <v>129.71</v>
      </c>
      <c r="Q313" s="5">
        <f t="shared" si="47"/>
        <v>1</v>
      </c>
    </row>
    <row r="314" spans="1:17" x14ac:dyDescent="0.25">
      <c r="A314" s="7">
        <v>46279</v>
      </c>
      <c r="B314" s="22">
        <v>0</v>
      </c>
      <c r="C314" s="22">
        <v>0</v>
      </c>
      <c r="D314" s="18">
        <f t="shared" si="44"/>
        <v>0</v>
      </c>
      <c r="E314" s="22">
        <v>78.75</v>
      </c>
      <c r="F314" s="18">
        <f t="shared" si="48"/>
        <v>0</v>
      </c>
      <c r="G314" s="18">
        <f t="shared" si="49"/>
        <v>78.75</v>
      </c>
      <c r="H314" s="22">
        <v>48.160000000000004</v>
      </c>
      <c r="I314" s="18">
        <f t="shared" si="50"/>
        <v>0</v>
      </c>
      <c r="J314" s="18">
        <f t="shared" si="51"/>
        <v>48.160000000000004</v>
      </c>
      <c r="K314" s="22">
        <v>3.04</v>
      </c>
      <c r="L314" s="18">
        <f t="shared" si="52"/>
        <v>0</v>
      </c>
      <c r="M314" s="18">
        <f t="shared" si="53"/>
        <v>3.04</v>
      </c>
      <c r="N314" s="15">
        <f t="shared" si="54"/>
        <v>129.94999999999999</v>
      </c>
      <c r="O314" s="15">
        <f t="shared" si="45"/>
        <v>0</v>
      </c>
      <c r="P314" s="15">
        <f t="shared" si="46"/>
        <v>129.94999999999999</v>
      </c>
      <c r="Q314" s="5">
        <f t="shared" si="47"/>
        <v>1</v>
      </c>
    </row>
    <row r="315" spans="1:17" x14ac:dyDescent="0.25">
      <c r="A315" s="7">
        <v>46279.041666666664</v>
      </c>
      <c r="B315" s="22">
        <v>0</v>
      </c>
      <c r="C315" s="22">
        <v>0</v>
      </c>
      <c r="D315" s="18">
        <f t="shared" si="44"/>
        <v>0</v>
      </c>
      <c r="E315" s="22">
        <v>78.75</v>
      </c>
      <c r="F315" s="18">
        <f t="shared" si="48"/>
        <v>0</v>
      </c>
      <c r="G315" s="18">
        <f t="shared" si="49"/>
        <v>78.75</v>
      </c>
      <c r="H315" s="22">
        <v>49.480000000000004</v>
      </c>
      <c r="I315" s="18">
        <f t="shared" si="50"/>
        <v>0</v>
      </c>
      <c r="J315" s="18">
        <f t="shared" si="51"/>
        <v>49.480000000000004</v>
      </c>
      <c r="K315" s="22">
        <v>2.8</v>
      </c>
      <c r="L315" s="18">
        <f t="shared" si="52"/>
        <v>0</v>
      </c>
      <c r="M315" s="18">
        <f t="shared" si="53"/>
        <v>2.8</v>
      </c>
      <c r="N315" s="15">
        <f t="shared" si="54"/>
        <v>131.03000000000003</v>
      </c>
      <c r="O315" s="15">
        <f t="shared" si="45"/>
        <v>0</v>
      </c>
      <c r="P315" s="15">
        <f t="shared" si="46"/>
        <v>131.03000000000003</v>
      </c>
      <c r="Q315" s="5">
        <f t="shared" si="47"/>
        <v>1</v>
      </c>
    </row>
    <row r="316" spans="1:17" x14ac:dyDescent="0.25">
      <c r="A316" s="7">
        <v>46279.083333333336</v>
      </c>
      <c r="B316" s="22">
        <v>0</v>
      </c>
      <c r="C316" s="22">
        <v>0</v>
      </c>
      <c r="D316" s="18">
        <f t="shared" si="44"/>
        <v>0</v>
      </c>
      <c r="E316" s="22">
        <v>81.900000000000006</v>
      </c>
      <c r="F316" s="18">
        <f t="shared" si="48"/>
        <v>0</v>
      </c>
      <c r="G316" s="18">
        <f t="shared" si="49"/>
        <v>81.900000000000006</v>
      </c>
      <c r="H316" s="22">
        <v>48.76</v>
      </c>
      <c r="I316" s="18">
        <f t="shared" si="50"/>
        <v>0</v>
      </c>
      <c r="J316" s="18">
        <f t="shared" si="51"/>
        <v>48.76</v>
      </c>
      <c r="K316" s="22">
        <v>2.92</v>
      </c>
      <c r="L316" s="18">
        <f t="shared" si="52"/>
        <v>0</v>
      </c>
      <c r="M316" s="18">
        <f t="shared" si="53"/>
        <v>2.92</v>
      </c>
      <c r="N316" s="15">
        <f t="shared" si="54"/>
        <v>133.57999999999998</v>
      </c>
      <c r="O316" s="15">
        <f t="shared" si="45"/>
        <v>0</v>
      </c>
      <c r="P316" s="15">
        <f t="shared" si="46"/>
        <v>133.57999999999998</v>
      </c>
      <c r="Q316" s="5">
        <f t="shared" si="47"/>
        <v>1</v>
      </c>
    </row>
    <row r="317" spans="1:17" x14ac:dyDescent="0.25">
      <c r="A317" s="7">
        <v>46279.125</v>
      </c>
      <c r="B317" s="22">
        <v>0</v>
      </c>
      <c r="C317" s="22">
        <v>0</v>
      </c>
      <c r="D317" s="18">
        <f t="shared" si="44"/>
        <v>0</v>
      </c>
      <c r="E317" s="22">
        <v>103.95</v>
      </c>
      <c r="F317" s="18">
        <f t="shared" si="48"/>
        <v>0</v>
      </c>
      <c r="G317" s="18">
        <f t="shared" si="49"/>
        <v>103.95</v>
      </c>
      <c r="H317" s="22">
        <v>49.72</v>
      </c>
      <c r="I317" s="18">
        <f t="shared" si="50"/>
        <v>0</v>
      </c>
      <c r="J317" s="18">
        <f t="shared" si="51"/>
        <v>49.72</v>
      </c>
      <c r="K317" s="22">
        <v>2.68</v>
      </c>
      <c r="L317" s="18">
        <f t="shared" si="52"/>
        <v>0</v>
      </c>
      <c r="M317" s="18">
        <f t="shared" si="53"/>
        <v>2.68</v>
      </c>
      <c r="N317" s="15">
        <f t="shared" si="54"/>
        <v>156.35000000000002</v>
      </c>
      <c r="O317" s="15">
        <f t="shared" si="45"/>
        <v>0</v>
      </c>
      <c r="P317" s="15">
        <f t="shared" si="46"/>
        <v>156.35000000000002</v>
      </c>
      <c r="Q317" s="5">
        <f t="shared" si="47"/>
        <v>1</v>
      </c>
    </row>
    <row r="318" spans="1:17" x14ac:dyDescent="0.25">
      <c r="A318" s="7">
        <v>46279.166666666664</v>
      </c>
      <c r="B318" s="22">
        <v>0</v>
      </c>
      <c r="C318" s="22">
        <v>0</v>
      </c>
      <c r="D318" s="18">
        <f t="shared" si="44"/>
        <v>0</v>
      </c>
      <c r="E318" s="22">
        <v>135.44999999999999</v>
      </c>
      <c r="F318" s="18">
        <f t="shared" si="48"/>
        <v>0</v>
      </c>
      <c r="G318" s="18">
        <f t="shared" si="49"/>
        <v>135.44999999999999</v>
      </c>
      <c r="H318" s="22">
        <v>45.16</v>
      </c>
      <c r="I318" s="18">
        <f t="shared" si="50"/>
        <v>0</v>
      </c>
      <c r="J318" s="18">
        <f t="shared" si="51"/>
        <v>45.16</v>
      </c>
      <c r="K318" s="22">
        <v>3.16</v>
      </c>
      <c r="L318" s="18">
        <f t="shared" si="52"/>
        <v>0</v>
      </c>
      <c r="M318" s="18">
        <f t="shared" si="53"/>
        <v>3.16</v>
      </c>
      <c r="N318" s="15">
        <f t="shared" si="54"/>
        <v>183.76999999999998</v>
      </c>
      <c r="O318" s="15">
        <f t="shared" si="45"/>
        <v>0</v>
      </c>
      <c r="P318" s="15">
        <f t="shared" si="46"/>
        <v>183.76999999999998</v>
      </c>
      <c r="Q318" s="5">
        <f t="shared" si="47"/>
        <v>1</v>
      </c>
    </row>
    <row r="319" spans="1:17" x14ac:dyDescent="0.25">
      <c r="A319" s="7">
        <v>46279.208333333336</v>
      </c>
      <c r="B319" s="22">
        <v>0</v>
      </c>
      <c r="C319" s="22">
        <v>0</v>
      </c>
      <c r="D319" s="18">
        <f t="shared" si="44"/>
        <v>0</v>
      </c>
      <c r="E319" s="22">
        <v>148.04999999999998</v>
      </c>
      <c r="F319" s="18">
        <f t="shared" si="48"/>
        <v>0</v>
      </c>
      <c r="G319" s="18">
        <f t="shared" si="49"/>
        <v>148.04999999999998</v>
      </c>
      <c r="H319" s="22">
        <v>53.68</v>
      </c>
      <c r="I319" s="18">
        <f t="shared" si="50"/>
        <v>0</v>
      </c>
      <c r="J319" s="18">
        <f t="shared" si="51"/>
        <v>53.68</v>
      </c>
      <c r="K319" s="22">
        <v>2.8</v>
      </c>
      <c r="L319" s="18">
        <f t="shared" si="52"/>
        <v>0</v>
      </c>
      <c r="M319" s="18">
        <f t="shared" si="53"/>
        <v>2.8</v>
      </c>
      <c r="N319" s="15">
        <f t="shared" si="54"/>
        <v>204.53</v>
      </c>
      <c r="O319" s="15">
        <f t="shared" si="45"/>
        <v>0</v>
      </c>
      <c r="P319" s="15">
        <f t="shared" si="46"/>
        <v>204.53</v>
      </c>
      <c r="Q319" s="5">
        <f t="shared" si="47"/>
        <v>1</v>
      </c>
    </row>
    <row r="320" spans="1:17" x14ac:dyDescent="0.25">
      <c r="A320" s="7">
        <v>46279.25</v>
      </c>
      <c r="B320" s="22">
        <v>0</v>
      </c>
      <c r="C320" s="22">
        <v>0</v>
      </c>
      <c r="D320" s="18">
        <f t="shared" si="44"/>
        <v>0</v>
      </c>
      <c r="E320" s="22">
        <v>126</v>
      </c>
      <c r="F320" s="18">
        <f t="shared" si="48"/>
        <v>0</v>
      </c>
      <c r="G320" s="18">
        <f t="shared" si="49"/>
        <v>126</v>
      </c>
      <c r="H320" s="22">
        <v>48.52</v>
      </c>
      <c r="I320" s="18">
        <f t="shared" si="50"/>
        <v>0</v>
      </c>
      <c r="J320" s="18">
        <f t="shared" si="51"/>
        <v>48.52</v>
      </c>
      <c r="K320" s="22">
        <v>2.68</v>
      </c>
      <c r="L320" s="18">
        <f t="shared" si="52"/>
        <v>0</v>
      </c>
      <c r="M320" s="18">
        <f t="shared" si="53"/>
        <v>2.68</v>
      </c>
      <c r="N320" s="15">
        <f t="shared" si="54"/>
        <v>177.20000000000002</v>
      </c>
      <c r="O320" s="15">
        <f t="shared" si="45"/>
        <v>0</v>
      </c>
      <c r="P320" s="15">
        <f t="shared" si="46"/>
        <v>177.20000000000002</v>
      </c>
      <c r="Q320" s="5">
        <f t="shared" si="47"/>
        <v>1</v>
      </c>
    </row>
    <row r="321" spans="1:17" x14ac:dyDescent="0.25">
      <c r="A321" s="7">
        <v>46279.291666666664</v>
      </c>
      <c r="B321" s="22">
        <v>280.34999999999997</v>
      </c>
      <c r="C321" s="22">
        <v>0</v>
      </c>
      <c r="D321" s="18">
        <f t="shared" si="44"/>
        <v>280.34999999999997</v>
      </c>
      <c r="E321" s="22">
        <v>3.15</v>
      </c>
      <c r="F321" s="18">
        <f t="shared" si="48"/>
        <v>3.15</v>
      </c>
      <c r="G321" s="18">
        <f t="shared" si="49"/>
        <v>0</v>
      </c>
      <c r="H321" s="22">
        <v>37.36</v>
      </c>
      <c r="I321" s="18">
        <f t="shared" si="50"/>
        <v>37.36</v>
      </c>
      <c r="J321" s="18">
        <f t="shared" si="51"/>
        <v>0</v>
      </c>
      <c r="K321" s="22">
        <v>5.08</v>
      </c>
      <c r="L321" s="18">
        <f t="shared" si="52"/>
        <v>5.08</v>
      </c>
      <c r="M321" s="18">
        <f t="shared" si="53"/>
        <v>0</v>
      </c>
      <c r="N321" s="15">
        <f t="shared" si="54"/>
        <v>45.589999999999996</v>
      </c>
      <c r="O321" s="15">
        <f t="shared" si="45"/>
        <v>45.589999999999996</v>
      </c>
      <c r="P321" s="15">
        <f t="shared" si="46"/>
        <v>0</v>
      </c>
      <c r="Q321" s="5">
        <f t="shared" si="47"/>
        <v>0</v>
      </c>
    </row>
    <row r="322" spans="1:17" x14ac:dyDescent="0.25">
      <c r="A322" s="7">
        <v>46279.333333333336</v>
      </c>
      <c r="B322" s="22">
        <v>283.5</v>
      </c>
      <c r="C322" s="22">
        <v>0</v>
      </c>
      <c r="D322" s="18">
        <f t="shared" ref="D322:D385" si="55">+B322+C322</f>
        <v>283.5</v>
      </c>
      <c r="E322" s="22">
        <v>3.15</v>
      </c>
      <c r="F322" s="18">
        <f t="shared" si="48"/>
        <v>3.15</v>
      </c>
      <c r="G322" s="18">
        <f t="shared" si="49"/>
        <v>0</v>
      </c>
      <c r="H322" s="22">
        <v>115.72</v>
      </c>
      <c r="I322" s="18">
        <f t="shared" si="50"/>
        <v>115.72</v>
      </c>
      <c r="J322" s="18">
        <f t="shared" si="51"/>
        <v>0</v>
      </c>
      <c r="K322" s="22">
        <v>11.92</v>
      </c>
      <c r="L322" s="18">
        <f t="shared" si="52"/>
        <v>11.92</v>
      </c>
      <c r="M322" s="18">
        <f t="shared" si="53"/>
        <v>0</v>
      </c>
      <c r="N322" s="15">
        <f t="shared" si="54"/>
        <v>130.79</v>
      </c>
      <c r="O322" s="15">
        <f t="shared" ref="O322:O385" si="56">+N322-P322</f>
        <v>130.79</v>
      </c>
      <c r="P322" s="15">
        <f t="shared" ref="P322:P385" si="57">+IF(N322&gt;D322,N322-D322,0)</f>
        <v>0</v>
      </c>
      <c r="Q322" s="5">
        <f t="shared" ref="Q322:Q385" si="58">+IF(P322=0,P322,P322/N322)</f>
        <v>0</v>
      </c>
    </row>
    <row r="323" spans="1:17" x14ac:dyDescent="0.25">
      <c r="A323" s="7">
        <v>46279.375</v>
      </c>
      <c r="B323" s="22">
        <v>812.69999999999993</v>
      </c>
      <c r="C323" s="22">
        <v>0</v>
      </c>
      <c r="D323" s="18">
        <f t="shared" si="55"/>
        <v>812.69999999999993</v>
      </c>
      <c r="E323" s="22">
        <v>0</v>
      </c>
      <c r="F323" s="18">
        <f t="shared" ref="F323:F386" si="59">+E323-G323</f>
        <v>0</v>
      </c>
      <c r="G323" s="18">
        <f t="shared" ref="G323:G386" si="60">+E323*Q323</f>
        <v>0</v>
      </c>
      <c r="H323" s="22">
        <v>100.6</v>
      </c>
      <c r="I323" s="18">
        <f t="shared" ref="I323:I386" si="61">+H323-J323</f>
        <v>100.6</v>
      </c>
      <c r="J323" s="18">
        <f t="shared" ref="J323:J386" si="62">+H323*Q323</f>
        <v>0</v>
      </c>
      <c r="K323" s="22">
        <v>8.2000000000000011</v>
      </c>
      <c r="L323" s="18">
        <f t="shared" ref="L323:L386" si="63">+K323-M323</f>
        <v>8.2000000000000011</v>
      </c>
      <c r="M323" s="18">
        <f t="shared" ref="M323:M386" si="64">+K323*Q323</f>
        <v>0</v>
      </c>
      <c r="N323" s="15">
        <f t="shared" ref="N323:N386" si="65">+E323+H323+K323</f>
        <v>108.8</v>
      </c>
      <c r="O323" s="15">
        <f t="shared" si="56"/>
        <v>108.8</v>
      </c>
      <c r="P323" s="15">
        <f t="shared" si="57"/>
        <v>0</v>
      </c>
      <c r="Q323" s="5">
        <f t="shared" si="58"/>
        <v>0</v>
      </c>
    </row>
    <row r="324" spans="1:17" x14ac:dyDescent="0.25">
      <c r="A324" s="7">
        <v>46279.416666666664</v>
      </c>
      <c r="B324" s="22">
        <v>1461.6</v>
      </c>
      <c r="C324" s="22">
        <v>0.36000000000000004</v>
      </c>
      <c r="D324" s="18">
        <f t="shared" si="55"/>
        <v>1461.9599999999998</v>
      </c>
      <c r="E324" s="22">
        <v>0</v>
      </c>
      <c r="F324" s="18">
        <f t="shared" si="59"/>
        <v>0</v>
      </c>
      <c r="G324" s="18">
        <f t="shared" si="60"/>
        <v>0</v>
      </c>
      <c r="H324" s="22">
        <v>45.28</v>
      </c>
      <c r="I324" s="18">
        <f t="shared" si="61"/>
        <v>45.28</v>
      </c>
      <c r="J324" s="18">
        <f t="shared" si="62"/>
        <v>0</v>
      </c>
      <c r="K324" s="22">
        <v>2.0799999999999996</v>
      </c>
      <c r="L324" s="18">
        <f t="shared" si="63"/>
        <v>2.0799999999999996</v>
      </c>
      <c r="M324" s="18">
        <f t="shared" si="64"/>
        <v>0</v>
      </c>
      <c r="N324" s="15">
        <f t="shared" si="65"/>
        <v>47.36</v>
      </c>
      <c r="O324" s="15">
        <f t="shared" si="56"/>
        <v>47.36</v>
      </c>
      <c r="P324" s="15">
        <f t="shared" si="57"/>
        <v>0</v>
      </c>
      <c r="Q324" s="5">
        <f t="shared" si="58"/>
        <v>0</v>
      </c>
    </row>
    <row r="325" spans="1:17" x14ac:dyDescent="0.25">
      <c r="A325" s="7">
        <v>46279.458333333336</v>
      </c>
      <c r="B325" s="22">
        <v>1575</v>
      </c>
      <c r="C325" s="22">
        <v>6.1199999999999992</v>
      </c>
      <c r="D325" s="18">
        <f t="shared" si="55"/>
        <v>1581.12</v>
      </c>
      <c r="E325" s="22">
        <v>0</v>
      </c>
      <c r="F325" s="18">
        <f t="shared" si="59"/>
        <v>0</v>
      </c>
      <c r="G325" s="18">
        <f t="shared" si="60"/>
        <v>0</v>
      </c>
      <c r="H325" s="22">
        <v>50.319999999999993</v>
      </c>
      <c r="I325" s="18">
        <f t="shared" si="61"/>
        <v>50.319999999999993</v>
      </c>
      <c r="J325" s="18">
        <f t="shared" si="62"/>
        <v>0</v>
      </c>
      <c r="K325" s="22">
        <v>7.6</v>
      </c>
      <c r="L325" s="18">
        <f t="shared" si="63"/>
        <v>7.6</v>
      </c>
      <c r="M325" s="18">
        <f t="shared" si="64"/>
        <v>0</v>
      </c>
      <c r="N325" s="15">
        <f t="shared" si="65"/>
        <v>57.919999999999995</v>
      </c>
      <c r="O325" s="15">
        <f t="shared" si="56"/>
        <v>57.919999999999995</v>
      </c>
      <c r="P325" s="15">
        <f t="shared" si="57"/>
        <v>0</v>
      </c>
      <c r="Q325" s="5">
        <f t="shared" si="58"/>
        <v>0</v>
      </c>
    </row>
    <row r="326" spans="1:17" x14ac:dyDescent="0.25">
      <c r="A326" s="7">
        <v>46279.5</v>
      </c>
      <c r="B326" s="22">
        <v>2362.5</v>
      </c>
      <c r="C326" s="22">
        <v>47.04</v>
      </c>
      <c r="D326" s="18">
        <f t="shared" si="55"/>
        <v>2409.54</v>
      </c>
      <c r="E326" s="22">
        <v>0</v>
      </c>
      <c r="F326" s="18">
        <f t="shared" si="59"/>
        <v>0</v>
      </c>
      <c r="G326" s="18">
        <f t="shared" si="60"/>
        <v>0</v>
      </c>
      <c r="H326" s="22">
        <v>5.32</v>
      </c>
      <c r="I326" s="18">
        <f t="shared" si="61"/>
        <v>5.32</v>
      </c>
      <c r="J326" s="18">
        <f t="shared" si="62"/>
        <v>0</v>
      </c>
      <c r="K326" s="22">
        <v>22.24</v>
      </c>
      <c r="L326" s="18">
        <f t="shared" si="63"/>
        <v>22.24</v>
      </c>
      <c r="M326" s="18">
        <f t="shared" si="64"/>
        <v>0</v>
      </c>
      <c r="N326" s="15">
        <f t="shared" si="65"/>
        <v>27.56</v>
      </c>
      <c r="O326" s="15">
        <f t="shared" si="56"/>
        <v>27.56</v>
      </c>
      <c r="P326" s="15">
        <f t="shared" si="57"/>
        <v>0</v>
      </c>
      <c r="Q326" s="5">
        <f t="shared" si="58"/>
        <v>0</v>
      </c>
    </row>
    <row r="327" spans="1:17" x14ac:dyDescent="0.25">
      <c r="A327" s="7">
        <v>46279.541666666664</v>
      </c>
      <c r="B327" s="22">
        <v>2230.1999999999998</v>
      </c>
      <c r="C327" s="22">
        <v>5.1599999999999993</v>
      </c>
      <c r="D327" s="18">
        <f t="shared" si="55"/>
        <v>2235.3599999999997</v>
      </c>
      <c r="E327" s="22">
        <v>0</v>
      </c>
      <c r="F327" s="18">
        <f t="shared" si="59"/>
        <v>0</v>
      </c>
      <c r="G327" s="18">
        <f t="shared" si="60"/>
        <v>0</v>
      </c>
      <c r="H327" s="22">
        <v>34</v>
      </c>
      <c r="I327" s="18">
        <f t="shared" si="61"/>
        <v>34</v>
      </c>
      <c r="J327" s="18">
        <f t="shared" si="62"/>
        <v>0</v>
      </c>
      <c r="K327" s="22">
        <v>4.96</v>
      </c>
      <c r="L327" s="18">
        <f t="shared" si="63"/>
        <v>4.96</v>
      </c>
      <c r="M327" s="18">
        <f t="shared" si="64"/>
        <v>0</v>
      </c>
      <c r="N327" s="15">
        <f t="shared" si="65"/>
        <v>38.96</v>
      </c>
      <c r="O327" s="15">
        <f t="shared" si="56"/>
        <v>38.96</v>
      </c>
      <c r="P327" s="15">
        <f t="shared" si="57"/>
        <v>0</v>
      </c>
      <c r="Q327" s="5">
        <f t="shared" si="58"/>
        <v>0</v>
      </c>
    </row>
    <row r="328" spans="1:17" x14ac:dyDescent="0.25">
      <c r="A328" s="7">
        <v>46279.583333333336</v>
      </c>
      <c r="B328" s="22">
        <v>1666.35</v>
      </c>
      <c r="C328" s="22">
        <v>17.399999999999999</v>
      </c>
      <c r="D328" s="18">
        <f t="shared" si="55"/>
        <v>1683.75</v>
      </c>
      <c r="E328" s="22">
        <v>0</v>
      </c>
      <c r="F328" s="18">
        <f t="shared" si="59"/>
        <v>0</v>
      </c>
      <c r="G328" s="18">
        <f t="shared" si="60"/>
        <v>0</v>
      </c>
      <c r="H328" s="22">
        <v>18.04</v>
      </c>
      <c r="I328" s="18">
        <f t="shared" si="61"/>
        <v>18.04</v>
      </c>
      <c r="J328" s="18">
        <f t="shared" si="62"/>
        <v>0</v>
      </c>
      <c r="K328" s="22">
        <v>1.96</v>
      </c>
      <c r="L328" s="18">
        <f t="shared" si="63"/>
        <v>1.96</v>
      </c>
      <c r="M328" s="18">
        <f t="shared" si="64"/>
        <v>0</v>
      </c>
      <c r="N328" s="15">
        <f t="shared" si="65"/>
        <v>20</v>
      </c>
      <c r="O328" s="15">
        <f t="shared" si="56"/>
        <v>20</v>
      </c>
      <c r="P328" s="15">
        <f t="shared" si="57"/>
        <v>0</v>
      </c>
      <c r="Q328" s="5">
        <f t="shared" si="58"/>
        <v>0</v>
      </c>
    </row>
    <row r="329" spans="1:17" x14ac:dyDescent="0.25">
      <c r="A329" s="7">
        <v>46279.625</v>
      </c>
      <c r="B329" s="22">
        <v>1174.95</v>
      </c>
      <c r="C329" s="22">
        <v>0.6</v>
      </c>
      <c r="D329" s="18">
        <f t="shared" si="55"/>
        <v>1175.55</v>
      </c>
      <c r="E329" s="22">
        <v>0</v>
      </c>
      <c r="F329" s="18">
        <f t="shared" si="59"/>
        <v>0</v>
      </c>
      <c r="G329" s="18">
        <f t="shared" si="60"/>
        <v>0</v>
      </c>
      <c r="H329" s="22">
        <v>60.040000000000006</v>
      </c>
      <c r="I329" s="18">
        <f t="shared" si="61"/>
        <v>60.040000000000006</v>
      </c>
      <c r="J329" s="18">
        <f t="shared" si="62"/>
        <v>0</v>
      </c>
      <c r="K329" s="22">
        <v>1.96</v>
      </c>
      <c r="L329" s="18">
        <f t="shared" si="63"/>
        <v>1.96</v>
      </c>
      <c r="M329" s="18">
        <f t="shared" si="64"/>
        <v>0</v>
      </c>
      <c r="N329" s="15">
        <f t="shared" si="65"/>
        <v>62.000000000000007</v>
      </c>
      <c r="O329" s="15">
        <f t="shared" si="56"/>
        <v>62.000000000000007</v>
      </c>
      <c r="P329" s="15">
        <f t="shared" si="57"/>
        <v>0</v>
      </c>
      <c r="Q329" s="5">
        <f t="shared" si="58"/>
        <v>0</v>
      </c>
    </row>
    <row r="330" spans="1:17" x14ac:dyDescent="0.25">
      <c r="A330" s="7">
        <v>46279.666666666664</v>
      </c>
      <c r="B330" s="22">
        <v>422.09999999999997</v>
      </c>
      <c r="C330" s="22">
        <v>0</v>
      </c>
      <c r="D330" s="18">
        <f t="shared" si="55"/>
        <v>422.09999999999997</v>
      </c>
      <c r="E330" s="22">
        <v>3.15</v>
      </c>
      <c r="F330" s="18">
        <f t="shared" si="59"/>
        <v>3.15</v>
      </c>
      <c r="G330" s="18">
        <f t="shared" si="60"/>
        <v>0</v>
      </c>
      <c r="H330" s="22">
        <v>78.039999999999992</v>
      </c>
      <c r="I330" s="18">
        <f t="shared" si="61"/>
        <v>78.039999999999992</v>
      </c>
      <c r="J330" s="18">
        <f t="shared" si="62"/>
        <v>0</v>
      </c>
      <c r="K330" s="22">
        <v>2.0799999999999996</v>
      </c>
      <c r="L330" s="18">
        <f t="shared" si="63"/>
        <v>2.0799999999999996</v>
      </c>
      <c r="M330" s="18">
        <f t="shared" si="64"/>
        <v>0</v>
      </c>
      <c r="N330" s="15">
        <f t="shared" si="65"/>
        <v>83.27</v>
      </c>
      <c r="O330" s="15">
        <f t="shared" si="56"/>
        <v>83.27</v>
      </c>
      <c r="P330" s="15">
        <f t="shared" si="57"/>
        <v>0</v>
      </c>
      <c r="Q330" s="5">
        <f t="shared" si="58"/>
        <v>0</v>
      </c>
    </row>
    <row r="331" spans="1:17" x14ac:dyDescent="0.25">
      <c r="A331" s="7">
        <v>46279.708333333336</v>
      </c>
      <c r="B331" s="22">
        <v>0</v>
      </c>
      <c r="C331" s="22">
        <v>0</v>
      </c>
      <c r="D331" s="18">
        <f t="shared" si="55"/>
        <v>0</v>
      </c>
      <c r="E331" s="22">
        <v>333.9</v>
      </c>
      <c r="F331" s="18">
        <f t="shared" si="59"/>
        <v>0</v>
      </c>
      <c r="G331" s="18">
        <f t="shared" si="60"/>
        <v>333.9</v>
      </c>
      <c r="H331" s="22">
        <v>84.64</v>
      </c>
      <c r="I331" s="18">
        <f t="shared" si="61"/>
        <v>0</v>
      </c>
      <c r="J331" s="18">
        <f t="shared" si="62"/>
        <v>84.64</v>
      </c>
      <c r="K331" s="22">
        <v>3.0669999999999997</v>
      </c>
      <c r="L331" s="18">
        <f t="shared" si="63"/>
        <v>0</v>
      </c>
      <c r="M331" s="18">
        <f t="shared" si="64"/>
        <v>3.0669999999999997</v>
      </c>
      <c r="N331" s="15">
        <f t="shared" si="65"/>
        <v>421.60699999999997</v>
      </c>
      <c r="O331" s="15">
        <f t="shared" si="56"/>
        <v>0</v>
      </c>
      <c r="P331" s="15">
        <f t="shared" si="57"/>
        <v>421.60699999999997</v>
      </c>
      <c r="Q331" s="5">
        <f t="shared" si="58"/>
        <v>1</v>
      </c>
    </row>
    <row r="332" spans="1:17" x14ac:dyDescent="0.25">
      <c r="A332" s="7">
        <v>46279.75</v>
      </c>
      <c r="B332" s="22">
        <v>0</v>
      </c>
      <c r="C332" s="22">
        <v>0</v>
      </c>
      <c r="D332" s="18">
        <f t="shared" si="55"/>
        <v>0</v>
      </c>
      <c r="E332" s="22">
        <v>195.3</v>
      </c>
      <c r="F332" s="18">
        <f t="shared" si="59"/>
        <v>0</v>
      </c>
      <c r="G332" s="18">
        <f t="shared" si="60"/>
        <v>195.3</v>
      </c>
      <c r="H332" s="22">
        <v>65.199999999999989</v>
      </c>
      <c r="I332" s="18">
        <f t="shared" si="61"/>
        <v>0</v>
      </c>
      <c r="J332" s="18">
        <f t="shared" si="62"/>
        <v>65.199999999999989</v>
      </c>
      <c r="K332" s="22">
        <v>8.177999999999999</v>
      </c>
      <c r="L332" s="18">
        <f t="shared" si="63"/>
        <v>0</v>
      </c>
      <c r="M332" s="18">
        <f t="shared" si="64"/>
        <v>8.177999999999999</v>
      </c>
      <c r="N332" s="15">
        <f t="shared" si="65"/>
        <v>268.678</v>
      </c>
      <c r="O332" s="15">
        <f t="shared" si="56"/>
        <v>0</v>
      </c>
      <c r="P332" s="15">
        <f t="shared" si="57"/>
        <v>268.678</v>
      </c>
      <c r="Q332" s="5">
        <f t="shared" si="58"/>
        <v>1</v>
      </c>
    </row>
    <row r="333" spans="1:17" x14ac:dyDescent="0.25">
      <c r="A333" s="7">
        <v>46279.791666666664</v>
      </c>
      <c r="B333" s="22">
        <v>0</v>
      </c>
      <c r="C333" s="22">
        <v>0</v>
      </c>
      <c r="D333" s="18">
        <f t="shared" si="55"/>
        <v>0</v>
      </c>
      <c r="E333" s="22">
        <v>189</v>
      </c>
      <c r="F333" s="18">
        <f t="shared" si="59"/>
        <v>0</v>
      </c>
      <c r="G333" s="18">
        <f t="shared" si="60"/>
        <v>189</v>
      </c>
      <c r="H333" s="22">
        <v>42.88</v>
      </c>
      <c r="I333" s="18">
        <f t="shared" si="61"/>
        <v>0</v>
      </c>
      <c r="J333" s="18">
        <f t="shared" si="62"/>
        <v>42.88</v>
      </c>
      <c r="K333" s="22">
        <v>6.2310000000000008</v>
      </c>
      <c r="L333" s="18">
        <f t="shared" si="63"/>
        <v>0</v>
      </c>
      <c r="M333" s="18">
        <f t="shared" si="64"/>
        <v>6.2310000000000008</v>
      </c>
      <c r="N333" s="15">
        <f t="shared" si="65"/>
        <v>238.11099999999999</v>
      </c>
      <c r="O333" s="15">
        <f t="shared" si="56"/>
        <v>0</v>
      </c>
      <c r="P333" s="15">
        <f t="shared" si="57"/>
        <v>238.11099999999999</v>
      </c>
      <c r="Q333" s="5">
        <f t="shared" si="58"/>
        <v>1</v>
      </c>
    </row>
    <row r="334" spans="1:17" x14ac:dyDescent="0.25">
      <c r="A334" s="7">
        <v>46279.833333333336</v>
      </c>
      <c r="B334" s="22">
        <v>0</v>
      </c>
      <c r="C334" s="22">
        <v>0</v>
      </c>
      <c r="D334" s="18">
        <f t="shared" si="55"/>
        <v>0</v>
      </c>
      <c r="E334" s="22">
        <v>447.29999999999995</v>
      </c>
      <c r="F334" s="18">
        <f t="shared" si="59"/>
        <v>0</v>
      </c>
      <c r="G334" s="18">
        <f t="shared" si="60"/>
        <v>447.29999999999995</v>
      </c>
      <c r="H334" s="22">
        <v>51.52</v>
      </c>
      <c r="I334" s="18">
        <f t="shared" si="61"/>
        <v>0</v>
      </c>
      <c r="J334" s="18">
        <f t="shared" si="62"/>
        <v>51.52</v>
      </c>
      <c r="K334" s="22">
        <v>3.7970000000000002</v>
      </c>
      <c r="L334" s="18">
        <f t="shared" si="63"/>
        <v>0</v>
      </c>
      <c r="M334" s="18">
        <f t="shared" si="64"/>
        <v>3.7970000000000002</v>
      </c>
      <c r="N334" s="15">
        <f t="shared" si="65"/>
        <v>502.61699999999996</v>
      </c>
      <c r="O334" s="15">
        <f t="shared" si="56"/>
        <v>0</v>
      </c>
      <c r="P334" s="15">
        <f t="shared" si="57"/>
        <v>502.61699999999996</v>
      </c>
      <c r="Q334" s="5">
        <f t="shared" si="58"/>
        <v>1</v>
      </c>
    </row>
    <row r="335" spans="1:17" x14ac:dyDescent="0.25">
      <c r="A335" s="7">
        <v>46279.875</v>
      </c>
      <c r="B335" s="22">
        <v>0</v>
      </c>
      <c r="C335" s="22">
        <v>0</v>
      </c>
      <c r="D335" s="18">
        <f t="shared" si="55"/>
        <v>0</v>
      </c>
      <c r="E335" s="22">
        <v>400.05</v>
      </c>
      <c r="F335" s="18">
        <f t="shared" si="59"/>
        <v>0</v>
      </c>
      <c r="G335" s="18">
        <f t="shared" si="60"/>
        <v>400.05</v>
      </c>
      <c r="H335" s="22">
        <v>43.839999999999996</v>
      </c>
      <c r="I335" s="18">
        <f t="shared" si="61"/>
        <v>0</v>
      </c>
      <c r="J335" s="18">
        <f t="shared" si="62"/>
        <v>43.839999999999996</v>
      </c>
      <c r="K335" s="22">
        <v>2.4589999999999996</v>
      </c>
      <c r="L335" s="18">
        <f t="shared" si="63"/>
        <v>0</v>
      </c>
      <c r="M335" s="18">
        <f t="shared" si="64"/>
        <v>2.4589999999999996</v>
      </c>
      <c r="N335" s="15">
        <f t="shared" si="65"/>
        <v>446.34899999999999</v>
      </c>
      <c r="O335" s="15">
        <f t="shared" si="56"/>
        <v>0</v>
      </c>
      <c r="P335" s="15">
        <f t="shared" si="57"/>
        <v>446.34899999999999</v>
      </c>
      <c r="Q335" s="5">
        <f t="shared" si="58"/>
        <v>1</v>
      </c>
    </row>
    <row r="336" spans="1:17" x14ac:dyDescent="0.25">
      <c r="A336" s="7">
        <v>46279.916666666664</v>
      </c>
      <c r="B336" s="22">
        <v>0</v>
      </c>
      <c r="C336" s="22">
        <v>0</v>
      </c>
      <c r="D336" s="18">
        <f t="shared" si="55"/>
        <v>0</v>
      </c>
      <c r="E336" s="22">
        <v>349.65000000000003</v>
      </c>
      <c r="F336" s="18">
        <f t="shared" si="59"/>
        <v>0</v>
      </c>
      <c r="G336" s="18">
        <f t="shared" si="60"/>
        <v>349.65000000000003</v>
      </c>
      <c r="H336" s="22">
        <v>41.92</v>
      </c>
      <c r="I336" s="18">
        <f t="shared" si="61"/>
        <v>0</v>
      </c>
      <c r="J336" s="18">
        <f t="shared" si="62"/>
        <v>41.92</v>
      </c>
      <c r="K336" s="22">
        <v>2.56</v>
      </c>
      <c r="L336" s="18">
        <f t="shared" si="63"/>
        <v>0</v>
      </c>
      <c r="M336" s="18">
        <f t="shared" si="64"/>
        <v>2.56</v>
      </c>
      <c r="N336" s="15">
        <f t="shared" si="65"/>
        <v>394.13000000000005</v>
      </c>
      <c r="O336" s="15">
        <f t="shared" si="56"/>
        <v>0</v>
      </c>
      <c r="P336" s="15">
        <f t="shared" si="57"/>
        <v>394.13000000000005</v>
      </c>
      <c r="Q336" s="5">
        <f t="shared" si="58"/>
        <v>1</v>
      </c>
    </row>
    <row r="337" spans="1:17" x14ac:dyDescent="0.25">
      <c r="A337" s="7">
        <v>46279.958333333336</v>
      </c>
      <c r="B337" s="22">
        <v>0</v>
      </c>
      <c r="C337" s="22">
        <v>0</v>
      </c>
      <c r="D337" s="18">
        <f t="shared" si="55"/>
        <v>0</v>
      </c>
      <c r="E337" s="22">
        <v>415.8</v>
      </c>
      <c r="F337" s="18">
        <f t="shared" si="59"/>
        <v>0</v>
      </c>
      <c r="G337" s="18">
        <f t="shared" si="60"/>
        <v>415.8</v>
      </c>
      <c r="H337" s="22">
        <v>44.56</v>
      </c>
      <c r="I337" s="18">
        <f t="shared" si="61"/>
        <v>0</v>
      </c>
      <c r="J337" s="18">
        <f t="shared" si="62"/>
        <v>44.56</v>
      </c>
      <c r="K337" s="22">
        <v>2.56</v>
      </c>
      <c r="L337" s="18">
        <f t="shared" si="63"/>
        <v>0</v>
      </c>
      <c r="M337" s="18">
        <f t="shared" si="64"/>
        <v>2.56</v>
      </c>
      <c r="N337" s="15">
        <f t="shared" si="65"/>
        <v>462.92</v>
      </c>
      <c r="O337" s="15">
        <f t="shared" si="56"/>
        <v>0</v>
      </c>
      <c r="P337" s="15">
        <f t="shared" si="57"/>
        <v>462.92</v>
      </c>
      <c r="Q337" s="5">
        <f t="shared" si="58"/>
        <v>1</v>
      </c>
    </row>
    <row r="338" spans="1:17" x14ac:dyDescent="0.25">
      <c r="A338" s="7">
        <v>46280</v>
      </c>
      <c r="B338" s="22">
        <v>0</v>
      </c>
      <c r="C338" s="22">
        <v>0</v>
      </c>
      <c r="D338" s="18">
        <f t="shared" si="55"/>
        <v>0</v>
      </c>
      <c r="E338" s="22">
        <v>437.85</v>
      </c>
      <c r="F338" s="18">
        <f t="shared" si="59"/>
        <v>0</v>
      </c>
      <c r="G338" s="18">
        <f t="shared" si="60"/>
        <v>437.85</v>
      </c>
      <c r="H338" s="22">
        <v>48.88</v>
      </c>
      <c r="I338" s="18">
        <f t="shared" si="61"/>
        <v>0</v>
      </c>
      <c r="J338" s="18">
        <f t="shared" si="62"/>
        <v>48.88</v>
      </c>
      <c r="K338" s="22">
        <v>2.68</v>
      </c>
      <c r="L338" s="18">
        <f t="shared" si="63"/>
        <v>0</v>
      </c>
      <c r="M338" s="18">
        <f t="shared" si="64"/>
        <v>2.68</v>
      </c>
      <c r="N338" s="15">
        <f t="shared" si="65"/>
        <v>489.41</v>
      </c>
      <c r="O338" s="15">
        <f t="shared" si="56"/>
        <v>0</v>
      </c>
      <c r="P338" s="15">
        <f t="shared" si="57"/>
        <v>489.41</v>
      </c>
      <c r="Q338" s="5">
        <f t="shared" si="58"/>
        <v>1</v>
      </c>
    </row>
    <row r="339" spans="1:17" x14ac:dyDescent="0.25">
      <c r="A339" s="7">
        <v>46280.041666666664</v>
      </c>
      <c r="B339" s="22">
        <v>0</v>
      </c>
      <c r="C339" s="22">
        <v>0</v>
      </c>
      <c r="D339" s="18">
        <f t="shared" si="55"/>
        <v>0</v>
      </c>
      <c r="E339" s="22">
        <v>330.75</v>
      </c>
      <c r="F339" s="18">
        <f t="shared" si="59"/>
        <v>0</v>
      </c>
      <c r="G339" s="18">
        <f t="shared" si="60"/>
        <v>330.75</v>
      </c>
      <c r="H339" s="22">
        <v>48.160000000000004</v>
      </c>
      <c r="I339" s="18">
        <f t="shared" si="61"/>
        <v>0</v>
      </c>
      <c r="J339" s="18">
        <f t="shared" si="62"/>
        <v>48.160000000000004</v>
      </c>
      <c r="K339" s="22">
        <v>2.56</v>
      </c>
      <c r="L339" s="18">
        <f t="shared" si="63"/>
        <v>0</v>
      </c>
      <c r="M339" s="18">
        <f t="shared" si="64"/>
        <v>2.56</v>
      </c>
      <c r="N339" s="15">
        <f t="shared" si="65"/>
        <v>381.47</v>
      </c>
      <c r="O339" s="15">
        <f t="shared" si="56"/>
        <v>0</v>
      </c>
      <c r="P339" s="15">
        <f t="shared" si="57"/>
        <v>381.47</v>
      </c>
      <c r="Q339" s="5">
        <f t="shared" si="58"/>
        <v>1</v>
      </c>
    </row>
    <row r="340" spans="1:17" x14ac:dyDescent="0.25">
      <c r="A340" s="7">
        <v>46280.083333333336</v>
      </c>
      <c r="B340" s="22">
        <v>0</v>
      </c>
      <c r="C340" s="22">
        <v>0</v>
      </c>
      <c r="D340" s="18">
        <f t="shared" si="55"/>
        <v>0</v>
      </c>
      <c r="E340" s="22">
        <v>488.25</v>
      </c>
      <c r="F340" s="18">
        <f t="shared" si="59"/>
        <v>0</v>
      </c>
      <c r="G340" s="18">
        <f t="shared" si="60"/>
        <v>488.25</v>
      </c>
      <c r="H340" s="22">
        <v>44.2</v>
      </c>
      <c r="I340" s="18">
        <f t="shared" si="61"/>
        <v>0</v>
      </c>
      <c r="J340" s="18">
        <f t="shared" si="62"/>
        <v>44.2</v>
      </c>
      <c r="K340" s="22">
        <v>2.44</v>
      </c>
      <c r="L340" s="18">
        <f t="shared" si="63"/>
        <v>0</v>
      </c>
      <c r="M340" s="18">
        <f t="shared" si="64"/>
        <v>2.44</v>
      </c>
      <c r="N340" s="15">
        <f t="shared" si="65"/>
        <v>534.8900000000001</v>
      </c>
      <c r="O340" s="15">
        <f t="shared" si="56"/>
        <v>0</v>
      </c>
      <c r="P340" s="15">
        <f t="shared" si="57"/>
        <v>534.8900000000001</v>
      </c>
      <c r="Q340" s="5">
        <f t="shared" si="58"/>
        <v>1</v>
      </c>
    </row>
    <row r="341" spans="1:17" x14ac:dyDescent="0.25">
      <c r="A341" s="7">
        <v>46280.125</v>
      </c>
      <c r="B341" s="22">
        <v>0</v>
      </c>
      <c r="C341" s="22">
        <v>0</v>
      </c>
      <c r="D341" s="18">
        <f t="shared" si="55"/>
        <v>0</v>
      </c>
      <c r="E341" s="22">
        <v>500.85</v>
      </c>
      <c r="F341" s="18">
        <f t="shared" si="59"/>
        <v>0</v>
      </c>
      <c r="G341" s="18">
        <f t="shared" si="60"/>
        <v>500.85</v>
      </c>
      <c r="H341" s="22">
        <v>45.16</v>
      </c>
      <c r="I341" s="18">
        <f t="shared" si="61"/>
        <v>0</v>
      </c>
      <c r="J341" s="18">
        <f t="shared" si="62"/>
        <v>45.16</v>
      </c>
      <c r="K341" s="22">
        <v>2.68</v>
      </c>
      <c r="L341" s="18">
        <f t="shared" si="63"/>
        <v>0</v>
      </c>
      <c r="M341" s="18">
        <f t="shared" si="64"/>
        <v>2.68</v>
      </c>
      <c r="N341" s="15">
        <f t="shared" si="65"/>
        <v>548.68999999999994</v>
      </c>
      <c r="O341" s="15">
        <f t="shared" si="56"/>
        <v>0</v>
      </c>
      <c r="P341" s="15">
        <f t="shared" si="57"/>
        <v>548.68999999999994</v>
      </c>
      <c r="Q341" s="5">
        <f t="shared" si="58"/>
        <v>1</v>
      </c>
    </row>
    <row r="342" spans="1:17" x14ac:dyDescent="0.25">
      <c r="A342" s="7">
        <v>46280.166666666664</v>
      </c>
      <c r="B342" s="22">
        <v>0</v>
      </c>
      <c r="C342" s="22">
        <v>0</v>
      </c>
      <c r="D342" s="18">
        <f t="shared" si="55"/>
        <v>0</v>
      </c>
      <c r="E342" s="22">
        <v>488.25</v>
      </c>
      <c r="F342" s="18">
        <f t="shared" si="59"/>
        <v>0</v>
      </c>
      <c r="G342" s="18">
        <f t="shared" si="60"/>
        <v>488.25</v>
      </c>
      <c r="H342" s="22">
        <v>46.72</v>
      </c>
      <c r="I342" s="18">
        <f t="shared" si="61"/>
        <v>0</v>
      </c>
      <c r="J342" s="18">
        <f t="shared" si="62"/>
        <v>46.72</v>
      </c>
      <c r="K342" s="22">
        <v>2.56</v>
      </c>
      <c r="L342" s="18">
        <f t="shared" si="63"/>
        <v>0</v>
      </c>
      <c r="M342" s="18">
        <f t="shared" si="64"/>
        <v>2.56</v>
      </c>
      <c r="N342" s="15">
        <f t="shared" si="65"/>
        <v>537.53</v>
      </c>
      <c r="O342" s="15">
        <f t="shared" si="56"/>
        <v>0</v>
      </c>
      <c r="P342" s="15">
        <f t="shared" si="57"/>
        <v>537.53</v>
      </c>
      <c r="Q342" s="5">
        <f t="shared" si="58"/>
        <v>1</v>
      </c>
    </row>
    <row r="343" spans="1:17" x14ac:dyDescent="0.25">
      <c r="A343" s="7">
        <v>46280.208333333336</v>
      </c>
      <c r="B343" s="22">
        <v>0</v>
      </c>
      <c r="C343" s="22">
        <v>0</v>
      </c>
      <c r="D343" s="18">
        <f t="shared" si="55"/>
        <v>0</v>
      </c>
      <c r="E343" s="22">
        <v>529.20000000000005</v>
      </c>
      <c r="F343" s="18">
        <f t="shared" si="59"/>
        <v>0</v>
      </c>
      <c r="G343" s="18">
        <f t="shared" si="60"/>
        <v>529.20000000000005</v>
      </c>
      <c r="H343" s="22">
        <v>42.88</v>
      </c>
      <c r="I343" s="18">
        <f t="shared" si="61"/>
        <v>0</v>
      </c>
      <c r="J343" s="18">
        <f t="shared" si="62"/>
        <v>42.88</v>
      </c>
      <c r="K343" s="22">
        <v>2.3199999999999998</v>
      </c>
      <c r="L343" s="18">
        <f t="shared" si="63"/>
        <v>0</v>
      </c>
      <c r="M343" s="18">
        <f t="shared" si="64"/>
        <v>2.3199999999999998</v>
      </c>
      <c r="N343" s="15">
        <f t="shared" si="65"/>
        <v>574.40000000000009</v>
      </c>
      <c r="O343" s="15">
        <f t="shared" si="56"/>
        <v>0</v>
      </c>
      <c r="P343" s="15">
        <f t="shared" si="57"/>
        <v>574.40000000000009</v>
      </c>
      <c r="Q343" s="5">
        <f t="shared" si="58"/>
        <v>1</v>
      </c>
    </row>
    <row r="344" spans="1:17" x14ac:dyDescent="0.25">
      <c r="A344" s="7">
        <v>46280.25</v>
      </c>
      <c r="B344" s="22">
        <v>0</v>
      </c>
      <c r="C344" s="22">
        <v>0</v>
      </c>
      <c r="D344" s="18">
        <f t="shared" si="55"/>
        <v>0</v>
      </c>
      <c r="E344" s="22">
        <v>270.89999999999998</v>
      </c>
      <c r="F344" s="18">
        <f t="shared" si="59"/>
        <v>0</v>
      </c>
      <c r="G344" s="18">
        <f t="shared" si="60"/>
        <v>270.89999999999998</v>
      </c>
      <c r="H344" s="22">
        <v>36.4</v>
      </c>
      <c r="I344" s="18">
        <f t="shared" si="61"/>
        <v>0</v>
      </c>
      <c r="J344" s="18">
        <f t="shared" si="62"/>
        <v>36.4</v>
      </c>
      <c r="K344" s="22">
        <v>4.12</v>
      </c>
      <c r="L344" s="18">
        <f t="shared" si="63"/>
        <v>0</v>
      </c>
      <c r="M344" s="18">
        <f t="shared" si="64"/>
        <v>4.12</v>
      </c>
      <c r="N344" s="15">
        <f t="shared" si="65"/>
        <v>311.41999999999996</v>
      </c>
      <c r="O344" s="15">
        <f t="shared" si="56"/>
        <v>0</v>
      </c>
      <c r="P344" s="15">
        <f t="shared" si="57"/>
        <v>311.41999999999996</v>
      </c>
      <c r="Q344" s="5">
        <f t="shared" si="58"/>
        <v>1</v>
      </c>
    </row>
    <row r="345" spans="1:17" x14ac:dyDescent="0.25">
      <c r="A345" s="7">
        <v>46280.291666666664</v>
      </c>
      <c r="B345" s="22">
        <v>270.89999999999998</v>
      </c>
      <c r="C345" s="22">
        <v>0.36000000000000004</v>
      </c>
      <c r="D345" s="18">
        <f t="shared" si="55"/>
        <v>271.26</v>
      </c>
      <c r="E345" s="22">
        <v>3.15</v>
      </c>
      <c r="F345" s="18">
        <f t="shared" si="59"/>
        <v>3.15</v>
      </c>
      <c r="G345" s="18">
        <f t="shared" si="60"/>
        <v>0</v>
      </c>
      <c r="H345" s="22">
        <v>55.480000000000004</v>
      </c>
      <c r="I345" s="18">
        <f t="shared" si="61"/>
        <v>55.480000000000004</v>
      </c>
      <c r="J345" s="18">
        <f t="shared" si="62"/>
        <v>0</v>
      </c>
      <c r="K345" s="22">
        <v>2.2000000000000002</v>
      </c>
      <c r="L345" s="18">
        <f t="shared" si="63"/>
        <v>2.2000000000000002</v>
      </c>
      <c r="M345" s="18">
        <f t="shared" si="64"/>
        <v>0</v>
      </c>
      <c r="N345" s="15">
        <f t="shared" si="65"/>
        <v>60.830000000000005</v>
      </c>
      <c r="O345" s="15">
        <f t="shared" si="56"/>
        <v>60.830000000000005</v>
      </c>
      <c r="P345" s="15">
        <f t="shared" si="57"/>
        <v>0</v>
      </c>
      <c r="Q345" s="5">
        <f t="shared" si="58"/>
        <v>0</v>
      </c>
    </row>
    <row r="346" spans="1:17" x14ac:dyDescent="0.25">
      <c r="A346" s="7">
        <v>46280.333333333336</v>
      </c>
      <c r="B346" s="22">
        <v>441</v>
      </c>
      <c r="C346" s="22">
        <v>0</v>
      </c>
      <c r="D346" s="18">
        <f t="shared" si="55"/>
        <v>441</v>
      </c>
      <c r="E346" s="22">
        <v>0</v>
      </c>
      <c r="F346" s="18">
        <f t="shared" si="59"/>
        <v>0</v>
      </c>
      <c r="G346" s="18">
        <f t="shared" si="60"/>
        <v>0</v>
      </c>
      <c r="H346" s="22">
        <v>176.56</v>
      </c>
      <c r="I346" s="18">
        <f t="shared" si="61"/>
        <v>176.56</v>
      </c>
      <c r="J346" s="18">
        <f t="shared" si="62"/>
        <v>0</v>
      </c>
      <c r="K346" s="22">
        <v>13.96</v>
      </c>
      <c r="L346" s="18">
        <f t="shared" si="63"/>
        <v>13.96</v>
      </c>
      <c r="M346" s="18">
        <f t="shared" si="64"/>
        <v>0</v>
      </c>
      <c r="N346" s="15">
        <f t="shared" si="65"/>
        <v>190.52</v>
      </c>
      <c r="O346" s="15">
        <f t="shared" si="56"/>
        <v>190.52</v>
      </c>
      <c r="P346" s="15">
        <f t="shared" si="57"/>
        <v>0</v>
      </c>
      <c r="Q346" s="5">
        <f t="shared" si="58"/>
        <v>0</v>
      </c>
    </row>
    <row r="347" spans="1:17" x14ac:dyDescent="0.25">
      <c r="A347" s="7">
        <v>46280.375</v>
      </c>
      <c r="B347" s="22">
        <v>992.25</v>
      </c>
      <c r="C347" s="22">
        <v>0</v>
      </c>
      <c r="D347" s="18">
        <f t="shared" si="55"/>
        <v>992.25</v>
      </c>
      <c r="E347" s="22">
        <v>0</v>
      </c>
      <c r="F347" s="18">
        <f t="shared" si="59"/>
        <v>0</v>
      </c>
      <c r="G347" s="18">
        <f t="shared" si="60"/>
        <v>0</v>
      </c>
      <c r="H347" s="22">
        <v>133.83999999999997</v>
      </c>
      <c r="I347" s="18">
        <f t="shared" si="61"/>
        <v>133.83999999999997</v>
      </c>
      <c r="J347" s="18">
        <f t="shared" si="62"/>
        <v>0</v>
      </c>
      <c r="K347" s="22">
        <v>24.04</v>
      </c>
      <c r="L347" s="18">
        <f t="shared" si="63"/>
        <v>24.04</v>
      </c>
      <c r="M347" s="18">
        <f t="shared" si="64"/>
        <v>0</v>
      </c>
      <c r="N347" s="15">
        <f t="shared" si="65"/>
        <v>157.87999999999997</v>
      </c>
      <c r="O347" s="15">
        <f t="shared" si="56"/>
        <v>157.87999999999997</v>
      </c>
      <c r="P347" s="15">
        <f t="shared" si="57"/>
        <v>0</v>
      </c>
      <c r="Q347" s="5">
        <f t="shared" si="58"/>
        <v>0</v>
      </c>
    </row>
    <row r="348" spans="1:17" x14ac:dyDescent="0.25">
      <c r="A348" s="7">
        <v>46280.416666666664</v>
      </c>
      <c r="B348" s="22">
        <v>1603.3500000000001</v>
      </c>
      <c r="C348" s="22">
        <v>3</v>
      </c>
      <c r="D348" s="18">
        <f t="shared" si="55"/>
        <v>1606.3500000000001</v>
      </c>
      <c r="E348" s="22">
        <v>0</v>
      </c>
      <c r="F348" s="18">
        <f t="shared" si="59"/>
        <v>0</v>
      </c>
      <c r="G348" s="18">
        <f t="shared" si="60"/>
        <v>0</v>
      </c>
      <c r="H348" s="22">
        <v>51.28</v>
      </c>
      <c r="I348" s="18">
        <f t="shared" si="61"/>
        <v>51.28</v>
      </c>
      <c r="J348" s="18">
        <f t="shared" si="62"/>
        <v>0</v>
      </c>
      <c r="K348" s="22">
        <v>21.16</v>
      </c>
      <c r="L348" s="18">
        <f t="shared" si="63"/>
        <v>21.16</v>
      </c>
      <c r="M348" s="18">
        <f t="shared" si="64"/>
        <v>0</v>
      </c>
      <c r="N348" s="15">
        <f t="shared" si="65"/>
        <v>72.44</v>
      </c>
      <c r="O348" s="15">
        <f t="shared" si="56"/>
        <v>72.44</v>
      </c>
      <c r="P348" s="15">
        <f t="shared" si="57"/>
        <v>0</v>
      </c>
      <c r="Q348" s="5">
        <f t="shared" si="58"/>
        <v>0</v>
      </c>
    </row>
    <row r="349" spans="1:17" x14ac:dyDescent="0.25">
      <c r="A349" s="7">
        <v>46280.458333333336</v>
      </c>
      <c r="B349" s="22">
        <v>1849.0500000000002</v>
      </c>
      <c r="C349" s="22">
        <v>12.6</v>
      </c>
      <c r="D349" s="18">
        <f t="shared" si="55"/>
        <v>1861.65</v>
      </c>
      <c r="E349" s="22">
        <v>0</v>
      </c>
      <c r="F349" s="18">
        <f t="shared" si="59"/>
        <v>0</v>
      </c>
      <c r="G349" s="18">
        <f t="shared" si="60"/>
        <v>0</v>
      </c>
      <c r="H349" s="22">
        <v>42.28</v>
      </c>
      <c r="I349" s="18">
        <f t="shared" si="61"/>
        <v>42.28</v>
      </c>
      <c r="J349" s="18">
        <f t="shared" si="62"/>
        <v>0</v>
      </c>
      <c r="K349" s="22">
        <v>22</v>
      </c>
      <c r="L349" s="18">
        <f t="shared" si="63"/>
        <v>22</v>
      </c>
      <c r="M349" s="18">
        <f t="shared" si="64"/>
        <v>0</v>
      </c>
      <c r="N349" s="15">
        <f t="shared" si="65"/>
        <v>64.28</v>
      </c>
      <c r="O349" s="15">
        <f t="shared" si="56"/>
        <v>64.28</v>
      </c>
      <c r="P349" s="15">
        <f t="shared" si="57"/>
        <v>0</v>
      </c>
      <c r="Q349" s="5">
        <f t="shared" si="58"/>
        <v>0</v>
      </c>
    </row>
    <row r="350" spans="1:17" x14ac:dyDescent="0.25">
      <c r="A350" s="7">
        <v>46280.5</v>
      </c>
      <c r="B350" s="22">
        <v>2324.6999999999998</v>
      </c>
      <c r="C350" s="22">
        <v>21.72</v>
      </c>
      <c r="D350" s="18">
        <f t="shared" si="55"/>
        <v>2346.4199999999996</v>
      </c>
      <c r="E350" s="22">
        <v>0</v>
      </c>
      <c r="F350" s="18">
        <f t="shared" si="59"/>
        <v>0</v>
      </c>
      <c r="G350" s="18">
        <f t="shared" si="60"/>
        <v>0</v>
      </c>
      <c r="H350" s="22">
        <v>13.24</v>
      </c>
      <c r="I350" s="18">
        <f t="shared" si="61"/>
        <v>13.24</v>
      </c>
      <c r="J350" s="18">
        <f t="shared" si="62"/>
        <v>0</v>
      </c>
      <c r="K350" s="22">
        <v>16.240000000000002</v>
      </c>
      <c r="L350" s="18">
        <f t="shared" si="63"/>
        <v>16.240000000000002</v>
      </c>
      <c r="M350" s="18">
        <f t="shared" si="64"/>
        <v>0</v>
      </c>
      <c r="N350" s="15">
        <f t="shared" si="65"/>
        <v>29.480000000000004</v>
      </c>
      <c r="O350" s="15">
        <f t="shared" si="56"/>
        <v>29.480000000000004</v>
      </c>
      <c r="P350" s="15">
        <f t="shared" si="57"/>
        <v>0</v>
      </c>
      <c r="Q350" s="5">
        <f t="shared" si="58"/>
        <v>0</v>
      </c>
    </row>
    <row r="351" spans="1:17" x14ac:dyDescent="0.25">
      <c r="A351" s="7">
        <v>46280.541666666664</v>
      </c>
      <c r="B351" s="22">
        <v>2268</v>
      </c>
      <c r="C351" s="22">
        <v>16.8</v>
      </c>
      <c r="D351" s="18">
        <f t="shared" si="55"/>
        <v>2284.8000000000002</v>
      </c>
      <c r="E351" s="22">
        <v>0</v>
      </c>
      <c r="F351" s="18">
        <f t="shared" si="59"/>
        <v>0</v>
      </c>
      <c r="G351" s="18">
        <f t="shared" si="60"/>
        <v>0</v>
      </c>
      <c r="H351" s="22">
        <v>18.16</v>
      </c>
      <c r="I351" s="18">
        <f t="shared" si="61"/>
        <v>18.16</v>
      </c>
      <c r="J351" s="18">
        <f t="shared" si="62"/>
        <v>0</v>
      </c>
      <c r="K351" s="22">
        <v>38.32</v>
      </c>
      <c r="L351" s="18">
        <f t="shared" si="63"/>
        <v>38.32</v>
      </c>
      <c r="M351" s="18">
        <f t="shared" si="64"/>
        <v>0</v>
      </c>
      <c r="N351" s="15">
        <f t="shared" si="65"/>
        <v>56.480000000000004</v>
      </c>
      <c r="O351" s="15">
        <f t="shared" si="56"/>
        <v>56.480000000000004</v>
      </c>
      <c r="P351" s="15">
        <f t="shared" si="57"/>
        <v>0</v>
      </c>
      <c r="Q351" s="5">
        <f t="shared" si="58"/>
        <v>0</v>
      </c>
    </row>
    <row r="352" spans="1:17" x14ac:dyDescent="0.25">
      <c r="A352" s="7">
        <v>46280.583333333336</v>
      </c>
      <c r="B352" s="22">
        <v>1537.1999999999998</v>
      </c>
      <c r="C352" s="22">
        <v>0.72000000000000008</v>
      </c>
      <c r="D352" s="18">
        <f t="shared" si="55"/>
        <v>1537.9199999999998</v>
      </c>
      <c r="E352" s="22">
        <v>0</v>
      </c>
      <c r="F352" s="18">
        <f t="shared" si="59"/>
        <v>0</v>
      </c>
      <c r="G352" s="18">
        <f t="shared" si="60"/>
        <v>0</v>
      </c>
      <c r="H352" s="22">
        <v>71.08</v>
      </c>
      <c r="I352" s="18">
        <f t="shared" si="61"/>
        <v>71.08</v>
      </c>
      <c r="J352" s="18">
        <f t="shared" si="62"/>
        <v>0</v>
      </c>
      <c r="K352" s="22">
        <v>30.4</v>
      </c>
      <c r="L352" s="18">
        <f t="shared" si="63"/>
        <v>30.4</v>
      </c>
      <c r="M352" s="18">
        <f t="shared" si="64"/>
        <v>0</v>
      </c>
      <c r="N352" s="15">
        <f t="shared" si="65"/>
        <v>101.47999999999999</v>
      </c>
      <c r="O352" s="15">
        <f t="shared" si="56"/>
        <v>101.47999999999999</v>
      </c>
      <c r="P352" s="15">
        <f t="shared" si="57"/>
        <v>0</v>
      </c>
      <c r="Q352" s="5">
        <f t="shared" si="58"/>
        <v>0</v>
      </c>
    </row>
    <row r="353" spans="1:17" x14ac:dyDescent="0.25">
      <c r="A353" s="7">
        <v>46280.625</v>
      </c>
      <c r="B353" s="22">
        <v>963.9</v>
      </c>
      <c r="C353" s="22">
        <v>0.12000000000000001</v>
      </c>
      <c r="D353" s="18">
        <f t="shared" si="55"/>
        <v>964.02</v>
      </c>
      <c r="E353" s="22">
        <v>0</v>
      </c>
      <c r="F353" s="18">
        <f t="shared" si="59"/>
        <v>0</v>
      </c>
      <c r="G353" s="18">
        <f t="shared" si="60"/>
        <v>0</v>
      </c>
      <c r="H353" s="22">
        <v>70.12</v>
      </c>
      <c r="I353" s="18">
        <f t="shared" si="61"/>
        <v>70.12</v>
      </c>
      <c r="J353" s="18">
        <f t="shared" si="62"/>
        <v>0</v>
      </c>
      <c r="K353" s="22">
        <v>24.28</v>
      </c>
      <c r="L353" s="18">
        <f t="shared" si="63"/>
        <v>24.28</v>
      </c>
      <c r="M353" s="18">
        <f t="shared" si="64"/>
        <v>0</v>
      </c>
      <c r="N353" s="15">
        <f t="shared" si="65"/>
        <v>94.4</v>
      </c>
      <c r="O353" s="15">
        <f t="shared" si="56"/>
        <v>94.4</v>
      </c>
      <c r="P353" s="15">
        <f t="shared" si="57"/>
        <v>0</v>
      </c>
      <c r="Q353" s="5">
        <f t="shared" si="58"/>
        <v>0</v>
      </c>
    </row>
    <row r="354" spans="1:17" x14ac:dyDescent="0.25">
      <c r="A354" s="7">
        <v>46280.666666666664</v>
      </c>
      <c r="B354" s="22">
        <v>563.84999999999991</v>
      </c>
      <c r="C354" s="22">
        <v>0</v>
      </c>
      <c r="D354" s="18">
        <f t="shared" si="55"/>
        <v>563.84999999999991</v>
      </c>
      <c r="E354" s="22">
        <v>0</v>
      </c>
      <c r="F354" s="18">
        <f t="shared" si="59"/>
        <v>0</v>
      </c>
      <c r="G354" s="18">
        <f t="shared" si="60"/>
        <v>0</v>
      </c>
      <c r="H354" s="22">
        <v>82.36</v>
      </c>
      <c r="I354" s="18">
        <f t="shared" si="61"/>
        <v>82.36</v>
      </c>
      <c r="J354" s="18">
        <f t="shared" si="62"/>
        <v>0</v>
      </c>
      <c r="K354" s="22">
        <v>32.919999999999995</v>
      </c>
      <c r="L354" s="18">
        <f t="shared" si="63"/>
        <v>32.919999999999995</v>
      </c>
      <c r="M354" s="18">
        <f t="shared" si="64"/>
        <v>0</v>
      </c>
      <c r="N354" s="15">
        <f t="shared" si="65"/>
        <v>115.28</v>
      </c>
      <c r="O354" s="15">
        <f t="shared" si="56"/>
        <v>115.28</v>
      </c>
      <c r="P354" s="15">
        <f t="shared" si="57"/>
        <v>0</v>
      </c>
      <c r="Q354" s="5">
        <f t="shared" si="58"/>
        <v>0</v>
      </c>
    </row>
    <row r="355" spans="1:17" x14ac:dyDescent="0.25">
      <c r="A355" s="7">
        <v>46280.708333333336</v>
      </c>
      <c r="B355" s="22">
        <v>0</v>
      </c>
      <c r="C355" s="22">
        <v>0</v>
      </c>
      <c r="D355" s="18">
        <f t="shared" si="55"/>
        <v>0</v>
      </c>
      <c r="E355" s="22">
        <v>450.45000000000005</v>
      </c>
      <c r="F355" s="18">
        <f t="shared" si="59"/>
        <v>0</v>
      </c>
      <c r="G355" s="18">
        <f t="shared" si="60"/>
        <v>450.45000000000005</v>
      </c>
      <c r="H355" s="22">
        <v>86.2</v>
      </c>
      <c r="I355" s="18">
        <f t="shared" si="61"/>
        <v>0</v>
      </c>
      <c r="J355" s="18">
        <f t="shared" si="62"/>
        <v>86.2</v>
      </c>
      <c r="K355" s="22">
        <v>20.102999999999998</v>
      </c>
      <c r="L355" s="18">
        <f t="shared" si="63"/>
        <v>0</v>
      </c>
      <c r="M355" s="18">
        <f t="shared" si="64"/>
        <v>20.102999999999998</v>
      </c>
      <c r="N355" s="15">
        <f t="shared" si="65"/>
        <v>556.75300000000004</v>
      </c>
      <c r="O355" s="15">
        <f t="shared" si="56"/>
        <v>0</v>
      </c>
      <c r="P355" s="15">
        <f t="shared" si="57"/>
        <v>556.75300000000004</v>
      </c>
      <c r="Q355" s="5">
        <f t="shared" si="58"/>
        <v>1</v>
      </c>
    </row>
    <row r="356" spans="1:17" x14ac:dyDescent="0.25">
      <c r="A356" s="7">
        <v>46280.75</v>
      </c>
      <c r="B356" s="22">
        <v>15.75</v>
      </c>
      <c r="C356" s="22">
        <v>0</v>
      </c>
      <c r="D356" s="18">
        <f t="shared" si="55"/>
        <v>15.75</v>
      </c>
      <c r="E356" s="22">
        <v>28.35</v>
      </c>
      <c r="F356" s="18">
        <f t="shared" si="59"/>
        <v>3.7072823433685933</v>
      </c>
      <c r="G356" s="18">
        <f t="shared" si="60"/>
        <v>24.642717656631408</v>
      </c>
      <c r="H356" s="22">
        <v>67</v>
      </c>
      <c r="I356" s="18">
        <f t="shared" si="61"/>
        <v>8.7614785539927951</v>
      </c>
      <c r="J356" s="18">
        <f t="shared" si="62"/>
        <v>58.238521446007205</v>
      </c>
      <c r="K356" s="22">
        <v>25.091999999999999</v>
      </c>
      <c r="L356" s="18">
        <f t="shared" si="63"/>
        <v>3.2812391026386152</v>
      </c>
      <c r="M356" s="18">
        <f t="shared" si="64"/>
        <v>21.810760897361384</v>
      </c>
      <c r="N356" s="15">
        <f t="shared" si="65"/>
        <v>120.44199999999999</v>
      </c>
      <c r="O356" s="15">
        <f t="shared" si="56"/>
        <v>15.75</v>
      </c>
      <c r="P356" s="15">
        <f t="shared" si="57"/>
        <v>104.69199999999999</v>
      </c>
      <c r="Q356" s="5">
        <f t="shared" si="58"/>
        <v>0.86923166337324187</v>
      </c>
    </row>
    <row r="357" spans="1:17" x14ac:dyDescent="0.25">
      <c r="A357" s="7">
        <v>46280.791666666664</v>
      </c>
      <c r="B357" s="22">
        <v>0</v>
      </c>
      <c r="C357" s="22">
        <v>0</v>
      </c>
      <c r="D357" s="18">
        <f t="shared" si="55"/>
        <v>0</v>
      </c>
      <c r="E357" s="22">
        <v>223.64999999999998</v>
      </c>
      <c r="F357" s="18">
        <f t="shared" si="59"/>
        <v>0</v>
      </c>
      <c r="G357" s="18">
        <f t="shared" si="60"/>
        <v>223.64999999999998</v>
      </c>
      <c r="H357" s="22">
        <v>48.52</v>
      </c>
      <c r="I357" s="18">
        <f t="shared" si="61"/>
        <v>0</v>
      </c>
      <c r="J357" s="18">
        <f t="shared" si="62"/>
        <v>48.52</v>
      </c>
      <c r="K357" s="22">
        <v>2.3370000000000002</v>
      </c>
      <c r="L357" s="18">
        <f t="shared" si="63"/>
        <v>0</v>
      </c>
      <c r="M357" s="18">
        <f t="shared" si="64"/>
        <v>2.3370000000000002</v>
      </c>
      <c r="N357" s="15">
        <f t="shared" si="65"/>
        <v>274.50699999999995</v>
      </c>
      <c r="O357" s="15">
        <f t="shared" si="56"/>
        <v>0</v>
      </c>
      <c r="P357" s="15">
        <f t="shared" si="57"/>
        <v>274.50699999999995</v>
      </c>
      <c r="Q357" s="5">
        <f t="shared" si="58"/>
        <v>1</v>
      </c>
    </row>
    <row r="358" spans="1:17" x14ac:dyDescent="0.25">
      <c r="A358" s="7">
        <v>46280.833333333336</v>
      </c>
      <c r="B358" s="22">
        <v>0</v>
      </c>
      <c r="C358" s="22">
        <v>0</v>
      </c>
      <c r="D358" s="18">
        <f t="shared" si="55"/>
        <v>0</v>
      </c>
      <c r="E358" s="22">
        <v>302.39999999999998</v>
      </c>
      <c r="F358" s="18">
        <f t="shared" si="59"/>
        <v>0</v>
      </c>
      <c r="G358" s="18">
        <f t="shared" si="60"/>
        <v>302.39999999999998</v>
      </c>
      <c r="H358" s="22">
        <v>55</v>
      </c>
      <c r="I358" s="18">
        <f t="shared" si="61"/>
        <v>0</v>
      </c>
      <c r="J358" s="18">
        <f t="shared" si="62"/>
        <v>55</v>
      </c>
      <c r="K358" s="22">
        <v>2.702</v>
      </c>
      <c r="L358" s="18">
        <f t="shared" si="63"/>
        <v>0</v>
      </c>
      <c r="M358" s="18">
        <f t="shared" si="64"/>
        <v>2.702</v>
      </c>
      <c r="N358" s="15">
        <f t="shared" si="65"/>
        <v>360.10199999999998</v>
      </c>
      <c r="O358" s="15">
        <f t="shared" si="56"/>
        <v>0</v>
      </c>
      <c r="P358" s="15">
        <f t="shared" si="57"/>
        <v>360.10199999999998</v>
      </c>
      <c r="Q358" s="5">
        <f t="shared" si="58"/>
        <v>1</v>
      </c>
    </row>
    <row r="359" spans="1:17" x14ac:dyDescent="0.25">
      <c r="A359" s="7">
        <v>46280.875</v>
      </c>
      <c r="B359" s="22">
        <v>0</v>
      </c>
      <c r="C359" s="22">
        <v>0</v>
      </c>
      <c r="D359" s="18">
        <f t="shared" si="55"/>
        <v>0</v>
      </c>
      <c r="E359" s="22">
        <v>412.65000000000003</v>
      </c>
      <c r="F359" s="18">
        <f t="shared" si="59"/>
        <v>0</v>
      </c>
      <c r="G359" s="18">
        <f t="shared" si="60"/>
        <v>412.65000000000003</v>
      </c>
      <c r="H359" s="22">
        <v>73.239999999999995</v>
      </c>
      <c r="I359" s="18">
        <f t="shared" si="61"/>
        <v>0</v>
      </c>
      <c r="J359" s="18">
        <f t="shared" si="62"/>
        <v>73.239999999999995</v>
      </c>
      <c r="K359" s="22">
        <v>2.702</v>
      </c>
      <c r="L359" s="18">
        <f t="shared" si="63"/>
        <v>0</v>
      </c>
      <c r="M359" s="18">
        <f t="shared" si="64"/>
        <v>2.702</v>
      </c>
      <c r="N359" s="15">
        <f t="shared" si="65"/>
        <v>488.59200000000004</v>
      </c>
      <c r="O359" s="15">
        <f t="shared" si="56"/>
        <v>0</v>
      </c>
      <c r="P359" s="15">
        <f t="shared" si="57"/>
        <v>488.59200000000004</v>
      </c>
      <c r="Q359" s="5">
        <f t="shared" si="58"/>
        <v>1</v>
      </c>
    </row>
    <row r="360" spans="1:17" x14ac:dyDescent="0.25">
      <c r="A360" s="7">
        <v>46280.916666666664</v>
      </c>
      <c r="B360" s="22">
        <v>0</v>
      </c>
      <c r="C360" s="22">
        <v>0</v>
      </c>
      <c r="D360" s="18">
        <f t="shared" si="55"/>
        <v>0</v>
      </c>
      <c r="E360" s="22">
        <v>368.55</v>
      </c>
      <c r="F360" s="18">
        <f t="shared" si="59"/>
        <v>0</v>
      </c>
      <c r="G360" s="18">
        <f t="shared" si="60"/>
        <v>368.55</v>
      </c>
      <c r="H360" s="22">
        <v>69.400000000000006</v>
      </c>
      <c r="I360" s="18">
        <f t="shared" si="61"/>
        <v>0</v>
      </c>
      <c r="J360" s="18">
        <f t="shared" si="62"/>
        <v>69.400000000000006</v>
      </c>
      <c r="K360" s="22">
        <v>2.56</v>
      </c>
      <c r="L360" s="18">
        <f t="shared" si="63"/>
        <v>0</v>
      </c>
      <c r="M360" s="18">
        <f t="shared" si="64"/>
        <v>2.56</v>
      </c>
      <c r="N360" s="15">
        <f t="shared" si="65"/>
        <v>440.51000000000005</v>
      </c>
      <c r="O360" s="15">
        <f t="shared" si="56"/>
        <v>0</v>
      </c>
      <c r="P360" s="15">
        <f t="shared" si="57"/>
        <v>440.51000000000005</v>
      </c>
      <c r="Q360" s="5">
        <f t="shared" si="58"/>
        <v>1</v>
      </c>
    </row>
    <row r="361" spans="1:17" x14ac:dyDescent="0.25">
      <c r="A361" s="7">
        <v>46280.958333333336</v>
      </c>
      <c r="B361" s="22">
        <v>0</v>
      </c>
      <c r="C361" s="22">
        <v>0</v>
      </c>
      <c r="D361" s="18">
        <f t="shared" si="55"/>
        <v>0</v>
      </c>
      <c r="E361" s="22">
        <v>459.9</v>
      </c>
      <c r="F361" s="18">
        <f t="shared" si="59"/>
        <v>0</v>
      </c>
      <c r="G361" s="18">
        <f t="shared" si="60"/>
        <v>459.9</v>
      </c>
      <c r="H361" s="22">
        <v>59.68</v>
      </c>
      <c r="I361" s="18">
        <f t="shared" si="61"/>
        <v>0</v>
      </c>
      <c r="J361" s="18">
        <f t="shared" si="62"/>
        <v>59.68</v>
      </c>
      <c r="K361" s="22">
        <v>2.56</v>
      </c>
      <c r="L361" s="18">
        <f t="shared" si="63"/>
        <v>0</v>
      </c>
      <c r="M361" s="18">
        <f t="shared" si="64"/>
        <v>2.56</v>
      </c>
      <c r="N361" s="15">
        <f t="shared" si="65"/>
        <v>522.13999999999987</v>
      </c>
      <c r="O361" s="15">
        <f t="shared" si="56"/>
        <v>0</v>
      </c>
      <c r="P361" s="15">
        <f t="shared" si="57"/>
        <v>522.13999999999987</v>
      </c>
      <c r="Q361" s="5">
        <f t="shared" si="58"/>
        <v>1</v>
      </c>
    </row>
    <row r="362" spans="1:17" x14ac:dyDescent="0.25">
      <c r="A362" s="7">
        <v>46281</v>
      </c>
      <c r="B362" s="22">
        <v>0</v>
      </c>
      <c r="C362" s="22">
        <v>0</v>
      </c>
      <c r="D362" s="18">
        <f t="shared" si="55"/>
        <v>0</v>
      </c>
      <c r="E362" s="22">
        <v>522.9</v>
      </c>
      <c r="F362" s="18">
        <f t="shared" si="59"/>
        <v>0</v>
      </c>
      <c r="G362" s="18">
        <f t="shared" si="60"/>
        <v>522.9</v>
      </c>
      <c r="H362" s="22">
        <v>60.879999999999995</v>
      </c>
      <c r="I362" s="18">
        <f t="shared" si="61"/>
        <v>0</v>
      </c>
      <c r="J362" s="18">
        <f t="shared" si="62"/>
        <v>60.879999999999995</v>
      </c>
      <c r="K362" s="22">
        <v>2.56</v>
      </c>
      <c r="L362" s="18">
        <f t="shared" si="63"/>
        <v>0</v>
      </c>
      <c r="M362" s="18">
        <f t="shared" si="64"/>
        <v>2.56</v>
      </c>
      <c r="N362" s="15">
        <f t="shared" si="65"/>
        <v>586.33999999999992</v>
      </c>
      <c r="O362" s="15">
        <f t="shared" si="56"/>
        <v>0</v>
      </c>
      <c r="P362" s="15">
        <f t="shared" si="57"/>
        <v>586.33999999999992</v>
      </c>
      <c r="Q362" s="5">
        <f t="shared" si="58"/>
        <v>1</v>
      </c>
    </row>
    <row r="363" spans="1:17" x14ac:dyDescent="0.25">
      <c r="A363" s="7">
        <v>46281.041666666664</v>
      </c>
      <c r="B363" s="22">
        <v>0</v>
      </c>
      <c r="C363" s="22">
        <v>0</v>
      </c>
      <c r="D363" s="18">
        <f t="shared" si="55"/>
        <v>0</v>
      </c>
      <c r="E363" s="22">
        <v>400.05</v>
      </c>
      <c r="F363" s="18">
        <f t="shared" si="59"/>
        <v>0</v>
      </c>
      <c r="G363" s="18">
        <f t="shared" si="60"/>
        <v>400.05</v>
      </c>
      <c r="H363" s="22">
        <v>39.519999999999996</v>
      </c>
      <c r="I363" s="18">
        <f t="shared" si="61"/>
        <v>0</v>
      </c>
      <c r="J363" s="18">
        <f t="shared" si="62"/>
        <v>39.519999999999996</v>
      </c>
      <c r="K363" s="22">
        <v>2.56</v>
      </c>
      <c r="L363" s="18">
        <f t="shared" si="63"/>
        <v>0</v>
      </c>
      <c r="M363" s="18">
        <f t="shared" si="64"/>
        <v>2.56</v>
      </c>
      <c r="N363" s="15">
        <f t="shared" si="65"/>
        <v>442.13</v>
      </c>
      <c r="O363" s="15">
        <f t="shared" si="56"/>
        <v>0</v>
      </c>
      <c r="P363" s="15">
        <f t="shared" si="57"/>
        <v>442.13</v>
      </c>
      <c r="Q363" s="5">
        <f t="shared" si="58"/>
        <v>1</v>
      </c>
    </row>
    <row r="364" spans="1:17" x14ac:dyDescent="0.25">
      <c r="A364" s="7">
        <v>46281.083333333336</v>
      </c>
      <c r="B364" s="22">
        <v>0</v>
      </c>
      <c r="C364" s="22">
        <v>0</v>
      </c>
      <c r="D364" s="18">
        <f t="shared" si="55"/>
        <v>0</v>
      </c>
      <c r="E364" s="22">
        <v>412.65000000000003</v>
      </c>
      <c r="F364" s="18">
        <f t="shared" si="59"/>
        <v>0</v>
      </c>
      <c r="G364" s="18">
        <f t="shared" si="60"/>
        <v>412.65000000000003</v>
      </c>
      <c r="H364" s="22">
        <v>50.92</v>
      </c>
      <c r="I364" s="18">
        <f t="shared" si="61"/>
        <v>0</v>
      </c>
      <c r="J364" s="18">
        <f t="shared" si="62"/>
        <v>50.92</v>
      </c>
      <c r="K364" s="22">
        <v>2.56</v>
      </c>
      <c r="L364" s="18">
        <f t="shared" si="63"/>
        <v>0</v>
      </c>
      <c r="M364" s="18">
        <f t="shared" si="64"/>
        <v>2.56</v>
      </c>
      <c r="N364" s="15">
        <f t="shared" si="65"/>
        <v>466.13000000000005</v>
      </c>
      <c r="O364" s="15">
        <f t="shared" si="56"/>
        <v>0</v>
      </c>
      <c r="P364" s="15">
        <f t="shared" si="57"/>
        <v>466.13000000000005</v>
      </c>
      <c r="Q364" s="5">
        <f t="shared" si="58"/>
        <v>1</v>
      </c>
    </row>
    <row r="365" spans="1:17" x14ac:dyDescent="0.25">
      <c r="A365" s="7">
        <v>46281.125</v>
      </c>
      <c r="B365" s="22">
        <v>0</v>
      </c>
      <c r="C365" s="22">
        <v>0</v>
      </c>
      <c r="D365" s="18">
        <f t="shared" si="55"/>
        <v>0</v>
      </c>
      <c r="E365" s="22">
        <v>450.45000000000005</v>
      </c>
      <c r="F365" s="18">
        <f t="shared" si="59"/>
        <v>0</v>
      </c>
      <c r="G365" s="18">
        <f t="shared" si="60"/>
        <v>450.45000000000005</v>
      </c>
      <c r="H365" s="22">
        <v>65.8</v>
      </c>
      <c r="I365" s="18">
        <f t="shared" si="61"/>
        <v>0</v>
      </c>
      <c r="J365" s="18">
        <f t="shared" si="62"/>
        <v>65.8</v>
      </c>
      <c r="K365" s="22">
        <v>2.56</v>
      </c>
      <c r="L365" s="18">
        <f t="shared" si="63"/>
        <v>0</v>
      </c>
      <c r="M365" s="18">
        <f t="shared" si="64"/>
        <v>2.56</v>
      </c>
      <c r="N365" s="15">
        <f t="shared" si="65"/>
        <v>518.80999999999995</v>
      </c>
      <c r="O365" s="15">
        <f t="shared" si="56"/>
        <v>0</v>
      </c>
      <c r="P365" s="15">
        <f t="shared" si="57"/>
        <v>518.80999999999995</v>
      </c>
      <c r="Q365" s="5">
        <f t="shared" si="58"/>
        <v>1</v>
      </c>
    </row>
    <row r="366" spans="1:17" x14ac:dyDescent="0.25">
      <c r="A366" s="7">
        <v>46281.166666666664</v>
      </c>
      <c r="B366" s="22">
        <v>0</v>
      </c>
      <c r="C366" s="22">
        <v>0</v>
      </c>
      <c r="D366" s="18">
        <f t="shared" si="55"/>
        <v>0</v>
      </c>
      <c r="E366" s="22">
        <v>444.15</v>
      </c>
      <c r="F366" s="18">
        <f t="shared" si="59"/>
        <v>0</v>
      </c>
      <c r="G366" s="18">
        <f t="shared" si="60"/>
        <v>444.15</v>
      </c>
      <c r="H366" s="22">
        <v>53.92</v>
      </c>
      <c r="I366" s="18">
        <f t="shared" si="61"/>
        <v>0</v>
      </c>
      <c r="J366" s="18">
        <f t="shared" si="62"/>
        <v>53.92</v>
      </c>
      <c r="K366" s="22">
        <v>2.56</v>
      </c>
      <c r="L366" s="18">
        <f t="shared" si="63"/>
        <v>0</v>
      </c>
      <c r="M366" s="18">
        <f t="shared" si="64"/>
        <v>2.56</v>
      </c>
      <c r="N366" s="15">
        <f t="shared" si="65"/>
        <v>500.63</v>
      </c>
      <c r="O366" s="15">
        <f t="shared" si="56"/>
        <v>0</v>
      </c>
      <c r="P366" s="15">
        <f t="shared" si="57"/>
        <v>500.63</v>
      </c>
      <c r="Q366" s="5">
        <f t="shared" si="58"/>
        <v>1</v>
      </c>
    </row>
    <row r="367" spans="1:17" x14ac:dyDescent="0.25">
      <c r="A367" s="7">
        <v>46281.208333333336</v>
      </c>
      <c r="B367" s="22">
        <v>0</v>
      </c>
      <c r="C367" s="22">
        <v>0</v>
      </c>
      <c r="D367" s="18">
        <f t="shared" si="55"/>
        <v>0</v>
      </c>
      <c r="E367" s="22">
        <v>415.8</v>
      </c>
      <c r="F367" s="18">
        <f t="shared" si="59"/>
        <v>0</v>
      </c>
      <c r="G367" s="18">
        <f t="shared" si="60"/>
        <v>415.8</v>
      </c>
      <c r="H367" s="22">
        <v>76.240000000000009</v>
      </c>
      <c r="I367" s="18">
        <f t="shared" si="61"/>
        <v>0</v>
      </c>
      <c r="J367" s="18">
        <f t="shared" si="62"/>
        <v>76.240000000000009</v>
      </c>
      <c r="K367" s="22">
        <v>2.68</v>
      </c>
      <c r="L367" s="18">
        <f t="shared" si="63"/>
        <v>0</v>
      </c>
      <c r="M367" s="18">
        <f t="shared" si="64"/>
        <v>2.68</v>
      </c>
      <c r="N367" s="15">
        <f t="shared" si="65"/>
        <v>494.72</v>
      </c>
      <c r="O367" s="15">
        <f t="shared" si="56"/>
        <v>0</v>
      </c>
      <c r="P367" s="15">
        <f t="shared" si="57"/>
        <v>494.72</v>
      </c>
      <c r="Q367" s="5">
        <f t="shared" si="58"/>
        <v>1</v>
      </c>
    </row>
    <row r="368" spans="1:17" x14ac:dyDescent="0.25">
      <c r="A368" s="7">
        <v>46281.25</v>
      </c>
      <c r="B368" s="22">
        <v>6.3</v>
      </c>
      <c r="C368" s="22">
        <v>0</v>
      </c>
      <c r="D368" s="18">
        <f t="shared" si="55"/>
        <v>6.3</v>
      </c>
      <c r="E368" s="22">
        <v>75.599999999999994</v>
      </c>
      <c r="F368" s="18">
        <f t="shared" si="59"/>
        <v>3.9983210208193327</v>
      </c>
      <c r="G368" s="18">
        <f t="shared" si="60"/>
        <v>71.601678979180662</v>
      </c>
      <c r="H368" s="22">
        <v>39.879999999999995</v>
      </c>
      <c r="I368" s="18">
        <f t="shared" si="61"/>
        <v>2.1091672263263916</v>
      </c>
      <c r="J368" s="18">
        <f t="shared" si="62"/>
        <v>37.770832773673604</v>
      </c>
      <c r="K368" s="22">
        <v>3.64</v>
      </c>
      <c r="L368" s="18">
        <f t="shared" si="63"/>
        <v>0.19251175285426436</v>
      </c>
      <c r="M368" s="18">
        <f t="shared" si="64"/>
        <v>3.4474882471457358</v>
      </c>
      <c r="N368" s="15">
        <f t="shared" si="65"/>
        <v>119.11999999999999</v>
      </c>
      <c r="O368" s="15">
        <f t="shared" si="56"/>
        <v>6.2999999999999972</v>
      </c>
      <c r="P368" s="15">
        <f t="shared" si="57"/>
        <v>112.82</v>
      </c>
      <c r="Q368" s="5">
        <f t="shared" si="58"/>
        <v>0.947112155809268</v>
      </c>
    </row>
    <row r="369" spans="1:17" x14ac:dyDescent="0.25">
      <c r="A369" s="7">
        <v>46281.291666666664</v>
      </c>
      <c r="B369" s="22">
        <v>359.09999999999997</v>
      </c>
      <c r="C369" s="22">
        <v>0</v>
      </c>
      <c r="D369" s="18">
        <f t="shared" si="55"/>
        <v>359.09999999999997</v>
      </c>
      <c r="E369" s="22">
        <v>0</v>
      </c>
      <c r="F369" s="18">
        <f t="shared" si="59"/>
        <v>0</v>
      </c>
      <c r="G369" s="18">
        <f t="shared" si="60"/>
        <v>0</v>
      </c>
      <c r="H369" s="22">
        <v>49.6</v>
      </c>
      <c r="I369" s="18">
        <f t="shared" si="61"/>
        <v>49.6</v>
      </c>
      <c r="J369" s="18">
        <f t="shared" si="62"/>
        <v>0</v>
      </c>
      <c r="K369" s="22">
        <v>3.52</v>
      </c>
      <c r="L369" s="18">
        <f t="shared" si="63"/>
        <v>3.52</v>
      </c>
      <c r="M369" s="18">
        <f t="shared" si="64"/>
        <v>0</v>
      </c>
      <c r="N369" s="15">
        <f t="shared" si="65"/>
        <v>53.120000000000005</v>
      </c>
      <c r="O369" s="15">
        <f t="shared" si="56"/>
        <v>53.120000000000005</v>
      </c>
      <c r="P369" s="15">
        <f t="shared" si="57"/>
        <v>0</v>
      </c>
      <c r="Q369" s="5">
        <f t="shared" si="58"/>
        <v>0</v>
      </c>
    </row>
    <row r="370" spans="1:17" x14ac:dyDescent="0.25">
      <c r="A370" s="7">
        <v>46281.333333333336</v>
      </c>
      <c r="B370" s="22">
        <v>305.55</v>
      </c>
      <c r="C370" s="22">
        <v>0</v>
      </c>
      <c r="D370" s="18">
        <f t="shared" si="55"/>
        <v>305.55</v>
      </c>
      <c r="E370" s="22">
        <v>0</v>
      </c>
      <c r="F370" s="18">
        <f t="shared" si="59"/>
        <v>0</v>
      </c>
      <c r="G370" s="18">
        <f t="shared" si="60"/>
        <v>0</v>
      </c>
      <c r="H370" s="22">
        <v>155.32000000000002</v>
      </c>
      <c r="I370" s="18">
        <f t="shared" si="61"/>
        <v>155.32000000000002</v>
      </c>
      <c r="J370" s="18">
        <f t="shared" si="62"/>
        <v>0</v>
      </c>
      <c r="K370" s="22">
        <v>4.84</v>
      </c>
      <c r="L370" s="18">
        <f t="shared" si="63"/>
        <v>4.84</v>
      </c>
      <c r="M370" s="18">
        <f t="shared" si="64"/>
        <v>0</v>
      </c>
      <c r="N370" s="15">
        <f t="shared" si="65"/>
        <v>160.16000000000003</v>
      </c>
      <c r="O370" s="15">
        <f t="shared" si="56"/>
        <v>160.16000000000003</v>
      </c>
      <c r="P370" s="15">
        <f t="shared" si="57"/>
        <v>0</v>
      </c>
      <c r="Q370" s="5">
        <f t="shared" si="58"/>
        <v>0</v>
      </c>
    </row>
    <row r="371" spans="1:17" x14ac:dyDescent="0.25">
      <c r="A371" s="7">
        <v>46281.375</v>
      </c>
      <c r="B371" s="22">
        <v>1244.25</v>
      </c>
      <c r="C371" s="22">
        <v>0</v>
      </c>
      <c r="D371" s="18">
        <f t="shared" si="55"/>
        <v>1244.25</v>
      </c>
      <c r="E371" s="22">
        <v>0</v>
      </c>
      <c r="F371" s="18">
        <f t="shared" si="59"/>
        <v>0</v>
      </c>
      <c r="G371" s="18">
        <f t="shared" si="60"/>
        <v>0</v>
      </c>
      <c r="H371" s="22">
        <v>109.60000000000001</v>
      </c>
      <c r="I371" s="18">
        <f t="shared" si="61"/>
        <v>109.60000000000001</v>
      </c>
      <c r="J371" s="18">
        <f t="shared" si="62"/>
        <v>0</v>
      </c>
      <c r="K371" s="22">
        <v>58.12</v>
      </c>
      <c r="L371" s="18">
        <f t="shared" si="63"/>
        <v>58.12</v>
      </c>
      <c r="M371" s="18">
        <f t="shared" si="64"/>
        <v>0</v>
      </c>
      <c r="N371" s="15">
        <f t="shared" si="65"/>
        <v>167.72</v>
      </c>
      <c r="O371" s="15">
        <f t="shared" si="56"/>
        <v>167.72</v>
      </c>
      <c r="P371" s="15">
        <f t="shared" si="57"/>
        <v>0</v>
      </c>
      <c r="Q371" s="5">
        <f t="shared" si="58"/>
        <v>0</v>
      </c>
    </row>
    <row r="372" spans="1:17" x14ac:dyDescent="0.25">
      <c r="A372" s="7">
        <v>46281.416666666664</v>
      </c>
      <c r="B372" s="22">
        <v>1348.2</v>
      </c>
      <c r="C372" s="22">
        <v>0</v>
      </c>
      <c r="D372" s="18">
        <f t="shared" si="55"/>
        <v>1348.2</v>
      </c>
      <c r="E372" s="22">
        <v>0</v>
      </c>
      <c r="F372" s="18">
        <f t="shared" si="59"/>
        <v>0</v>
      </c>
      <c r="G372" s="18">
        <f t="shared" si="60"/>
        <v>0</v>
      </c>
      <c r="H372" s="22">
        <v>104.44000000000001</v>
      </c>
      <c r="I372" s="18">
        <f t="shared" si="61"/>
        <v>104.44000000000001</v>
      </c>
      <c r="J372" s="18">
        <f t="shared" si="62"/>
        <v>0</v>
      </c>
      <c r="K372" s="22">
        <v>55.480000000000004</v>
      </c>
      <c r="L372" s="18">
        <f t="shared" si="63"/>
        <v>55.480000000000004</v>
      </c>
      <c r="M372" s="18">
        <f t="shared" si="64"/>
        <v>0</v>
      </c>
      <c r="N372" s="15">
        <f t="shared" si="65"/>
        <v>159.92000000000002</v>
      </c>
      <c r="O372" s="15">
        <f t="shared" si="56"/>
        <v>159.92000000000002</v>
      </c>
      <c r="P372" s="15">
        <f t="shared" si="57"/>
        <v>0</v>
      </c>
      <c r="Q372" s="5">
        <f t="shared" si="58"/>
        <v>0</v>
      </c>
    </row>
    <row r="373" spans="1:17" x14ac:dyDescent="0.25">
      <c r="A373" s="7">
        <v>46281.458333333336</v>
      </c>
      <c r="B373" s="22">
        <v>1669.5</v>
      </c>
      <c r="C373" s="22">
        <v>1.56</v>
      </c>
      <c r="D373" s="18">
        <f t="shared" si="55"/>
        <v>1671.06</v>
      </c>
      <c r="E373" s="22">
        <v>0</v>
      </c>
      <c r="F373" s="18">
        <f t="shared" si="59"/>
        <v>0</v>
      </c>
      <c r="G373" s="18">
        <f t="shared" si="60"/>
        <v>0</v>
      </c>
      <c r="H373" s="22">
        <v>58.72</v>
      </c>
      <c r="I373" s="18">
        <f t="shared" si="61"/>
        <v>58.72</v>
      </c>
      <c r="J373" s="18">
        <f t="shared" si="62"/>
        <v>0</v>
      </c>
      <c r="K373" s="22">
        <v>69.88</v>
      </c>
      <c r="L373" s="18">
        <f t="shared" si="63"/>
        <v>69.88</v>
      </c>
      <c r="M373" s="18">
        <f t="shared" si="64"/>
        <v>0</v>
      </c>
      <c r="N373" s="15">
        <f t="shared" si="65"/>
        <v>128.6</v>
      </c>
      <c r="O373" s="15">
        <f t="shared" si="56"/>
        <v>128.6</v>
      </c>
      <c r="P373" s="15">
        <f t="shared" si="57"/>
        <v>0</v>
      </c>
      <c r="Q373" s="5">
        <f t="shared" si="58"/>
        <v>0</v>
      </c>
    </row>
    <row r="374" spans="1:17" x14ac:dyDescent="0.25">
      <c r="A374" s="7">
        <v>46281.5</v>
      </c>
      <c r="B374" s="22">
        <v>2217.6</v>
      </c>
      <c r="C374" s="22">
        <v>5.64</v>
      </c>
      <c r="D374" s="18">
        <f t="shared" si="55"/>
        <v>2223.2399999999998</v>
      </c>
      <c r="E374" s="22">
        <v>0</v>
      </c>
      <c r="F374" s="18">
        <f t="shared" si="59"/>
        <v>0</v>
      </c>
      <c r="G374" s="18">
        <f t="shared" si="60"/>
        <v>0</v>
      </c>
      <c r="H374" s="22">
        <v>30.16</v>
      </c>
      <c r="I374" s="18">
        <f t="shared" si="61"/>
        <v>30.16</v>
      </c>
      <c r="J374" s="18">
        <f t="shared" si="62"/>
        <v>0</v>
      </c>
      <c r="K374" s="22">
        <v>68.92</v>
      </c>
      <c r="L374" s="18">
        <f t="shared" si="63"/>
        <v>68.92</v>
      </c>
      <c r="M374" s="18">
        <f t="shared" si="64"/>
        <v>0</v>
      </c>
      <c r="N374" s="15">
        <f t="shared" si="65"/>
        <v>99.08</v>
      </c>
      <c r="O374" s="15">
        <f t="shared" si="56"/>
        <v>99.08</v>
      </c>
      <c r="P374" s="15">
        <f t="shared" si="57"/>
        <v>0</v>
      </c>
      <c r="Q374" s="5">
        <f t="shared" si="58"/>
        <v>0</v>
      </c>
    </row>
    <row r="375" spans="1:17" x14ac:dyDescent="0.25">
      <c r="A375" s="7">
        <v>46281.541666666664</v>
      </c>
      <c r="B375" s="22">
        <v>2409.75</v>
      </c>
      <c r="C375" s="22">
        <v>8.8800000000000008</v>
      </c>
      <c r="D375" s="18">
        <f t="shared" si="55"/>
        <v>2418.63</v>
      </c>
      <c r="E375" s="22">
        <v>0</v>
      </c>
      <c r="F375" s="18">
        <f t="shared" si="59"/>
        <v>0</v>
      </c>
      <c r="G375" s="18">
        <f t="shared" si="60"/>
        <v>0</v>
      </c>
      <c r="H375" s="22">
        <v>32.919999999999995</v>
      </c>
      <c r="I375" s="18">
        <f t="shared" si="61"/>
        <v>32.919999999999995</v>
      </c>
      <c r="J375" s="18">
        <f t="shared" si="62"/>
        <v>0</v>
      </c>
      <c r="K375" s="22">
        <v>73.36</v>
      </c>
      <c r="L375" s="18">
        <f t="shared" si="63"/>
        <v>73.36</v>
      </c>
      <c r="M375" s="18">
        <f t="shared" si="64"/>
        <v>0</v>
      </c>
      <c r="N375" s="15">
        <f t="shared" si="65"/>
        <v>106.28</v>
      </c>
      <c r="O375" s="15">
        <f t="shared" si="56"/>
        <v>106.28</v>
      </c>
      <c r="P375" s="15">
        <f t="shared" si="57"/>
        <v>0</v>
      </c>
      <c r="Q375" s="5">
        <f t="shared" si="58"/>
        <v>0</v>
      </c>
    </row>
    <row r="376" spans="1:17" x14ac:dyDescent="0.25">
      <c r="A376" s="7">
        <v>46281.583333333336</v>
      </c>
      <c r="B376" s="22">
        <v>1477.35</v>
      </c>
      <c r="C376" s="22">
        <v>3.48</v>
      </c>
      <c r="D376" s="18">
        <f t="shared" si="55"/>
        <v>1480.83</v>
      </c>
      <c r="E376" s="22">
        <v>0</v>
      </c>
      <c r="F376" s="18">
        <f t="shared" si="59"/>
        <v>0</v>
      </c>
      <c r="G376" s="18">
        <f t="shared" si="60"/>
        <v>0</v>
      </c>
      <c r="H376" s="22">
        <v>42.64</v>
      </c>
      <c r="I376" s="18">
        <f t="shared" si="61"/>
        <v>42.64</v>
      </c>
      <c r="J376" s="18">
        <f t="shared" si="62"/>
        <v>0</v>
      </c>
      <c r="K376" s="22">
        <v>49.6</v>
      </c>
      <c r="L376" s="18">
        <f t="shared" si="63"/>
        <v>49.6</v>
      </c>
      <c r="M376" s="18">
        <f t="shared" si="64"/>
        <v>0</v>
      </c>
      <c r="N376" s="15">
        <f t="shared" si="65"/>
        <v>92.240000000000009</v>
      </c>
      <c r="O376" s="15">
        <f t="shared" si="56"/>
        <v>92.240000000000009</v>
      </c>
      <c r="P376" s="15">
        <f t="shared" si="57"/>
        <v>0</v>
      </c>
      <c r="Q376" s="5">
        <f t="shared" si="58"/>
        <v>0</v>
      </c>
    </row>
    <row r="377" spans="1:17" x14ac:dyDescent="0.25">
      <c r="A377" s="7">
        <v>46281.625</v>
      </c>
      <c r="B377" s="22">
        <v>878.85</v>
      </c>
      <c r="C377" s="22">
        <v>2.16</v>
      </c>
      <c r="D377" s="18">
        <f t="shared" si="55"/>
        <v>881.01</v>
      </c>
      <c r="E377" s="22">
        <v>0</v>
      </c>
      <c r="F377" s="18">
        <f t="shared" si="59"/>
        <v>0</v>
      </c>
      <c r="G377" s="18">
        <f t="shared" si="60"/>
        <v>0</v>
      </c>
      <c r="H377" s="22">
        <v>57.04</v>
      </c>
      <c r="I377" s="18">
        <f t="shared" si="61"/>
        <v>57.04</v>
      </c>
      <c r="J377" s="18">
        <f t="shared" si="62"/>
        <v>0</v>
      </c>
      <c r="K377" s="22">
        <v>34.36</v>
      </c>
      <c r="L377" s="18">
        <f t="shared" si="63"/>
        <v>34.36</v>
      </c>
      <c r="M377" s="18">
        <f t="shared" si="64"/>
        <v>0</v>
      </c>
      <c r="N377" s="15">
        <f t="shared" si="65"/>
        <v>91.4</v>
      </c>
      <c r="O377" s="15">
        <f t="shared" si="56"/>
        <v>91.4</v>
      </c>
      <c r="P377" s="15">
        <f t="shared" si="57"/>
        <v>0</v>
      </c>
      <c r="Q377" s="5">
        <f t="shared" si="58"/>
        <v>0</v>
      </c>
    </row>
    <row r="378" spans="1:17" x14ac:dyDescent="0.25">
      <c r="A378" s="7">
        <v>46281.666666666664</v>
      </c>
      <c r="B378" s="22">
        <v>126</v>
      </c>
      <c r="C378" s="22">
        <v>0.24000000000000002</v>
      </c>
      <c r="D378" s="18">
        <f t="shared" si="55"/>
        <v>126.24</v>
      </c>
      <c r="E378" s="22">
        <v>12.6</v>
      </c>
      <c r="F378" s="18">
        <f t="shared" si="59"/>
        <v>12.544353312302841</v>
      </c>
      <c r="G378" s="18">
        <f t="shared" si="60"/>
        <v>5.5646687697159698E-2</v>
      </c>
      <c r="H378" s="22">
        <v>76.36</v>
      </c>
      <c r="I378" s="18">
        <f t="shared" si="61"/>
        <v>76.022763406940072</v>
      </c>
      <c r="J378" s="18">
        <f t="shared" si="62"/>
        <v>0.33723659305992976</v>
      </c>
      <c r="K378" s="22">
        <v>37.839999999999996</v>
      </c>
      <c r="L378" s="18">
        <f t="shared" si="63"/>
        <v>37.672883280757098</v>
      </c>
      <c r="M378" s="18">
        <f t="shared" si="64"/>
        <v>0.16711671924289864</v>
      </c>
      <c r="N378" s="15">
        <f t="shared" si="65"/>
        <v>126.79999999999998</v>
      </c>
      <c r="O378" s="15">
        <f t="shared" si="56"/>
        <v>126.24</v>
      </c>
      <c r="P378" s="15">
        <f t="shared" si="57"/>
        <v>0.55999999999998806</v>
      </c>
      <c r="Q378" s="5">
        <f t="shared" si="58"/>
        <v>4.4164037854888651E-3</v>
      </c>
    </row>
    <row r="379" spans="1:17" x14ac:dyDescent="0.25">
      <c r="A379" s="7">
        <v>46281.708333333336</v>
      </c>
      <c r="B379" s="22">
        <v>6.3</v>
      </c>
      <c r="C379" s="22">
        <v>0</v>
      </c>
      <c r="D379" s="18">
        <f t="shared" si="55"/>
        <v>6.3</v>
      </c>
      <c r="E379" s="22">
        <v>280.34999999999997</v>
      </c>
      <c r="F379" s="18">
        <f t="shared" si="59"/>
        <v>4.4036776164059006</v>
      </c>
      <c r="G379" s="18">
        <f t="shared" si="60"/>
        <v>275.94632238359407</v>
      </c>
      <c r="H379" s="22">
        <v>90.399999999999991</v>
      </c>
      <c r="I379" s="18">
        <f t="shared" si="61"/>
        <v>1.4199837935548203</v>
      </c>
      <c r="J379" s="18">
        <f t="shared" si="62"/>
        <v>88.980016206445171</v>
      </c>
      <c r="K379" s="22">
        <v>30.325000000000003</v>
      </c>
      <c r="L379" s="18">
        <f t="shared" si="63"/>
        <v>0.47633859003926915</v>
      </c>
      <c r="M379" s="18">
        <f t="shared" si="64"/>
        <v>29.848661409960734</v>
      </c>
      <c r="N379" s="15">
        <f t="shared" si="65"/>
        <v>401.07499999999993</v>
      </c>
      <c r="O379" s="15">
        <f t="shared" si="56"/>
        <v>6.3000000000000114</v>
      </c>
      <c r="P379" s="15">
        <f t="shared" si="57"/>
        <v>394.77499999999992</v>
      </c>
      <c r="Q379" s="5">
        <f t="shared" si="58"/>
        <v>0.98429221467306616</v>
      </c>
    </row>
    <row r="380" spans="1:17" x14ac:dyDescent="0.25">
      <c r="A380" s="7">
        <v>46281.75</v>
      </c>
      <c r="B380" s="22">
        <v>0</v>
      </c>
      <c r="C380" s="22">
        <v>0</v>
      </c>
      <c r="D380" s="18">
        <f t="shared" si="55"/>
        <v>0</v>
      </c>
      <c r="E380" s="22">
        <v>126</v>
      </c>
      <c r="F380" s="18">
        <f t="shared" si="59"/>
        <v>0</v>
      </c>
      <c r="G380" s="18">
        <f t="shared" si="60"/>
        <v>126</v>
      </c>
      <c r="H380" s="22">
        <v>77.08</v>
      </c>
      <c r="I380" s="18">
        <f t="shared" si="61"/>
        <v>0</v>
      </c>
      <c r="J380" s="18">
        <f t="shared" si="62"/>
        <v>77.08</v>
      </c>
      <c r="K380" s="22">
        <v>42.98</v>
      </c>
      <c r="L380" s="18">
        <f t="shared" si="63"/>
        <v>0</v>
      </c>
      <c r="M380" s="18">
        <f t="shared" si="64"/>
        <v>42.98</v>
      </c>
      <c r="N380" s="15">
        <f t="shared" si="65"/>
        <v>246.05999999999997</v>
      </c>
      <c r="O380" s="15">
        <f t="shared" si="56"/>
        <v>0</v>
      </c>
      <c r="P380" s="15">
        <f t="shared" si="57"/>
        <v>246.05999999999997</v>
      </c>
      <c r="Q380" s="5">
        <f t="shared" si="58"/>
        <v>1</v>
      </c>
    </row>
    <row r="381" spans="1:17" x14ac:dyDescent="0.25">
      <c r="A381" s="7">
        <v>46281.791666666664</v>
      </c>
      <c r="B381" s="22">
        <v>0</v>
      </c>
      <c r="C381" s="22">
        <v>0</v>
      </c>
      <c r="D381" s="18">
        <f t="shared" si="55"/>
        <v>0</v>
      </c>
      <c r="E381" s="22">
        <v>185.85</v>
      </c>
      <c r="F381" s="18">
        <f t="shared" si="59"/>
        <v>0</v>
      </c>
      <c r="G381" s="18">
        <f t="shared" si="60"/>
        <v>185.85</v>
      </c>
      <c r="H381" s="22">
        <v>76.240000000000009</v>
      </c>
      <c r="I381" s="18">
        <f t="shared" si="61"/>
        <v>0</v>
      </c>
      <c r="J381" s="18">
        <f t="shared" si="62"/>
        <v>76.240000000000009</v>
      </c>
      <c r="K381" s="22">
        <v>15.966000000000001</v>
      </c>
      <c r="L381" s="18">
        <f t="shared" si="63"/>
        <v>0</v>
      </c>
      <c r="M381" s="18">
        <f t="shared" si="64"/>
        <v>15.966000000000001</v>
      </c>
      <c r="N381" s="15">
        <f t="shared" si="65"/>
        <v>278.05600000000004</v>
      </c>
      <c r="O381" s="15">
        <f t="shared" si="56"/>
        <v>0</v>
      </c>
      <c r="P381" s="15">
        <f t="shared" si="57"/>
        <v>278.05600000000004</v>
      </c>
      <c r="Q381" s="5">
        <f t="shared" si="58"/>
        <v>1</v>
      </c>
    </row>
    <row r="382" spans="1:17" x14ac:dyDescent="0.25">
      <c r="A382" s="7">
        <v>46281.833333333336</v>
      </c>
      <c r="B382" s="22">
        <v>0</v>
      </c>
      <c r="C382" s="22">
        <v>0</v>
      </c>
      <c r="D382" s="18">
        <f t="shared" si="55"/>
        <v>0</v>
      </c>
      <c r="E382" s="22">
        <v>412.65000000000003</v>
      </c>
      <c r="F382" s="18">
        <f t="shared" si="59"/>
        <v>0</v>
      </c>
      <c r="G382" s="18">
        <f t="shared" si="60"/>
        <v>412.65000000000003</v>
      </c>
      <c r="H382" s="22">
        <v>53.080000000000005</v>
      </c>
      <c r="I382" s="18">
        <f t="shared" si="61"/>
        <v>0</v>
      </c>
      <c r="J382" s="18">
        <f t="shared" si="62"/>
        <v>53.080000000000005</v>
      </c>
      <c r="K382" s="22">
        <v>6.2310000000000008</v>
      </c>
      <c r="L382" s="18">
        <f t="shared" si="63"/>
        <v>0</v>
      </c>
      <c r="M382" s="18">
        <f t="shared" si="64"/>
        <v>6.2310000000000008</v>
      </c>
      <c r="N382" s="15">
        <f t="shared" si="65"/>
        <v>471.96100000000001</v>
      </c>
      <c r="O382" s="15">
        <f t="shared" si="56"/>
        <v>0</v>
      </c>
      <c r="P382" s="15">
        <f t="shared" si="57"/>
        <v>471.96100000000001</v>
      </c>
      <c r="Q382" s="5">
        <f t="shared" si="58"/>
        <v>1</v>
      </c>
    </row>
    <row r="383" spans="1:17" x14ac:dyDescent="0.25">
      <c r="A383" s="7">
        <v>46281.875</v>
      </c>
      <c r="B383" s="22">
        <v>0</v>
      </c>
      <c r="C383" s="22">
        <v>0</v>
      </c>
      <c r="D383" s="18">
        <f t="shared" si="55"/>
        <v>0</v>
      </c>
      <c r="E383" s="22">
        <v>337.05</v>
      </c>
      <c r="F383" s="18">
        <f t="shared" si="59"/>
        <v>0</v>
      </c>
      <c r="G383" s="18">
        <f t="shared" si="60"/>
        <v>337.05</v>
      </c>
      <c r="H383" s="22">
        <v>64.36</v>
      </c>
      <c r="I383" s="18">
        <f t="shared" si="61"/>
        <v>0</v>
      </c>
      <c r="J383" s="18">
        <f t="shared" si="62"/>
        <v>64.36</v>
      </c>
      <c r="K383" s="22">
        <v>2.8240000000000003</v>
      </c>
      <c r="L383" s="18">
        <f t="shared" si="63"/>
        <v>0</v>
      </c>
      <c r="M383" s="18">
        <f t="shared" si="64"/>
        <v>2.8240000000000003</v>
      </c>
      <c r="N383" s="15">
        <f t="shared" si="65"/>
        <v>404.23400000000004</v>
      </c>
      <c r="O383" s="15">
        <f t="shared" si="56"/>
        <v>0</v>
      </c>
      <c r="P383" s="15">
        <f t="shared" si="57"/>
        <v>404.23400000000004</v>
      </c>
      <c r="Q383" s="5">
        <f t="shared" si="58"/>
        <v>1</v>
      </c>
    </row>
    <row r="384" spans="1:17" x14ac:dyDescent="0.25">
      <c r="A384" s="7">
        <v>46281.916666666664</v>
      </c>
      <c r="B384" s="22">
        <v>0</v>
      </c>
      <c r="C384" s="22">
        <v>0</v>
      </c>
      <c r="D384" s="18">
        <f t="shared" si="55"/>
        <v>0</v>
      </c>
      <c r="E384" s="22">
        <v>428.4</v>
      </c>
      <c r="F384" s="18">
        <f t="shared" si="59"/>
        <v>0</v>
      </c>
      <c r="G384" s="18">
        <f t="shared" si="60"/>
        <v>428.4</v>
      </c>
      <c r="H384" s="22">
        <v>64.36</v>
      </c>
      <c r="I384" s="18">
        <f t="shared" si="61"/>
        <v>0</v>
      </c>
      <c r="J384" s="18">
        <f t="shared" si="62"/>
        <v>64.36</v>
      </c>
      <c r="K384" s="22">
        <v>2.8</v>
      </c>
      <c r="L384" s="18">
        <f t="shared" si="63"/>
        <v>0</v>
      </c>
      <c r="M384" s="18">
        <f t="shared" si="64"/>
        <v>2.8</v>
      </c>
      <c r="N384" s="15">
        <f t="shared" si="65"/>
        <v>495.56</v>
      </c>
      <c r="O384" s="15">
        <f t="shared" si="56"/>
        <v>0</v>
      </c>
      <c r="P384" s="15">
        <f t="shared" si="57"/>
        <v>495.56</v>
      </c>
      <c r="Q384" s="5">
        <f t="shared" si="58"/>
        <v>1</v>
      </c>
    </row>
    <row r="385" spans="1:17" x14ac:dyDescent="0.25">
      <c r="A385" s="7">
        <v>46281.958333333336</v>
      </c>
      <c r="B385" s="22">
        <v>0</v>
      </c>
      <c r="C385" s="22">
        <v>0</v>
      </c>
      <c r="D385" s="18">
        <f t="shared" si="55"/>
        <v>0</v>
      </c>
      <c r="E385" s="22">
        <v>400.05</v>
      </c>
      <c r="F385" s="18">
        <f t="shared" si="59"/>
        <v>0</v>
      </c>
      <c r="G385" s="18">
        <f t="shared" si="60"/>
        <v>400.05</v>
      </c>
      <c r="H385" s="22">
        <v>61.72</v>
      </c>
      <c r="I385" s="18">
        <f t="shared" si="61"/>
        <v>0</v>
      </c>
      <c r="J385" s="18">
        <f t="shared" si="62"/>
        <v>61.72</v>
      </c>
      <c r="K385" s="22">
        <v>2.56</v>
      </c>
      <c r="L385" s="18">
        <f t="shared" si="63"/>
        <v>0</v>
      </c>
      <c r="M385" s="18">
        <f t="shared" si="64"/>
        <v>2.56</v>
      </c>
      <c r="N385" s="15">
        <f t="shared" si="65"/>
        <v>464.33</v>
      </c>
      <c r="O385" s="15">
        <f t="shared" si="56"/>
        <v>0</v>
      </c>
      <c r="P385" s="15">
        <f t="shared" si="57"/>
        <v>464.33</v>
      </c>
      <c r="Q385" s="5">
        <f t="shared" si="58"/>
        <v>1</v>
      </c>
    </row>
    <row r="386" spans="1:17" x14ac:dyDescent="0.25">
      <c r="A386" s="7">
        <v>46282</v>
      </c>
      <c r="B386" s="22">
        <v>0</v>
      </c>
      <c r="C386" s="22">
        <v>0</v>
      </c>
      <c r="D386" s="18">
        <f t="shared" ref="D386:D449" si="66">+B386+C386</f>
        <v>0</v>
      </c>
      <c r="E386" s="22">
        <v>409.5</v>
      </c>
      <c r="F386" s="18">
        <f t="shared" si="59"/>
        <v>0</v>
      </c>
      <c r="G386" s="18">
        <f t="shared" si="60"/>
        <v>409.5</v>
      </c>
      <c r="H386" s="22">
        <v>40.480000000000004</v>
      </c>
      <c r="I386" s="18">
        <f t="shared" si="61"/>
        <v>0</v>
      </c>
      <c r="J386" s="18">
        <f t="shared" si="62"/>
        <v>40.480000000000004</v>
      </c>
      <c r="K386" s="22">
        <v>2.68</v>
      </c>
      <c r="L386" s="18">
        <f t="shared" si="63"/>
        <v>0</v>
      </c>
      <c r="M386" s="18">
        <f t="shared" si="64"/>
        <v>2.68</v>
      </c>
      <c r="N386" s="15">
        <f t="shared" si="65"/>
        <v>452.66</v>
      </c>
      <c r="O386" s="15">
        <f t="shared" ref="O386:O449" si="67">+N386-P386</f>
        <v>0</v>
      </c>
      <c r="P386" s="15">
        <f t="shared" ref="P386:P449" si="68">+IF(N386&gt;D386,N386-D386,0)</f>
        <v>452.66</v>
      </c>
      <c r="Q386" s="5">
        <f t="shared" ref="Q386:Q449" si="69">+IF(P386=0,P386,P386/N386)</f>
        <v>1</v>
      </c>
    </row>
    <row r="387" spans="1:17" x14ac:dyDescent="0.25">
      <c r="A387" s="7">
        <v>46282.041666666664</v>
      </c>
      <c r="B387" s="22">
        <v>0</v>
      </c>
      <c r="C387" s="22">
        <v>0</v>
      </c>
      <c r="D387" s="18">
        <f t="shared" si="66"/>
        <v>0</v>
      </c>
      <c r="E387" s="22">
        <v>195.3</v>
      </c>
      <c r="F387" s="18">
        <f t="shared" ref="F387:F450" si="70">+E387-G387</f>
        <v>0</v>
      </c>
      <c r="G387" s="18">
        <f t="shared" ref="G387:G450" si="71">+E387*Q387</f>
        <v>195.3</v>
      </c>
      <c r="H387" s="22">
        <v>39.64</v>
      </c>
      <c r="I387" s="18">
        <f t="shared" ref="I387:I450" si="72">+H387-J387</f>
        <v>0</v>
      </c>
      <c r="J387" s="18">
        <f t="shared" ref="J387:J450" si="73">+H387*Q387</f>
        <v>39.64</v>
      </c>
      <c r="K387" s="22">
        <v>2.56</v>
      </c>
      <c r="L387" s="18">
        <f t="shared" ref="L387:L450" si="74">+K387-M387</f>
        <v>0</v>
      </c>
      <c r="M387" s="18">
        <f t="shared" ref="M387:M450" si="75">+K387*Q387</f>
        <v>2.56</v>
      </c>
      <c r="N387" s="15">
        <f t="shared" ref="N387:N450" si="76">+E387+H387+K387</f>
        <v>237.5</v>
      </c>
      <c r="O387" s="15">
        <f t="shared" si="67"/>
        <v>0</v>
      </c>
      <c r="P387" s="15">
        <f t="shared" si="68"/>
        <v>237.5</v>
      </c>
      <c r="Q387" s="5">
        <f t="shared" si="69"/>
        <v>1</v>
      </c>
    </row>
    <row r="388" spans="1:17" x14ac:dyDescent="0.25">
      <c r="A388" s="7">
        <v>46282.083333333336</v>
      </c>
      <c r="B388" s="22">
        <v>0</v>
      </c>
      <c r="C388" s="22">
        <v>0</v>
      </c>
      <c r="D388" s="18">
        <f t="shared" si="66"/>
        <v>0</v>
      </c>
      <c r="E388" s="22">
        <v>481.95</v>
      </c>
      <c r="F388" s="18">
        <f t="shared" si="70"/>
        <v>0</v>
      </c>
      <c r="G388" s="18">
        <f t="shared" si="71"/>
        <v>481.95</v>
      </c>
      <c r="H388" s="22">
        <v>43.839999999999996</v>
      </c>
      <c r="I388" s="18">
        <f t="shared" si="72"/>
        <v>0</v>
      </c>
      <c r="J388" s="18">
        <f t="shared" si="73"/>
        <v>43.839999999999996</v>
      </c>
      <c r="K388" s="22">
        <v>2.44</v>
      </c>
      <c r="L388" s="18">
        <f t="shared" si="74"/>
        <v>0</v>
      </c>
      <c r="M388" s="18">
        <f t="shared" si="75"/>
        <v>2.44</v>
      </c>
      <c r="N388" s="15">
        <f t="shared" si="76"/>
        <v>528.23</v>
      </c>
      <c r="O388" s="15">
        <f t="shared" si="67"/>
        <v>0</v>
      </c>
      <c r="P388" s="15">
        <f t="shared" si="68"/>
        <v>528.23</v>
      </c>
      <c r="Q388" s="5">
        <f t="shared" si="69"/>
        <v>1</v>
      </c>
    </row>
    <row r="389" spans="1:17" x14ac:dyDescent="0.25">
      <c r="A389" s="7">
        <v>46282.125</v>
      </c>
      <c r="B389" s="22">
        <v>0</v>
      </c>
      <c r="C389" s="22">
        <v>0</v>
      </c>
      <c r="D389" s="18">
        <f t="shared" si="66"/>
        <v>0</v>
      </c>
      <c r="E389" s="22">
        <v>478.8</v>
      </c>
      <c r="F389" s="18">
        <f t="shared" si="70"/>
        <v>0</v>
      </c>
      <c r="G389" s="18">
        <f t="shared" si="71"/>
        <v>478.8</v>
      </c>
      <c r="H389" s="22">
        <v>58.36</v>
      </c>
      <c r="I389" s="18">
        <f t="shared" si="72"/>
        <v>0</v>
      </c>
      <c r="J389" s="18">
        <f t="shared" si="73"/>
        <v>58.36</v>
      </c>
      <c r="K389" s="22">
        <v>2.68</v>
      </c>
      <c r="L389" s="18">
        <f t="shared" si="74"/>
        <v>0</v>
      </c>
      <c r="M389" s="18">
        <f t="shared" si="75"/>
        <v>2.68</v>
      </c>
      <c r="N389" s="15">
        <f t="shared" si="76"/>
        <v>539.83999999999992</v>
      </c>
      <c r="O389" s="15">
        <f t="shared" si="67"/>
        <v>0</v>
      </c>
      <c r="P389" s="15">
        <f t="shared" si="68"/>
        <v>539.83999999999992</v>
      </c>
      <c r="Q389" s="5">
        <f t="shared" si="69"/>
        <v>1</v>
      </c>
    </row>
    <row r="390" spans="1:17" x14ac:dyDescent="0.25">
      <c r="A390" s="7">
        <v>46282.166666666664</v>
      </c>
      <c r="B390" s="22">
        <v>0</v>
      </c>
      <c r="C390" s="22">
        <v>0</v>
      </c>
      <c r="D390" s="18">
        <f t="shared" si="66"/>
        <v>0</v>
      </c>
      <c r="E390" s="22">
        <v>453.6</v>
      </c>
      <c r="F390" s="18">
        <f t="shared" si="70"/>
        <v>0</v>
      </c>
      <c r="G390" s="18">
        <f t="shared" si="71"/>
        <v>453.6</v>
      </c>
      <c r="H390" s="22">
        <v>57.28</v>
      </c>
      <c r="I390" s="18">
        <f t="shared" si="72"/>
        <v>0</v>
      </c>
      <c r="J390" s="18">
        <f t="shared" si="73"/>
        <v>57.28</v>
      </c>
      <c r="K390" s="22">
        <v>2.44</v>
      </c>
      <c r="L390" s="18">
        <f t="shared" si="74"/>
        <v>0</v>
      </c>
      <c r="M390" s="18">
        <f t="shared" si="75"/>
        <v>2.44</v>
      </c>
      <c r="N390" s="15">
        <f t="shared" si="76"/>
        <v>513.32000000000005</v>
      </c>
      <c r="O390" s="15">
        <f t="shared" si="67"/>
        <v>0</v>
      </c>
      <c r="P390" s="15">
        <f t="shared" si="68"/>
        <v>513.32000000000005</v>
      </c>
      <c r="Q390" s="5">
        <f t="shared" si="69"/>
        <v>1</v>
      </c>
    </row>
    <row r="391" spans="1:17" x14ac:dyDescent="0.25">
      <c r="A391" s="7">
        <v>46282.208333333336</v>
      </c>
      <c r="B391" s="22">
        <v>0</v>
      </c>
      <c r="C391" s="22">
        <v>0</v>
      </c>
      <c r="D391" s="18">
        <f t="shared" si="66"/>
        <v>0</v>
      </c>
      <c r="E391" s="22">
        <v>434.7</v>
      </c>
      <c r="F391" s="18">
        <f t="shared" si="70"/>
        <v>0</v>
      </c>
      <c r="G391" s="18">
        <f t="shared" si="71"/>
        <v>434.7</v>
      </c>
      <c r="H391" s="22">
        <v>52</v>
      </c>
      <c r="I391" s="18">
        <f t="shared" si="72"/>
        <v>0</v>
      </c>
      <c r="J391" s="18">
        <f t="shared" si="73"/>
        <v>52</v>
      </c>
      <c r="K391" s="22">
        <v>3.8800000000000003</v>
      </c>
      <c r="L391" s="18">
        <f t="shared" si="74"/>
        <v>0</v>
      </c>
      <c r="M391" s="18">
        <f t="shared" si="75"/>
        <v>3.8800000000000003</v>
      </c>
      <c r="N391" s="15">
        <f t="shared" si="76"/>
        <v>490.58</v>
      </c>
      <c r="O391" s="15">
        <f t="shared" si="67"/>
        <v>0</v>
      </c>
      <c r="P391" s="15">
        <f t="shared" si="68"/>
        <v>490.58</v>
      </c>
      <c r="Q391" s="5">
        <f t="shared" si="69"/>
        <v>1</v>
      </c>
    </row>
    <row r="392" spans="1:17" x14ac:dyDescent="0.25">
      <c r="A392" s="7">
        <v>46282.25</v>
      </c>
      <c r="B392" s="22">
        <v>0</v>
      </c>
      <c r="C392" s="22">
        <v>0</v>
      </c>
      <c r="D392" s="18">
        <f t="shared" si="66"/>
        <v>0</v>
      </c>
      <c r="E392" s="22">
        <v>107.1</v>
      </c>
      <c r="F392" s="18">
        <f t="shared" si="70"/>
        <v>0</v>
      </c>
      <c r="G392" s="18">
        <f t="shared" si="71"/>
        <v>107.1</v>
      </c>
      <c r="H392" s="22">
        <v>35.680000000000007</v>
      </c>
      <c r="I392" s="18">
        <f t="shared" si="72"/>
        <v>0</v>
      </c>
      <c r="J392" s="18">
        <f t="shared" si="73"/>
        <v>35.680000000000007</v>
      </c>
      <c r="K392" s="22">
        <v>4</v>
      </c>
      <c r="L392" s="18">
        <f t="shared" si="74"/>
        <v>0</v>
      </c>
      <c r="M392" s="18">
        <f t="shared" si="75"/>
        <v>4</v>
      </c>
      <c r="N392" s="15">
        <f t="shared" si="76"/>
        <v>146.78</v>
      </c>
      <c r="O392" s="15">
        <f t="shared" si="67"/>
        <v>0</v>
      </c>
      <c r="P392" s="15">
        <f t="shared" si="68"/>
        <v>146.78</v>
      </c>
      <c r="Q392" s="5">
        <f t="shared" si="69"/>
        <v>1</v>
      </c>
    </row>
    <row r="393" spans="1:17" x14ac:dyDescent="0.25">
      <c r="A393" s="7">
        <v>46282.291666666664</v>
      </c>
      <c r="B393" s="22">
        <v>447.29999999999995</v>
      </c>
      <c r="C393" s="22">
        <v>0.96000000000000008</v>
      </c>
      <c r="D393" s="18">
        <f t="shared" si="66"/>
        <v>448.25999999999993</v>
      </c>
      <c r="E393" s="22">
        <v>3.15</v>
      </c>
      <c r="F393" s="18">
        <f t="shared" si="70"/>
        <v>3.15</v>
      </c>
      <c r="G393" s="18">
        <f t="shared" si="71"/>
        <v>0</v>
      </c>
      <c r="H393" s="22">
        <v>41.56</v>
      </c>
      <c r="I393" s="18">
        <f t="shared" si="72"/>
        <v>41.56</v>
      </c>
      <c r="J393" s="18">
        <f t="shared" si="73"/>
        <v>0</v>
      </c>
      <c r="K393" s="22">
        <v>15.64</v>
      </c>
      <c r="L393" s="18">
        <f t="shared" si="74"/>
        <v>15.64</v>
      </c>
      <c r="M393" s="18">
        <f t="shared" si="75"/>
        <v>0</v>
      </c>
      <c r="N393" s="15">
        <f t="shared" si="76"/>
        <v>60.35</v>
      </c>
      <c r="O393" s="15">
        <f t="shared" si="67"/>
        <v>60.35</v>
      </c>
      <c r="P393" s="15">
        <f t="shared" si="68"/>
        <v>0</v>
      </c>
      <c r="Q393" s="5">
        <f t="shared" si="69"/>
        <v>0</v>
      </c>
    </row>
    <row r="394" spans="1:17" x14ac:dyDescent="0.25">
      <c r="A394" s="7">
        <v>46282.333333333336</v>
      </c>
      <c r="B394" s="22">
        <v>431.55</v>
      </c>
      <c r="C394" s="22">
        <v>0</v>
      </c>
      <c r="D394" s="18">
        <f t="shared" si="66"/>
        <v>431.55</v>
      </c>
      <c r="E394" s="22">
        <v>6.3</v>
      </c>
      <c r="F394" s="18">
        <f t="shared" si="70"/>
        <v>6.3</v>
      </c>
      <c r="G394" s="18">
        <f t="shared" si="71"/>
        <v>0</v>
      </c>
      <c r="H394" s="22">
        <v>141.52000000000001</v>
      </c>
      <c r="I394" s="18">
        <f t="shared" si="72"/>
        <v>141.52000000000001</v>
      </c>
      <c r="J394" s="18">
        <f t="shared" si="73"/>
        <v>0</v>
      </c>
      <c r="K394" s="22">
        <v>18.880000000000003</v>
      </c>
      <c r="L394" s="18">
        <f t="shared" si="74"/>
        <v>18.880000000000003</v>
      </c>
      <c r="M394" s="18">
        <f t="shared" si="75"/>
        <v>0</v>
      </c>
      <c r="N394" s="15">
        <f t="shared" si="76"/>
        <v>166.70000000000002</v>
      </c>
      <c r="O394" s="15">
        <f t="shared" si="67"/>
        <v>166.70000000000002</v>
      </c>
      <c r="P394" s="15">
        <f t="shared" si="68"/>
        <v>0</v>
      </c>
      <c r="Q394" s="5">
        <f t="shared" si="69"/>
        <v>0</v>
      </c>
    </row>
    <row r="395" spans="1:17" x14ac:dyDescent="0.25">
      <c r="A395" s="7">
        <v>46282.375</v>
      </c>
      <c r="B395" s="22">
        <v>519.75</v>
      </c>
      <c r="C395" s="22">
        <v>0.48000000000000004</v>
      </c>
      <c r="D395" s="18">
        <f t="shared" si="66"/>
        <v>520.23</v>
      </c>
      <c r="E395" s="22">
        <v>47.25</v>
      </c>
      <c r="F395" s="18">
        <f t="shared" si="70"/>
        <v>47.25</v>
      </c>
      <c r="G395" s="18">
        <f t="shared" si="71"/>
        <v>0</v>
      </c>
      <c r="H395" s="22">
        <v>99.76</v>
      </c>
      <c r="I395" s="18">
        <f t="shared" si="72"/>
        <v>99.76</v>
      </c>
      <c r="J395" s="18">
        <f t="shared" si="73"/>
        <v>0</v>
      </c>
      <c r="K395" s="22">
        <v>56.56</v>
      </c>
      <c r="L395" s="18">
        <f t="shared" si="74"/>
        <v>56.56</v>
      </c>
      <c r="M395" s="18">
        <f t="shared" si="75"/>
        <v>0</v>
      </c>
      <c r="N395" s="15">
        <f t="shared" si="76"/>
        <v>203.57</v>
      </c>
      <c r="O395" s="15">
        <f t="shared" si="67"/>
        <v>203.57</v>
      </c>
      <c r="P395" s="15">
        <f t="shared" si="68"/>
        <v>0</v>
      </c>
      <c r="Q395" s="5">
        <f t="shared" si="69"/>
        <v>0</v>
      </c>
    </row>
    <row r="396" spans="1:17" x14ac:dyDescent="0.25">
      <c r="A396" s="7">
        <v>46282.416666666664</v>
      </c>
      <c r="B396" s="22">
        <v>1282.05</v>
      </c>
      <c r="C396" s="22">
        <v>0.12000000000000001</v>
      </c>
      <c r="D396" s="18">
        <f t="shared" si="66"/>
        <v>1282.1699999999998</v>
      </c>
      <c r="E396" s="22">
        <v>0</v>
      </c>
      <c r="F396" s="18">
        <f t="shared" si="70"/>
        <v>0</v>
      </c>
      <c r="G396" s="18">
        <f t="shared" si="71"/>
        <v>0</v>
      </c>
      <c r="H396" s="22">
        <v>104.56</v>
      </c>
      <c r="I396" s="18">
        <f t="shared" si="72"/>
        <v>104.56</v>
      </c>
      <c r="J396" s="18">
        <f t="shared" si="73"/>
        <v>0</v>
      </c>
      <c r="K396" s="22">
        <v>33.64</v>
      </c>
      <c r="L396" s="18">
        <f t="shared" si="74"/>
        <v>33.64</v>
      </c>
      <c r="M396" s="18">
        <f t="shared" si="75"/>
        <v>0</v>
      </c>
      <c r="N396" s="15">
        <f t="shared" si="76"/>
        <v>138.19999999999999</v>
      </c>
      <c r="O396" s="15">
        <f t="shared" si="67"/>
        <v>138.19999999999999</v>
      </c>
      <c r="P396" s="15">
        <f t="shared" si="68"/>
        <v>0</v>
      </c>
      <c r="Q396" s="5">
        <f t="shared" si="69"/>
        <v>0</v>
      </c>
    </row>
    <row r="397" spans="1:17" x14ac:dyDescent="0.25">
      <c r="A397" s="7">
        <v>46282.458333333336</v>
      </c>
      <c r="B397" s="22">
        <v>1247.4000000000001</v>
      </c>
      <c r="C397" s="22">
        <v>0.72000000000000008</v>
      </c>
      <c r="D397" s="18">
        <f t="shared" si="66"/>
        <v>1248.1200000000001</v>
      </c>
      <c r="E397" s="22">
        <v>0</v>
      </c>
      <c r="F397" s="18">
        <f t="shared" si="70"/>
        <v>0</v>
      </c>
      <c r="G397" s="18">
        <f t="shared" si="71"/>
        <v>0</v>
      </c>
      <c r="H397" s="22">
        <v>66.040000000000006</v>
      </c>
      <c r="I397" s="18">
        <f t="shared" si="72"/>
        <v>66.040000000000006</v>
      </c>
      <c r="J397" s="18">
        <f t="shared" si="73"/>
        <v>0</v>
      </c>
      <c r="K397" s="22">
        <v>54.760000000000005</v>
      </c>
      <c r="L397" s="18">
        <f t="shared" si="74"/>
        <v>54.760000000000005</v>
      </c>
      <c r="M397" s="18">
        <f t="shared" si="75"/>
        <v>0</v>
      </c>
      <c r="N397" s="15">
        <f t="shared" si="76"/>
        <v>120.80000000000001</v>
      </c>
      <c r="O397" s="15">
        <f t="shared" si="67"/>
        <v>120.80000000000001</v>
      </c>
      <c r="P397" s="15">
        <f t="shared" si="68"/>
        <v>0</v>
      </c>
      <c r="Q397" s="5">
        <f t="shared" si="69"/>
        <v>0</v>
      </c>
    </row>
    <row r="398" spans="1:17" x14ac:dyDescent="0.25">
      <c r="A398" s="7">
        <v>46282.5</v>
      </c>
      <c r="B398" s="22">
        <v>2116.8000000000002</v>
      </c>
      <c r="C398" s="22">
        <v>13.32</v>
      </c>
      <c r="D398" s="18">
        <f t="shared" si="66"/>
        <v>2130.1200000000003</v>
      </c>
      <c r="E398" s="22">
        <v>0</v>
      </c>
      <c r="F398" s="18">
        <f t="shared" si="70"/>
        <v>0</v>
      </c>
      <c r="G398" s="18">
        <f t="shared" si="71"/>
        <v>0</v>
      </c>
      <c r="H398" s="22">
        <v>23.439999999999998</v>
      </c>
      <c r="I398" s="18">
        <f t="shared" si="72"/>
        <v>23.439999999999998</v>
      </c>
      <c r="J398" s="18">
        <f t="shared" si="73"/>
        <v>0</v>
      </c>
      <c r="K398" s="22">
        <v>51.04</v>
      </c>
      <c r="L398" s="18">
        <f t="shared" si="74"/>
        <v>51.04</v>
      </c>
      <c r="M398" s="18">
        <f t="shared" si="75"/>
        <v>0</v>
      </c>
      <c r="N398" s="15">
        <f t="shared" si="76"/>
        <v>74.47999999999999</v>
      </c>
      <c r="O398" s="15">
        <f t="shared" si="67"/>
        <v>74.47999999999999</v>
      </c>
      <c r="P398" s="15">
        <f t="shared" si="68"/>
        <v>0</v>
      </c>
      <c r="Q398" s="5">
        <f t="shared" si="69"/>
        <v>0</v>
      </c>
    </row>
    <row r="399" spans="1:17" x14ac:dyDescent="0.25">
      <c r="A399" s="7">
        <v>46282.541666666664</v>
      </c>
      <c r="B399" s="22">
        <v>1404.9</v>
      </c>
      <c r="C399" s="22">
        <v>4.4400000000000004</v>
      </c>
      <c r="D399" s="18">
        <f t="shared" si="66"/>
        <v>1409.3400000000001</v>
      </c>
      <c r="E399" s="22">
        <v>18.899999999999999</v>
      </c>
      <c r="F399" s="18">
        <f t="shared" si="70"/>
        <v>18.899999999999999</v>
      </c>
      <c r="G399" s="18">
        <f t="shared" si="71"/>
        <v>0</v>
      </c>
      <c r="H399" s="22">
        <v>94.47999999999999</v>
      </c>
      <c r="I399" s="18">
        <f t="shared" si="72"/>
        <v>94.47999999999999</v>
      </c>
      <c r="J399" s="18">
        <f t="shared" si="73"/>
        <v>0</v>
      </c>
      <c r="K399" s="22">
        <v>28.6</v>
      </c>
      <c r="L399" s="18">
        <f t="shared" si="74"/>
        <v>28.6</v>
      </c>
      <c r="M399" s="18">
        <f t="shared" si="75"/>
        <v>0</v>
      </c>
      <c r="N399" s="15">
        <f t="shared" si="76"/>
        <v>141.97999999999999</v>
      </c>
      <c r="O399" s="15">
        <f t="shared" si="67"/>
        <v>141.97999999999999</v>
      </c>
      <c r="P399" s="15">
        <f t="shared" si="68"/>
        <v>0</v>
      </c>
      <c r="Q399" s="5">
        <f t="shared" si="69"/>
        <v>0</v>
      </c>
    </row>
    <row r="400" spans="1:17" x14ac:dyDescent="0.25">
      <c r="A400" s="7">
        <v>46282.583333333336</v>
      </c>
      <c r="B400" s="22">
        <v>863.1</v>
      </c>
      <c r="C400" s="22">
        <v>0.6</v>
      </c>
      <c r="D400" s="18">
        <f t="shared" si="66"/>
        <v>863.7</v>
      </c>
      <c r="E400" s="22">
        <v>37.799999999999997</v>
      </c>
      <c r="F400" s="18">
        <f t="shared" si="70"/>
        <v>37.799999999999997</v>
      </c>
      <c r="G400" s="18">
        <f t="shared" si="71"/>
        <v>0</v>
      </c>
      <c r="H400" s="22">
        <v>100.48</v>
      </c>
      <c r="I400" s="18">
        <f t="shared" si="72"/>
        <v>100.48</v>
      </c>
      <c r="J400" s="18">
        <f t="shared" si="73"/>
        <v>0</v>
      </c>
      <c r="K400" s="22">
        <v>52</v>
      </c>
      <c r="L400" s="18">
        <f t="shared" si="74"/>
        <v>52</v>
      </c>
      <c r="M400" s="18">
        <f t="shared" si="75"/>
        <v>0</v>
      </c>
      <c r="N400" s="15">
        <f t="shared" si="76"/>
        <v>190.28</v>
      </c>
      <c r="O400" s="15">
        <f t="shared" si="67"/>
        <v>190.28</v>
      </c>
      <c r="P400" s="15">
        <f t="shared" si="68"/>
        <v>0</v>
      </c>
      <c r="Q400" s="5">
        <f t="shared" si="69"/>
        <v>0</v>
      </c>
    </row>
    <row r="401" spans="1:17" x14ac:dyDescent="0.25">
      <c r="A401" s="7">
        <v>46282.625</v>
      </c>
      <c r="B401" s="22">
        <v>318.14999999999998</v>
      </c>
      <c r="C401" s="22">
        <v>0.24000000000000002</v>
      </c>
      <c r="D401" s="18">
        <f t="shared" si="66"/>
        <v>318.39</v>
      </c>
      <c r="E401" s="22">
        <v>346.5</v>
      </c>
      <c r="F401" s="18">
        <f t="shared" si="70"/>
        <v>203.70422652239742</v>
      </c>
      <c r="G401" s="18">
        <f t="shared" si="71"/>
        <v>142.79577347760258</v>
      </c>
      <c r="H401" s="22">
        <v>128.44</v>
      </c>
      <c r="I401" s="18">
        <f t="shared" si="72"/>
        <v>75.508718194911182</v>
      </c>
      <c r="J401" s="18">
        <f t="shared" si="73"/>
        <v>52.931281805088823</v>
      </c>
      <c r="K401" s="22">
        <v>66.64</v>
      </c>
      <c r="L401" s="18">
        <f t="shared" si="74"/>
        <v>39.177055282691384</v>
      </c>
      <c r="M401" s="18">
        <f t="shared" si="75"/>
        <v>27.46294471730862</v>
      </c>
      <c r="N401" s="15">
        <f t="shared" si="76"/>
        <v>541.58000000000004</v>
      </c>
      <c r="O401" s="15">
        <f t="shared" si="67"/>
        <v>318.39</v>
      </c>
      <c r="P401" s="15">
        <f t="shared" si="68"/>
        <v>223.19000000000005</v>
      </c>
      <c r="Q401" s="5">
        <f t="shared" si="69"/>
        <v>0.41210901436537545</v>
      </c>
    </row>
    <row r="402" spans="1:17" x14ac:dyDescent="0.25">
      <c r="A402" s="7">
        <v>46282.666666666664</v>
      </c>
      <c r="B402" s="22">
        <v>248.85</v>
      </c>
      <c r="C402" s="22">
        <v>0</v>
      </c>
      <c r="D402" s="18">
        <f t="shared" si="66"/>
        <v>248.85</v>
      </c>
      <c r="E402" s="22">
        <v>374.85</v>
      </c>
      <c r="F402" s="18">
        <f t="shared" si="70"/>
        <v>164.9568029496543</v>
      </c>
      <c r="G402" s="18">
        <f t="shared" si="71"/>
        <v>209.89319705034572</v>
      </c>
      <c r="H402" s="22">
        <v>120.88</v>
      </c>
      <c r="I402" s="18">
        <f t="shared" si="72"/>
        <v>53.194553396169695</v>
      </c>
      <c r="J402" s="18">
        <f t="shared" si="73"/>
        <v>67.6854466038303</v>
      </c>
      <c r="K402" s="22">
        <v>69.760000000000005</v>
      </c>
      <c r="L402" s="18">
        <f t="shared" si="74"/>
        <v>30.698643654176031</v>
      </c>
      <c r="M402" s="18">
        <f t="shared" si="75"/>
        <v>39.061356345823974</v>
      </c>
      <c r="N402" s="15">
        <f t="shared" si="76"/>
        <v>565.49</v>
      </c>
      <c r="O402" s="15">
        <f t="shared" si="67"/>
        <v>248.85000000000002</v>
      </c>
      <c r="P402" s="15">
        <f t="shared" si="68"/>
        <v>316.64</v>
      </c>
      <c r="Q402" s="5">
        <f t="shared" si="69"/>
        <v>0.55993916780137576</v>
      </c>
    </row>
    <row r="403" spans="1:17" x14ac:dyDescent="0.25">
      <c r="A403" s="7">
        <v>46282.708333333336</v>
      </c>
      <c r="B403" s="22">
        <v>0</v>
      </c>
      <c r="C403" s="22">
        <v>0</v>
      </c>
      <c r="D403" s="18">
        <f t="shared" si="66"/>
        <v>0</v>
      </c>
      <c r="E403" s="22">
        <v>746.55000000000007</v>
      </c>
      <c r="F403" s="18">
        <f t="shared" si="70"/>
        <v>0</v>
      </c>
      <c r="G403" s="18">
        <f t="shared" si="71"/>
        <v>746.55000000000007</v>
      </c>
      <c r="H403" s="22">
        <v>129.04</v>
      </c>
      <c r="I403" s="18">
        <f t="shared" si="72"/>
        <v>0</v>
      </c>
      <c r="J403" s="18">
        <f t="shared" si="73"/>
        <v>129.04</v>
      </c>
      <c r="K403" s="22">
        <v>55.393000000000001</v>
      </c>
      <c r="L403" s="18">
        <f t="shared" si="74"/>
        <v>0</v>
      </c>
      <c r="M403" s="18">
        <f t="shared" si="75"/>
        <v>55.393000000000001</v>
      </c>
      <c r="N403" s="15">
        <f t="shared" si="76"/>
        <v>930.98300000000006</v>
      </c>
      <c r="O403" s="15">
        <f t="shared" si="67"/>
        <v>0</v>
      </c>
      <c r="P403" s="15">
        <f t="shared" si="68"/>
        <v>930.98300000000006</v>
      </c>
      <c r="Q403" s="5">
        <f t="shared" si="69"/>
        <v>1</v>
      </c>
    </row>
    <row r="404" spans="1:17" x14ac:dyDescent="0.25">
      <c r="A404" s="7">
        <v>46282.75</v>
      </c>
      <c r="B404" s="22">
        <v>0</v>
      </c>
      <c r="C404" s="22">
        <v>0</v>
      </c>
      <c r="D404" s="18">
        <f t="shared" si="66"/>
        <v>0</v>
      </c>
      <c r="E404" s="22">
        <v>72.45</v>
      </c>
      <c r="F404" s="18">
        <f t="shared" si="70"/>
        <v>0</v>
      </c>
      <c r="G404" s="18">
        <f t="shared" si="71"/>
        <v>72.45</v>
      </c>
      <c r="H404" s="22">
        <v>79.240000000000009</v>
      </c>
      <c r="I404" s="18">
        <f t="shared" si="72"/>
        <v>0</v>
      </c>
      <c r="J404" s="18">
        <f t="shared" si="73"/>
        <v>79.240000000000009</v>
      </c>
      <c r="K404" s="22">
        <v>34.219000000000001</v>
      </c>
      <c r="L404" s="18">
        <f t="shared" si="74"/>
        <v>0</v>
      </c>
      <c r="M404" s="18">
        <f t="shared" si="75"/>
        <v>34.219000000000001</v>
      </c>
      <c r="N404" s="15">
        <f t="shared" si="76"/>
        <v>185.90899999999999</v>
      </c>
      <c r="O404" s="15">
        <f t="shared" si="67"/>
        <v>0</v>
      </c>
      <c r="P404" s="15">
        <f t="shared" si="68"/>
        <v>185.90899999999999</v>
      </c>
      <c r="Q404" s="5">
        <f t="shared" si="69"/>
        <v>1</v>
      </c>
    </row>
    <row r="405" spans="1:17" x14ac:dyDescent="0.25">
      <c r="A405" s="7">
        <v>46282.791666666664</v>
      </c>
      <c r="B405" s="22">
        <v>0</v>
      </c>
      <c r="C405" s="22">
        <v>0</v>
      </c>
      <c r="D405" s="18">
        <f t="shared" si="66"/>
        <v>0</v>
      </c>
      <c r="E405" s="22">
        <v>97.65</v>
      </c>
      <c r="F405" s="18">
        <f t="shared" si="70"/>
        <v>0</v>
      </c>
      <c r="G405" s="18">
        <f t="shared" si="71"/>
        <v>97.65</v>
      </c>
      <c r="H405" s="22">
        <v>51.64</v>
      </c>
      <c r="I405" s="18">
        <f t="shared" si="72"/>
        <v>0</v>
      </c>
      <c r="J405" s="18">
        <f t="shared" si="73"/>
        <v>51.64</v>
      </c>
      <c r="K405" s="22">
        <v>4.5270000000000001</v>
      </c>
      <c r="L405" s="18">
        <f t="shared" si="74"/>
        <v>0</v>
      </c>
      <c r="M405" s="18">
        <f t="shared" si="75"/>
        <v>4.5270000000000001</v>
      </c>
      <c r="N405" s="15">
        <f t="shared" si="76"/>
        <v>153.81700000000001</v>
      </c>
      <c r="O405" s="15">
        <f t="shared" si="67"/>
        <v>0</v>
      </c>
      <c r="P405" s="15">
        <f t="shared" si="68"/>
        <v>153.81700000000001</v>
      </c>
      <c r="Q405" s="5">
        <f t="shared" si="69"/>
        <v>1</v>
      </c>
    </row>
    <row r="406" spans="1:17" x14ac:dyDescent="0.25">
      <c r="A406" s="7">
        <v>46282.833333333336</v>
      </c>
      <c r="B406" s="22">
        <v>0</v>
      </c>
      <c r="C406" s="22">
        <v>0</v>
      </c>
      <c r="D406" s="18">
        <f t="shared" si="66"/>
        <v>0</v>
      </c>
      <c r="E406" s="22">
        <v>910.35</v>
      </c>
      <c r="F406" s="18">
        <f t="shared" si="70"/>
        <v>0</v>
      </c>
      <c r="G406" s="18">
        <f t="shared" si="71"/>
        <v>910.35</v>
      </c>
      <c r="H406" s="22">
        <v>37.72</v>
      </c>
      <c r="I406" s="18">
        <f t="shared" si="72"/>
        <v>0</v>
      </c>
      <c r="J406" s="18">
        <f t="shared" si="73"/>
        <v>37.72</v>
      </c>
      <c r="K406" s="22">
        <v>2.8240000000000003</v>
      </c>
      <c r="L406" s="18">
        <f t="shared" si="74"/>
        <v>0</v>
      </c>
      <c r="M406" s="18">
        <f t="shared" si="75"/>
        <v>2.8240000000000003</v>
      </c>
      <c r="N406" s="15">
        <f t="shared" si="76"/>
        <v>950.89400000000001</v>
      </c>
      <c r="O406" s="15">
        <f t="shared" si="67"/>
        <v>0</v>
      </c>
      <c r="P406" s="15">
        <f t="shared" si="68"/>
        <v>950.89400000000001</v>
      </c>
      <c r="Q406" s="5">
        <f t="shared" si="69"/>
        <v>1</v>
      </c>
    </row>
    <row r="407" spans="1:17" x14ac:dyDescent="0.25">
      <c r="A407" s="7">
        <v>46282.875</v>
      </c>
      <c r="B407" s="22">
        <v>0</v>
      </c>
      <c r="C407" s="22">
        <v>0</v>
      </c>
      <c r="D407" s="18">
        <f t="shared" si="66"/>
        <v>0</v>
      </c>
      <c r="E407" s="22">
        <v>904.05000000000007</v>
      </c>
      <c r="F407" s="18">
        <f t="shared" si="70"/>
        <v>0</v>
      </c>
      <c r="G407" s="18">
        <f t="shared" si="71"/>
        <v>904.05000000000007</v>
      </c>
      <c r="H407" s="22">
        <v>39.76</v>
      </c>
      <c r="I407" s="18">
        <f t="shared" si="72"/>
        <v>0</v>
      </c>
      <c r="J407" s="18">
        <f t="shared" si="73"/>
        <v>39.76</v>
      </c>
      <c r="K407" s="22">
        <v>3.0669999999999997</v>
      </c>
      <c r="L407" s="18">
        <f t="shared" si="74"/>
        <v>0</v>
      </c>
      <c r="M407" s="18">
        <f t="shared" si="75"/>
        <v>3.0669999999999997</v>
      </c>
      <c r="N407" s="15">
        <f t="shared" si="76"/>
        <v>946.87700000000007</v>
      </c>
      <c r="O407" s="15">
        <f t="shared" si="67"/>
        <v>0</v>
      </c>
      <c r="P407" s="15">
        <f t="shared" si="68"/>
        <v>946.87700000000007</v>
      </c>
      <c r="Q407" s="5">
        <f t="shared" si="69"/>
        <v>1</v>
      </c>
    </row>
    <row r="408" spans="1:17" x14ac:dyDescent="0.25">
      <c r="A408" s="7">
        <v>46282.916666666664</v>
      </c>
      <c r="B408" s="22">
        <v>0</v>
      </c>
      <c r="C408" s="22">
        <v>0</v>
      </c>
      <c r="D408" s="18">
        <f t="shared" si="66"/>
        <v>0</v>
      </c>
      <c r="E408" s="22">
        <v>1089.9000000000001</v>
      </c>
      <c r="F408" s="18">
        <f t="shared" si="70"/>
        <v>0</v>
      </c>
      <c r="G408" s="18">
        <f t="shared" si="71"/>
        <v>1089.9000000000001</v>
      </c>
      <c r="H408" s="22">
        <v>39.64</v>
      </c>
      <c r="I408" s="18">
        <f t="shared" si="72"/>
        <v>0</v>
      </c>
      <c r="J408" s="18">
        <f t="shared" si="73"/>
        <v>39.64</v>
      </c>
      <c r="K408" s="22">
        <v>3.04</v>
      </c>
      <c r="L408" s="18">
        <f t="shared" si="74"/>
        <v>0</v>
      </c>
      <c r="M408" s="18">
        <f t="shared" si="75"/>
        <v>3.04</v>
      </c>
      <c r="N408" s="15">
        <f t="shared" si="76"/>
        <v>1132.5800000000002</v>
      </c>
      <c r="O408" s="15">
        <f t="shared" si="67"/>
        <v>0</v>
      </c>
      <c r="P408" s="15">
        <f t="shared" si="68"/>
        <v>1132.5800000000002</v>
      </c>
      <c r="Q408" s="5">
        <f t="shared" si="69"/>
        <v>1</v>
      </c>
    </row>
    <row r="409" spans="1:17" x14ac:dyDescent="0.25">
      <c r="A409" s="7">
        <v>46282.958333333336</v>
      </c>
      <c r="B409" s="22">
        <v>0</v>
      </c>
      <c r="C409" s="22">
        <v>0</v>
      </c>
      <c r="D409" s="18">
        <f t="shared" si="66"/>
        <v>0</v>
      </c>
      <c r="E409" s="22">
        <v>1064.7</v>
      </c>
      <c r="F409" s="18">
        <f t="shared" si="70"/>
        <v>0</v>
      </c>
      <c r="G409" s="18">
        <f t="shared" si="71"/>
        <v>1064.7</v>
      </c>
      <c r="H409" s="22">
        <v>37.96</v>
      </c>
      <c r="I409" s="18">
        <f t="shared" si="72"/>
        <v>0</v>
      </c>
      <c r="J409" s="18">
        <f t="shared" si="73"/>
        <v>37.96</v>
      </c>
      <c r="K409" s="22">
        <v>2.92</v>
      </c>
      <c r="L409" s="18">
        <f t="shared" si="74"/>
        <v>0</v>
      </c>
      <c r="M409" s="18">
        <f t="shared" si="75"/>
        <v>2.92</v>
      </c>
      <c r="N409" s="15">
        <f t="shared" si="76"/>
        <v>1105.5800000000002</v>
      </c>
      <c r="O409" s="15">
        <f t="shared" si="67"/>
        <v>0</v>
      </c>
      <c r="P409" s="15">
        <f t="shared" si="68"/>
        <v>1105.5800000000002</v>
      </c>
      <c r="Q409" s="5">
        <f t="shared" si="69"/>
        <v>1</v>
      </c>
    </row>
    <row r="410" spans="1:17" x14ac:dyDescent="0.25">
      <c r="A410" s="7">
        <v>46283</v>
      </c>
      <c r="B410" s="22">
        <v>0</v>
      </c>
      <c r="C410" s="22">
        <v>0</v>
      </c>
      <c r="D410" s="18">
        <f t="shared" si="66"/>
        <v>0</v>
      </c>
      <c r="E410" s="22">
        <v>935.55</v>
      </c>
      <c r="F410" s="18">
        <f t="shared" si="70"/>
        <v>0</v>
      </c>
      <c r="G410" s="18">
        <f t="shared" si="71"/>
        <v>935.55</v>
      </c>
      <c r="H410" s="22">
        <v>37.72</v>
      </c>
      <c r="I410" s="18">
        <f t="shared" si="72"/>
        <v>0</v>
      </c>
      <c r="J410" s="18">
        <f t="shared" si="73"/>
        <v>37.72</v>
      </c>
      <c r="K410" s="22">
        <v>3.04</v>
      </c>
      <c r="L410" s="18">
        <f t="shared" si="74"/>
        <v>0</v>
      </c>
      <c r="M410" s="18">
        <f t="shared" si="75"/>
        <v>3.04</v>
      </c>
      <c r="N410" s="15">
        <f t="shared" si="76"/>
        <v>976.31</v>
      </c>
      <c r="O410" s="15">
        <f t="shared" si="67"/>
        <v>0</v>
      </c>
      <c r="P410" s="15">
        <f t="shared" si="68"/>
        <v>976.31</v>
      </c>
      <c r="Q410" s="5">
        <f t="shared" si="69"/>
        <v>1</v>
      </c>
    </row>
    <row r="411" spans="1:17" x14ac:dyDescent="0.25">
      <c r="A411" s="7">
        <v>46283.041666666664</v>
      </c>
      <c r="B411" s="22">
        <v>0</v>
      </c>
      <c r="C411" s="22">
        <v>0</v>
      </c>
      <c r="D411" s="18">
        <f t="shared" si="66"/>
        <v>0</v>
      </c>
      <c r="E411" s="22">
        <v>170.1</v>
      </c>
      <c r="F411" s="18">
        <f t="shared" si="70"/>
        <v>0</v>
      </c>
      <c r="G411" s="18">
        <f t="shared" si="71"/>
        <v>170.1</v>
      </c>
      <c r="H411" s="22">
        <v>37</v>
      </c>
      <c r="I411" s="18">
        <f t="shared" si="72"/>
        <v>0</v>
      </c>
      <c r="J411" s="18">
        <f t="shared" si="73"/>
        <v>37</v>
      </c>
      <c r="K411" s="22">
        <v>2.92</v>
      </c>
      <c r="L411" s="18">
        <f t="shared" si="74"/>
        <v>0</v>
      </c>
      <c r="M411" s="18">
        <f t="shared" si="75"/>
        <v>2.92</v>
      </c>
      <c r="N411" s="15">
        <f t="shared" si="76"/>
        <v>210.01999999999998</v>
      </c>
      <c r="O411" s="15">
        <f t="shared" si="67"/>
        <v>0</v>
      </c>
      <c r="P411" s="15">
        <f t="shared" si="68"/>
        <v>210.01999999999998</v>
      </c>
      <c r="Q411" s="5">
        <f t="shared" si="69"/>
        <v>1</v>
      </c>
    </row>
    <row r="412" spans="1:17" x14ac:dyDescent="0.25">
      <c r="A412" s="7">
        <v>46283.083333333336</v>
      </c>
      <c r="B412" s="22">
        <v>0</v>
      </c>
      <c r="C412" s="22">
        <v>0</v>
      </c>
      <c r="D412" s="18">
        <f t="shared" si="66"/>
        <v>0</v>
      </c>
      <c r="E412" s="22">
        <v>973.35</v>
      </c>
      <c r="F412" s="18">
        <f t="shared" si="70"/>
        <v>0</v>
      </c>
      <c r="G412" s="18">
        <f t="shared" si="71"/>
        <v>973.35</v>
      </c>
      <c r="H412" s="22">
        <v>35.92</v>
      </c>
      <c r="I412" s="18">
        <f t="shared" si="72"/>
        <v>0</v>
      </c>
      <c r="J412" s="18">
        <f t="shared" si="73"/>
        <v>35.92</v>
      </c>
      <c r="K412" s="22">
        <v>4.12</v>
      </c>
      <c r="L412" s="18">
        <f t="shared" si="74"/>
        <v>0</v>
      </c>
      <c r="M412" s="18">
        <f t="shared" si="75"/>
        <v>4.12</v>
      </c>
      <c r="N412" s="15">
        <f t="shared" si="76"/>
        <v>1013.39</v>
      </c>
      <c r="O412" s="15">
        <f t="shared" si="67"/>
        <v>0</v>
      </c>
      <c r="P412" s="15">
        <f t="shared" si="68"/>
        <v>1013.39</v>
      </c>
      <c r="Q412" s="5">
        <f t="shared" si="69"/>
        <v>1</v>
      </c>
    </row>
    <row r="413" spans="1:17" x14ac:dyDescent="0.25">
      <c r="A413" s="7">
        <v>46283.125</v>
      </c>
      <c r="B413" s="22">
        <v>0</v>
      </c>
      <c r="C413" s="22">
        <v>0</v>
      </c>
      <c r="D413" s="18">
        <f t="shared" si="66"/>
        <v>0</v>
      </c>
      <c r="E413" s="22">
        <v>696.15000000000009</v>
      </c>
      <c r="F413" s="18">
        <f t="shared" si="70"/>
        <v>0</v>
      </c>
      <c r="G413" s="18">
        <f t="shared" si="71"/>
        <v>696.15000000000009</v>
      </c>
      <c r="H413" s="22">
        <v>35.799999999999997</v>
      </c>
      <c r="I413" s="18">
        <f t="shared" si="72"/>
        <v>0</v>
      </c>
      <c r="J413" s="18">
        <f t="shared" si="73"/>
        <v>35.799999999999997</v>
      </c>
      <c r="K413" s="22">
        <v>2.92</v>
      </c>
      <c r="L413" s="18">
        <f t="shared" si="74"/>
        <v>0</v>
      </c>
      <c r="M413" s="18">
        <f t="shared" si="75"/>
        <v>2.92</v>
      </c>
      <c r="N413" s="15">
        <f t="shared" si="76"/>
        <v>734.87</v>
      </c>
      <c r="O413" s="15">
        <f t="shared" si="67"/>
        <v>0</v>
      </c>
      <c r="P413" s="15">
        <f t="shared" si="68"/>
        <v>734.87</v>
      </c>
      <c r="Q413" s="5">
        <f t="shared" si="69"/>
        <v>1</v>
      </c>
    </row>
    <row r="414" spans="1:17" x14ac:dyDescent="0.25">
      <c r="A414" s="7">
        <v>46283.166666666664</v>
      </c>
      <c r="B414" s="22">
        <v>0</v>
      </c>
      <c r="C414" s="22">
        <v>0</v>
      </c>
      <c r="D414" s="18">
        <f t="shared" si="66"/>
        <v>0</v>
      </c>
      <c r="E414" s="22">
        <v>1026.8999999999999</v>
      </c>
      <c r="F414" s="18">
        <f t="shared" si="70"/>
        <v>0</v>
      </c>
      <c r="G414" s="18">
        <f t="shared" si="71"/>
        <v>1026.8999999999999</v>
      </c>
      <c r="H414" s="22">
        <v>51.04</v>
      </c>
      <c r="I414" s="18">
        <f t="shared" si="72"/>
        <v>0</v>
      </c>
      <c r="J414" s="18">
        <f t="shared" si="73"/>
        <v>51.04</v>
      </c>
      <c r="K414" s="22">
        <v>2.92</v>
      </c>
      <c r="L414" s="18">
        <f t="shared" si="74"/>
        <v>0</v>
      </c>
      <c r="M414" s="18">
        <f t="shared" si="75"/>
        <v>2.92</v>
      </c>
      <c r="N414" s="15">
        <f t="shared" si="76"/>
        <v>1080.8599999999999</v>
      </c>
      <c r="O414" s="15">
        <f t="shared" si="67"/>
        <v>0</v>
      </c>
      <c r="P414" s="15">
        <f t="shared" si="68"/>
        <v>1080.8599999999999</v>
      </c>
      <c r="Q414" s="5">
        <f t="shared" si="69"/>
        <v>1</v>
      </c>
    </row>
    <row r="415" spans="1:17" x14ac:dyDescent="0.25">
      <c r="A415" s="7">
        <v>46283.208333333336</v>
      </c>
      <c r="B415" s="22">
        <v>0</v>
      </c>
      <c r="C415" s="22">
        <v>0</v>
      </c>
      <c r="D415" s="18">
        <f t="shared" si="66"/>
        <v>0</v>
      </c>
      <c r="E415" s="22">
        <v>872.55000000000007</v>
      </c>
      <c r="F415" s="18">
        <f t="shared" si="70"/>
        <v>0</v>
      </c>
      <c r="G415" s="18">
        <f t="shared" si="71"/>
        <v>872.55000000000007</v>
      </c>
      <c r="H415" s="22">
        <v>47.199999999999996</v>
      </c>
      <c r="I415" s="18">
        <f t="shared" si="72"/>
        <v>0</v>
      </c>
      <c r="J415" s="18">
        <f t="shared" si="73"/>
        <v>47.199999999999996</v>
      </c>
      <c r="K415" s="22">
        <v>15.879999999999999</v>
      </c>
      <c r="L415" s="18">
        <f t="shared" si="74"/>
        <v>0</v>
      </c>
      <c r="M415" s="18">
        <f t="shared" si="75"/>
        <v>15.879999999999999</v>
      </c>
      <c r="N415" s="15">
        <f t="shared" si="76"/>
        <v>935.63000000000011</v>
      </c>
      <c r="O415" s="15">
        <f t="shared" si="67"/>
        <v>0</v>
      </c>
      <c r="P415" s="15">
        <f t="shared" si="68"/>
        <v>935.63000000000011</v>
      </c>
      <c r="Q415" s="5">
        <f t="shared" si="69"/>
        <v>1</v>
      </c>
    </row>
    <row r="416" spans="1:17" x14ac:dyDescent="0.25">
      <c r="A416" s="7">
        <v>46283.25</v>
      </c>
      <c r="B416" s="22">
        <v>0</v>
      </c>
      <c r="C416" s="22">
        <v>0</v>
      </c>
      <c r="D416" s="18">
        <f t="shared" si="66"/>
        <v>0</v>
      </c>
      <c r="E416" s="22">
        <v>59.85</v>
      </c>
      <c r="F416" s="18">
        <f t="shared" si="70"/>
        <v>0</v>
      </c>
      <c r="G416" s="18">
        <f t="shared" si="71"/>
        <v>59.85</v>
      </c>
      <c r="H416" s="22">
        <v>36.64</v>
      </c>
      <c r="I416" s="18">
        <f t="shared" si="72"/>
        <v>0</v>
      </c>
      <c r="J416" s="18">
        <f t="shared" si="73"/>
        <v>36.64</v>
      </c>
      <c r="K416" s="22">
        <v>4.7200000000000006</v>
      </c>
      <c r="L416" s="18">
        <f t="shared" si="74"/>
        <v>0</v>
      </c>
      <c r="M416" s="18">
        <f t="shared" si="75"/>
        <v>4.7200000000000006</v>
      </c>
      <c r="N416" s="15">
        <f t="shared" si="76"/>
        <v>101.21000000000001</v>
      </c>
      <c r="O416" s="15">
        <f t="shared" si="67"/>
        <v>0</v>
      </c>
      <c r="P416" s="15">
        <f t="shared" si="68"/>
        <v>101.21000000000001</v>
      </c>
      <c r="Q416" s="5">
        <f t="shared" si="69"/>
        <v>1</v>
      </c>
    </row>
    <row r="417" spans="1:17" x14ac:dyDescent="0.25">
      <c r="A417" s="7">
        <v>46283.291666666664</v>
      </c>
      <c r="B417" s="22">
        <v>365.4</v>
      </c>
      <c r="C417" s="22">
        <v>0.6</v>
      </c>
      <c r="D417" s="18">
        <f t="shared" si="66"/>
        <v>366</v>
      </c>
      <c r="E417" s="22">
        <v>0</v>
      </c>
      <c r="F417" s="18">
        <f t="shared" si="70"/>
        <v>0</v>
      </c>
      <c r="G417" s="18">
        <f t="shared" si="71"/>
        <v>0</v>
      </c>
      <c r="H417" s="22">
        <v>32.559999999999995</v>
      </c>
      <c r="I417" s="18">
        <f t="shared" si="72"/>
        <v>32.559999999999995</v>
      </c>
      <c r="J417" s="18">
        <f t="shared" si="73"/>
        <v>0</v>
      </c>
      <c r="K417" s="22">
        <v>2.92</v>
      </c>
      <c r="L417" s="18">
        <f t="shared" si="74"/>
        <v>2.92</v>
      </c>
      <c r="M417" s="18">
        <f t="shared" si="75"/>
        <v>0</v>
      </c>
      <c r="N417" s="15">
        <f t="shared" si="76"/>
        <v>35.479999999999997</v>
      </c>
      <c r="O417" s="15">
        <f t="shared" si="67"/>
        <v>35.479999999999997</v>
      </c>
      <c r="P417" s="15">
        <f t="shared" si="68"/>
        <v>0</v>
      </c>
      <c r="Q417" s="5">
        <f t="shared" si="69"/>
        <v>0</v>
      </c>
    </row>
    <row r="418" spans="1:17" x14ac:dyDescent="0.25">
      <c r="A418" s="7">
        <v>46283.333333333336</v>
      </c>
      <c r="B418" s="22">
        <v>1086.75</v>
      </c>
      <c r="C418" s="22">
        <v>0</v>
      </c>
      <c r="D418" s="18">
        <f t="shared" si="66"/>
        <v>1086.75</v>
      </c>
      <c r="E418" s="22">
        <v>0</v>
      </c>
      <c r="F418" s="18">
        <f t="shared" si="70"/>
        <v>0</v>
      </c>
      <c r="G418" s="18">
        <f t="shared" si="71"/>
        <v>0</v>
      </c>
      <c r="H418" s="22">
        <v>128.32</v>
      </c>
      <c r="I418" s="18">
        <f t="shared" si="72"/>
        <v>128.32</v>
      </c>
      <c r="J418" s="18">
        <f t="shared" si="73"/>
        <v>0</v>
      </c>
      <c r="K418" s="22">
        <v>7.36</v>
      </c>
      <c r="L418" s="18">
        <f t="shared" si="74"/>
        <v>7.36</v>
      </c>
      <c r="M418" s="18">
        <f t="shared" si="75"/>
        <v>0</v>
      </c>
      <c r="N418" s="15">
        <f t="shared" si="76"/>
        <v>135.68</v>
      </c>
      <c r="O418" s="15">
        <f t="shared" si="67"/>
        <v>135.68</v>
      </c>
      <c r="P418" s="15">
        <f t="shared" si="68"/>
        <v>0</v>
      </c>
      <c r="Q418" s="5">
        <f t="shared" si="69"/>
        <v>0</v>
      </c>
    </row>
    <row r="419" spans="1:17" x14ac:dyDescent="0.25">
      <c r="A419" s="7">
        <v>46283.375</v>
      </c>
      <c r="B419" s="22">
        <v>995.4</v>
      </c>
      <c r="C419" s="22">
        <v>1.2</v>
      </c>
      <c r="D419" s="18">
        <f t="shared" si="66"/>
        <v>996.6</v>
      </c>
      <c r="E419" s="22">
        <v>0</v>
      </c>
      <c r="F419" s="18">
        <f t="shared" si="70"/>
        <v>0</v>
      </c>
      <c r="G419" s="18">
        <f t="shared" si="71"/>
        <v>0</v>
      </c>
      <c r="H419" s="22">
        <v>71.92</v>
      </c>
      <c r="I419" s="18">
        <f t="shared" si="72"/>
        <v>71.92</v>
      </c>
      <c r="J419" s="18">
        <f t="shared" si="73"/>
        <v>0</v>
      </c>
      <c r="K419" s="22">
        <v>44.8</v>
      </c>
      <c r="L419" s="18">
        <f t="shared" si="74"/>
        <v>44.8</v>
      </c>
      <c r="M419" s="18">
        <f t="shared" si="75"/>
        <v>0</v>
      </c>
      <c r="N419" s="15">
        <f t="shared" si="76"/>
        <v>116.72</v>
      </c>
      <c r="O419" s="15">
        <f t="shared" si="67"/>
        <v>116.72</v>
      </c>
      <c r="P419" s="15">
        <f t="shared" si="68"/>
        <v>0</v>
      </c>
      <c r="Q419" s="5">
        <f t="shared" si="69"/>
        <v>0</v>
      </c>
    </row>
    <row r="420" spans="1:17" x14ac:dyDescent="0.25">
      <c r="A420" s="7">
        <v>46283.416666666664</v>
      </c>
      <c r="B420" s="22">
        <v>1956.15</v>
      </c>
      <c r="C420" s="22">
        <v>10.44</v>
      </c>
      <c r="D420" s="18">
        <f t="shared" si="66"/>
        <v>1966.5900000000001</v>
      </c>
      <c r="E420" s="22">
        <v>0</v>
      </c>
      <c r="F420" s="18">
        <f t="shared" si="70"/>
        <v>0</v>
      </c>
      <c r="G420" s="18">
        <f t="shared" si="71"/>
        <v>0</v>
      </c>
      <c r="H420" s="22">
        <v>36.04</v>
      </c>
      <c r="I420" s="18">
        <f t="shared" si="72"/>
        <v>36.04</v>
      </c>
      <c r="J420" s="18">
        <f t="shared" si="73"/>
        <v>0</v>
      </c>
      <c r="K420" s="22">
        <v>22</v>
      </c>
      <c r="L420" s="18">
        <f t="shared" si="74"/>
        <v>22</v>
      </c>
      <c r="M420" s="18">
        <f t="shared" si="75"/>
        <v>0</v>
      </c>
      <c r="N420" s="15">
        <f t="shared" si="76"/>
        <v>58.04</v>
      </c>
      <c r="O420" s="15">
        <f t="shared" si="67"/>
        <v>58.04</v>
      </c>
      <c r="P420" s="15">
        <f t="shared" si="68"/>
        <v>0</v>
      </c>
      <c r="Q420" s="5">
        <f t="shared" si="69"/>
        <v>0</v>
      </c>
    </row>
    <row r="421" spans="1:17" x14ac:dyDescent="0.25">
      <c r="A421" s="7">
        <v>46283.458333333336</v>
      </c>
      <c r="B421" s="22">
        <v>2173.5</v>
      </c>
      <c r="C421" s="22">
        <v>8.64</v>
      </c>
      <c r="D421" s="18">
        <f t="shared" si="66"/>
        <v>2182.14</v>
      </c>
      <c r="E421" s="22">
        <v>0</v>
      </c>
      <c r="F421" s="18">
        <f t="shared" si="70"/>
        <v>0</v>
      </c>
      <c r="G421" s="18">
        <f t="shared" si="71"/>
        <v>0</v>
      </c>
      <c r="H421" s="22">
        <v>37</v>
      </c>
      <c r="I421" s="18">
        <f t="shared" si="72"/>
        <v>37</v>
      </c>
      <c r="J421" s="18">
        <f t="shared" si="73"/>
        <v>0</v>
      </c>
      <c r="K421" s="22">
        <v>34.479999999999997</v>
      </c>
      <c r="L421" s="18">
        <f t="shared" si="74"/>
        <v>34.479999999999997</v>
      </c>
      <c r="M421" s="18">
        <f t="shared" si="75"/>
        <v>0</v>
      </c>
      <c r="N421" s="15">
        <f t="shared" si="76"/>
        <v>71.47999999999999</v>
      </c>
      <c r="O421" s="15">
        <f t="shared" si="67"/>
        <v>71.47999999999999</v>
      </c>
      <c r="P421" s="15">
        <f t="shared" si="68"/>
        <v>0</v>
      </c>
      <c r="Q421" s="5">
        <f t="shared" si="69"/>
        <v>0</v>
      </c>
    </row>
    <row r="422" spans="1:17" x14ac:dyDescent="0.25">
      <c r="A422" s="7">
        <v>46283.5</v>
      </c>
      <c r="B422" s="22">
        <v>2422.35</v>
      </c>
      <c r="C422" s="22">
        <v>34.44</v>
      </c>
      <c r="D422" s="18">
        <f t="shared" si="66"/>
        <v>2456.79</v>
      </c>
      <c r="E422" s="22">
        <v>0</v>
      </c>
      <c r="F422" s="18">
        <f t="shared" si="70"/>
        <v>0</v>
      </c>
      <c r="G422" s="18">
        <f t="shared" si="71"/>
        <v>0</v>
      </c>
      <c r="H422" s="22">
        <v>20.440000000000001</v>
      </c>
      <c r="I422" s="18">
        <f t="shared" si="72"/>
        <v>20.440000000000001</v>
      </c>
      <c r="J422" s="18">
        <f t="shared" si="73"/>
        <v>0</v>
      </c>
      <c r="K422" s="22">
        <v>20.92</v>
      </c>
      <c r="L422" s="18">
        <f t="shared" si="74"/>
        <v>20.92</v>
      </c>
      <c r="M422" s="18">
        <f t="shared" si="75"/>
        <v>0</v>
      </c>
      <c r="N422" s="15">
        <f t="shared" si="76"/>
        <v>41.36</v>
      </c>
      <c r="O422" s="15">
        <f t="shared" si="67"/>
        <v>41.36</v>
      </c>
      <c r="P422" s="15">
        <f t="shared" si="68"/>
        <v>0</v>
      </c>
      <c r="Q422" s="5">
        <f t="shared" si="69"/>
        <v>0</v>
      </c>
    </row>
    <row r="423" spans="1:17" x14ac:dyDescent="0.25">
      <c r="A423" s="7">
        <v>46283.541666666664</v>
      </c>
      <c r="B423" s="22">
        <v>1382.85</v>
      </c>
      <c r="C423" s="22">
        <v>6.24</v>
      </c>
      <c r="D423" s="18">
        <f t="shared" si="66"/>
        <v>1389.09</v>
      </c>
      <c r="E423" s="22">
        <v>0</v>
      </c>
      <c r="F423" s="18">
        <f t="shared" si="70"/>
        <v>0</v>
      </c>
      <c r="G423" s="18">
        <f t="shared" si="71"/>
        <v>0</v>
      </c>
      <c r="H423" s="22">
        <v>77.8</v>
      </c>
      <c r="I423" s="18">
        <f t="shared" si="72"/>
        <v>77.8</v>
      </c>
      <c r="J423" s="18">
        <f t="shared" si="73"/>
        <v>0</v>
      </c>
      <c r="K423" s="22">
        <v>21.88</v>
      </c>
      <c r="L423" s="18">
        <f t="shared" si="74"/>
        <v>21.88</v>
      </c>
      <c r="M423" s="18">
        <f t="shared" si="75"/>
        <v>0</v>
      </c>
      <c r="N423" s="15">
        <f t="shared" si="76"/>
        <v>99.679999999999993</v>
      </c>
      <c r="O423" s="15">
        <f t="shared" si="67"/>
        <v>99.679999999999993</v>
      </c>
      <c r="P423" s="15">
        <f t="shared" si="68"/>
        <v>0</v>
      </c>
      <c r="Q423" s="5">
        <f t="shared" si="69"/>
        <v>0</v>
      </c>
    </row>
    <row r="424" spans="1:17" x14ac:dyDescent="0.25">
      <c r="A424" s="7">
        <v>46283.583333333336</v>
      </c>
      <c r="B424" s="22">
        <v>359.09999999999997</v>
      </c>
      <c r="C424" s="22">
        <v>0</v>
      </c>
      <c r="D424" s="18">
        <f t="shared" si="66"/>
        <v>359.09999999999997</v>
      </c>
      <c r="E424" s="22">
        <v>9.4499999999999993</v>
      </c>
      <c r="F424" s="18">
        <f t="shared" si="70"/>
        <v>9.4499999999999993</v>
      </c>
      <c r="G424" s="18">
        <f t="shared" si="71"/>
        <v>0</v>
      </c>
      <c r="H424" s="22">
        <v>137.68</v>
      </c>
      <c r="I424" s="18">
        <f t="shared" si="72"/>
        <v>137.68</v>
      </c>
      <c r="J424" s="18">
        <f t="shared" si="73"/>
        <v>0</v>
      </c>
      <c r="K424" s="22">
        <v>34.96</v>
      </c>
      <c r="L424" s="18">
        <f t="shared" si="74"/>
        <v>34.96</v>
      </c>
      <c r="M424" s="18">
        <f t="shared" si="75"/>
        <v>0</v>
      </c>
      <c r="N424" s="15">
        <f t="shared" si="76"/>
        <v>182.09</v>
      </c>
      <c r="O424" s="15">
        <f t="shared" si="67"/>
        <v>182.09</v>
      </c>
      <c r="P424" s="15">
        <f t="shared" si="68"/>
        <v>0</v>
      </c>
      <c r="Q424" s="5">
        <f t="shared" si="69"/>
        <v>0</v>
      </c>
    </row>
    <row r="425" spans="1:17" x14ac:dyDescent="0.25">
      <c r="A425" s="7">
        <v>46283.625</v>
      </c>
      <c r="B425" s="22">
        <v>264.60000000000002</v>
      </c>
      <c r="C425" s="22">
        <v>0</v>
      </c>
      <c r="D425" s="18">
        <f t="shared" si="66"/>
        <v>264.60000000000002</v>
      </c>
      <c r="E425" s="22">
        <v>0</v>
      </c>
      <c r="F425" s="18">
        <f t="shared" si="70"/>
        <v>0</v>
      </c>
      <c r="G425" s="18">
        <f t="shared" si="71"/>
        <v>0</v>
      </c>
      <c r="H425" s="22">
        <v>99.04</v>
      </c>
      <c r="I425" s="18">
        <f t="shared" si="72"/>
        <v>99.04</v>
      </c>
      <c r="J425" s="18">
        <f t="shared" si="73"/>
        <v>0</v>
      </c>
      <c r="K425" s="22">
        <v>35.32</v>
      </c>
      <c r="L425" s="18">
        <f t="shared" si="74"/>
        <v>35.32</v>
      </c>
      <c r="M425" s="18">
        <f t="shared" si="75"/>
        <v>0</v>
      </c>
      <c r="N425" s="15">
        <f t="shared" si="76"/>
        <v>134.36000000000001</v>
      </c>
      <c r="O425" s="15">
        <f t="shared" si="67"/>
        <v>134.36000000000001</v>
      </c>
      <c r="P425" s="15">
        <f t="shared" si="68"/>
        <v>0</v>
      </c>
      <c r="Q425" s="5">
        <f t="shared" si="69"/>
        <v>0</v>
      </c>
    </row>
    <row r="426" spans="1:17" x14ac:dyDescent="0.25">
      <c r="A426" s="7">
        <v>46283.666666666664</v>
      </c>
      <c r="B426" s="22">
        <v>144.9</v>
      </c>
      <c r="C426" s="22">
        <v>0</v>
      </c>
      <c r="D426" s="18">
        <f t="shared" si="66"/>
        <v>144.9</v>
      </c>
      <c r="E426" s="22">
        <v>0</v>
      </c>
      <c r="F426" s="18">
        <f t="shared" si="70"/>
        <v>0</v>
      </c>
      <c r="G426" s="18">
        <f t="shared" si="71"/>
        <v>0</v>
      </c>
      <c r="H426" s="22">
        <v>91.48</v>
      </c>
      <c r="I426" s="18">
        <f t="shared" si="72"/>
        <v>91.48</v>
      </c>
      <c r="J426" s="18">
        <f t="shared" si="73"/>
        <v>0</v>
      </c>
      <c r="K426" s="22">
        <v>46.36</v>
      </c>
      <c r="L426" s="18">
        <f t="shared" si="74"/>
        <v>46.36</v>
      </c>
      <c r="M426" s="18">
        <f t="shared" si="75"/>
        <v>0</v>
      </c>
      <c r="N426" s="15">
        <f t="shared" si="76"/>
        <v>137.84</v>
      </c>
      <c r="O426" s="15">
        <f t="shared" si="67"/>
        <v>137.84</v>
      </c>
      <c r="P426" s="15">
        <f t="shared" si="68"/>
        <v>0</v>
      </c>
      <c r="Q426" s="5">
        <f t="shared" si="69"/>
        <v>0</v>
      </c>
    </row>
    <row r="427" spans="1:17" x14ac:dyDescent="0.25">
      <c r="A427" s="7">
        <v>46283.708333333336</v>
      </c>
      <c r="B427" s="22">
        <v>72.45</v>
      </c>
      <c r="C427" s="22">
        <v>0</v>
      </c>
      <c r="D427" s="18">
        <f t="shared" si="66"/>
        <v>72.45</v>
      </c>
      <c r="E427" s="22">
        <v>97.65</v>
      </c>
      <c r="F427" s="18">
        <f t="shared" si="70"/>
        <v>34.583479982402125</v>
      </c>
      <c r="G427" s="18">
        <f t="shared" si="71"/>
        <v>63.066520017597881</v>
      </c>
      <c r="H427" s="22">
        <v>76.959999999999994</v>
      </c>
      <c r="I427" s="18">
        <f t="shared" si="72"/>
        <v>27.255961284645849</v>
      </c>
      <c r="J427" s="18">
        <f t="shared" si="73"/>
        <v>49.704038715354145</v>
      </c>
      <c r="K427" s="22">
        <v>29.96</v>
      </c>
      <c r="L427" s="18">
        <f t="shared" si="74"/>
        <v>10.61055873295205</v>
      </c>
      <c r="M427" s="18">
        <f t="shared" si="75"/>
        <v>19.349441267047951</v>
      </c>
      <c r="N427" s="15">
        <f t="shared" si="76"/>
        <v>204.57000000000002</v>
      </c>
      <c r="O427" s="15">
        <f t="shared" si="67"/>
        <v>72.450000000000017</v>
      </c>
      <c r="P427" s="15">
        <f t="shared" si="68"/>
        <v>132.12</v>
      </c>
      <c r="Q427" s="5">
        <f t="shared" si="69"/>
        <v>0.6458424989001319</v>
      </c>
    </row>
    <row r="428" spans="1:17" x14ac:dyDescent="0.25">
      <c r="A428" s="7">
        <v>46283.75</v>
      </c>
      <c r="B428" s="22">
        <v>0</v>
      </c>
      <c r="C428" s="22">
        <v>0</v>
      </c>
      <c r="D428" s="18">
        <f t="shared" si="66"/>
        <v>0</v>
      </c>
      <c r="E428" s="22">
        <v>207.9</v>
      </c>
      <c r="F428" s="18">
        <f t="shared" si="70"/>
        <v>0</v>
      </c>
      <c r="G428" s="18">
        <f t="shared" si="71"/>
        <v>207.9</v>
      </c>
      <c r="H428" s="22">
        <v>62.199999999999996</v>
      </c>
      <c r="I428" s="18">
        <f t="shared" si="72"/>
        <v>0</v>
      </c>
      <c r="J428" s="18">
        <f t="shared" si="73"/>
        <v>62.199999999999996</v>
      </c>
      <c r="K428" s="22">
        <v>35.922999999999995</v>
      </c>
      <c r="L428" s="18">
        <f t="shared" si="74"/>
        <v>0</v>
      </c>
      <c r="M428" s="18">
        <f t="shared" si="75"/>
        <v>35.922999999999995</v>
      </c>
      <c r="N428" s="15">
        <f t="shared" si="76"/>
        <v>306.02300000000002</v>
      </c>
      <c r="O428" s="15">
        <f t="shared" si="67"/>
        <v>0</v>
      </c>
      <c r="P428" s="15">
        <f t="shared" si="68"/>
        <v>306.02300000000002</v>
      </c>
      <c r="Q428" s="5">
        <f t="shared" si="69"/>
        <v>1</v>
      </c>
    </row>
    <row r="429" spans="1:17" x14ac:dyDescent="0.25">
      <c r="A429" s="7">
        <v>46283.791666666664</v>
      </c>
      <c r="B429" s="22">
        <v>0</v>
      </c>
      <c r="C429" s="22">
        <v>0</v>
      </c>
      <c r="D429" s="18">
        <f t="shared" si="66"/>
        <v>0</v>
      </c>
      <c r="E429" s="22">
        <v>179.54999999999998</v>
      </c>
      <c r="F429" s="18">
        <f t="shared" si="70"/>
        <v>0</v>
      </c>
      <c r="G429" s="18">
        <f t="shared" si="71"/>
        <v>179.54999999999998</v>
      </c>
      <c r="H429" s="22">
        <v>42.28</v>
      </c>
      <c r="I429" s="18">
        <f t="shared" si="72"/>
        <v>0</v>
      </c>
      <c r="J429" s="18">
        <f t="shared" si="73"/>
        <v>42.28</v>
      </c>
      <c r="K429" s="22">
        <v>16.452999999999999</v>
      </c>
      <c r="L429" s="18">
        <f t="shared" si="74"/>
        <v>0</v>
      </c>
      <c r="M429" s="18">
        <f t="shared" si="75"/>
        <v>16.452999999999999</v>
      </c>
      <c r="N429" s="15">
        <f t="shared" si="76"/>
        <v>238.28299999999999</v>
      </c>
      <c r="O429" s="15">
        <f t="shared" si="67"/>
        <v>0</v>
      </c>
      <c r="P429" s="15">
        <f t="shared" si="68"/>
        <v>238.28299999999999</v>
      </c>
      <c r="Q429" s="5">
        <f t="shared" si="69"/>
        <v>1</v>
      </c>
    </row>
    <row r="430" spans="1:17" x14ac:dyDescent="0.25">
      <c r="A430" s="7">
        <v>46283.833333333336</v>
      </c>
      <c r="B430" s="22">
        <v>0</v>
      </c>
      <c r="C430" s="22">
        <v>0</v>
      </c>
      <c r="D430" s="18">
        <f t="shared" si="66"/>
        <v>0</v>
      </c>
      <c r="E430" s="22">
        <v>362.25</v>
      </c>
      <c r="F430" s="18">
        <f t="shared" si="70"/>
        <v>0</v>
      </c>
      <c r="G430" s="18">
        <f t="shared" si="71"/>
        <v>362.25</v>
      </c>
      <c r="H430" s="22">
        <v>40.72</v>
      </c>
      <c r="I430" s="18">
        <f t="shared" si="72"/>
        <v>0</v>
      </c>
      <c r="J430" s="18">
        <f t="shared" si="73"/>
        <v>40.72</v>
      </c>
      <c r="K430" s="22">
        <v>2.9450000000000003</v>
      </c>
      <c r="L430" s="18">
        <f t="shared" si="74"/>
        <v>0</v>
      </c>
      <c r="M430" s="18">
        <f t="shared" si="75"/>
        <v>2.9450000000000003</v>
      </c>
      <c r="N430" s="15">
        <f t="shared" si="76"/>
        <v>405.91500000000002</v>
      </c>
      <c r="O430" s="15">
        <f t="shared" si="67"/>
        <v>0</v>
      </c>
      <c r="P430" s="15">
        <f t="shared" si="68"/>
        <v>405.91500000000002</v>
      </c>
      <c r="Q430" s="5">
        <f t="shared" si="69"/>
        <v>1</v>
      </c>
    </row>
    <row r="431" spans="1:17" x14ac:dyDescent="0.25">
      <c r="A431" s="7">
        <v>46283.875</v>
      </c>
      <c r="B431" s="22">
        <v>0</v>
      </c>
      <c r="C431" s="22">
        <v>0</v>
      </c>
      <c r="D431" s="18">
        <f t="shared" si="66"/>
        <v>0</v>
      </c>
      <c r="E431" s="22">
        <v>415.8</v>
      </c>
      <c r="F431" s="18">
        <f t="shared" si="70"/>
        <v>0</v>
      </c>
      <c r="G431" s="18">
        <f t="shared" si="71"/>
        <v>415.8</v>
      </c>
      <c r="H431" s="22">
        <v>43.839999999999996</v>
      </c>
      <c r="I431" s="18">
        <f t="shared" si="72"/>
        <v>0</v>
      </c>
      <c r="J431" s="18">
        <f t="shared" si="73"/>
        <v>43.839999999999996</v>
      </c>
      <c r="K431" s="22">
        <v>2.9450000000000003</v>
      </c>
      <c r="L431" s="18">
        <f t="shared" si="74"/>
        <v>0</v>
      </c>
      <c r="M431" s="18">
        <f t="shared" si="75"/>
        <v>2.9450000000000003</v>
      </c>
      <c r="N431" s="15">
        <f t="shared" si="76"/>
        <v>462.58499999999998</v>
      </c>
      <c r="O431" s="15">
        <f t="shared" si="67"/>
        <v>0</v>
      </c>
      <c r="P431" s="15">
        <f t="shared" si="68"/>
        <v>462.58499999999998</v>
      </c>
      <c r="Q431" s="5">
        <f t="shared" si="69"/>
        <v>1</v>
      </c>
    </row>
    <row r="432" spans="1:17" x14ac:dyDescent="0.25">
      <c r="A432" s="7">
        <v>46283.916666666664</v>
      </c>
      <c r="B432" s="22">
        <v>0</v>
      </c>
      <c r="C432" s="22">
        <v>0</v>
      </c>
      <c r="D432" s="18">
        <f t="shared" si="66"/>
        <v>0</v>
      </c>
      <c r="E432" s="22">
        <v>352.8</v>
      </c>
      <c r="F432" s="18">
        <f t="shared" si="70"/>
        <v>0</v>
      </c>
      <c r="G432" s="18">
        <f t="shared" si="71"/>
        <v>352.8</v>
      </c>
      <c r="H432" s="22">
        <v>42.28</v>
      </c>
      <c r="I432" s="18">
        <f t="shared" si="72"/>
        <v>0</v>
      </c>
      <c r="J432" s="18">
        <f t="shared" si="73"/>
        <v>42.28</v>
      </c>
      <c r="K432" s="22">
        <v>2.68</v>
      </c>
      <c r="L432" s="18">
        <f t="shared" si="74"/>
        <v>0</v>
      </c>
      <c r="M432" s="18">
        <f t="shared" si="75"/>
        <v>2.68</v>
      </c>
      <c r="N432" s="15">
        <f t="shared" si="76"/>
        <v>397.76000000000005</v>
      </c>
      <c r="O432" s="15">
        <f t="shared" si="67"/>
        <v>0</v>
      </c>
      <c r="P432" s="15">
        <f t="shared" si="68"/>
        <v>397.76000000000005</v>
      </c>
      <c r="Q432" s="5">
        <f t="shared" si="69"/>
        <v>1</v>
      </c>
    </row>
    <row r="433" spans="1:17" x14ac:dyDescent="0.25">
      <c r="A433" s="7">
        <v>46283.958333333336</v>
      </c>
      <c r="B433" s="22">
        <v>0</v>
      </c>
      <c r="C433" s="22">
        <v>0</v>
      </c>
      <c r="D433" s="18">
        <f t="shared" si="66"/>
        <v>0</v>
      </c>
      <c r="E433" s="22">
        <v>393.75</v>
      </c>
      <c r="F433" s="18">
        <f t="shared" si="70"/>
        <v>0</v>
      </c>
      <c r="G433" s="18">
        <f t="shared" si="71"/>
        <v>393.75</v>
      </c>
      <c r="H433" s="22">
        <v>46</v>
      </c>
      <c r="I433" s="18">
        <f t="shared" si="72"/>
        <v>0</v>
      </c>
      <c r="J433" s="18">
        <f t="shared" si="73"/>
        <v>46</v>
      </c>
      <c r="K433" s="22">
        <v>3.04</v>
      </c>
      <c r="L433" s="18">
        <f t="shared" si="74"/>
        <v>0</v>
      </c>
      <c r="M433" s="18">
        <f t="shared" si="75"/>
        <v>3.04</v>
      </c>
      <c r="N433" s="15">
        <f t="shared" si="76"/>
        <v>442.79</v>
      </c>
      <c r="O433" s="15">
        <f t="shared" si="67"/>
        <v>0</v>
      </c>
      <c r="P433" s="15">
        <f t="shared" si="68"/>
        <v>442.79</v>
      </c>
      <c r="Q433" s="5">
        <f t="shared" si="69"/>
        <v>1</v>
      </c>
    </row>
    <row r="434" spans="1:17" x14ac:dyDescent="0.25">
      <c r="A434" s="7">
        <v>46284</v>
      </c>
      <c r="B434" s="22">
        <v>0</v>
      </c>
      <c r="C434" s="22">
        <v>0</v>
      </c>
      <c r="D434" s="18">
        <f t="shared" si="66"/>
        <v>0</v>
      </c>
      <c r="E434" s="22">
        <v>387.45</v>
      </c>
      <c r="F434" s="18">
        <f t="shared" si="70"/>
        <v>0</v>
      </c>
      <c r="G434" s="18">
        <f t="shared" si="71"/>
        <v>387.45</v>
      </c>
      <c r="H434" s="22">
        <v>43.36</v>
      </c>
      <c r="I434" s="18">
        <f t="shared" si="72"/>
        <v>0</v>
      </c>
      <c r="J434" s="18">
        <f t="shared" si="73"/>
        <v>43.36</v>
      </c>
      <c r="K434" s="22">
        <v>2.8</v>
      </c>
      <c r="L434" s="18">
        <f t="shared" si="74"/>
        <v>0</v>
      </c>
      <c r="M434" s="18">
        <f t="shared" si="75"/>
        <v>2.8</v>
      </c>
      <c r="N434" s="15">
        <f t="shared" si="76"/>
        <v>433.61</v>
      </c>
      <c r="O434" s="15">
        <f t="shared" si="67"/>
        <v>0</v>
      </c>
      <c r="P434" s="15">
        <f t="shared" si="68"/>
        <v>433.61</v>
      </c>
      <c r="Q434" s="5">
        <f t="shared" si="69"/>
        <v>1</v>
      </c>
    </row>
    <row r="435" spans="1:17" x14ac:dyDescent="0.25">
      <c r="A435" s="7">
        <v>46284.041666666664</v>
      </c>
      <c r="B435" s="22">
        <v>0</v>
      </c>
      <c r="C435" s="22">
        <v>0</v>
      </c>
      <c r="D435" s="18">
        <f t="shared" si="66"/>
        <v>0</v>
      </c>
      <c r="E435" s="22">
        <v>122.85</v>
      </c>
      <c r="F435" s="18">
        <f t="shared" si="70"/>
        <v>0</v>
      </c>
      <c r="G435" s="18">
        <f t="shared" si="71"/>
        <v>122.85</v>
      </c>
      <c r="H435" s="22">
        <v>36.4</v>
      </c>
      <c r="I435" s="18">
        <f t="shared" si="72"/>
        <v>0</v>
      </c>
      <c r="J435" s="18">
        <f t="shared" si="73"/>
        <v>36.4</v>
      </c>
      <c r="K435" s="22">
        <v>3.04</v>
      </c>
      <c r="L435" s="18">
        <f t="shared" si="74"/>
        <v>0</v>
      </c>
      <c r="M435" s="18">
        <f t="shared" si="75"/>
        <v>3.04</v>
      </c>
      <c r="N435" s="15">
        <f t="shared" si="76"/>
        <v>162.29</v>
      </c>
      <c r="O435" s="15">
        <f t="shared" si="67"/>
        <v>0</v>
      </c>
      <c r="P435" s="15">
        <f t="shared" si="68"/>
        <v>162.29</v>
      </c>
      <c r="Q435" s="5">
        <f t="shared" si="69"/>
        <v>1</v>
      </c>
    </row>
    <row r="436" spans="1:17" x14ac:dyDescent="0.25">
      <c r="A436" s="7">
        <v>46284.083333333336</v>
      </c>
      <c r="B436" s="22">
        <v>0</v>
      </c>
      <c r="C436" s="22">
        <v>0</v>
      </c>
      <c r="D436" s="18">
        <f t="shared" si="66"/>
        <v>0</v>
      </c>
      <c r="E436" s="22">
        <v>412.65000000000003</v>
      </c>
      <c r="F436" s="18">
        <f t="shared" si="70"/>
        <v>0</v>
      </c>
      <c r="G436" s="18">
        <f t="shared" si="71"/>
        <v>412.65000000000003</v>
      </c>
      <c r="H436" s="22">
        <v>46.96</v>
      </c>
      <c r="I436" s="18">
        <f t="shared" si="72"/>
        <v>0</v>
      </c>
      <c r="J436" s="18">
        <f t="shared" si="73"/>
        <v>46.96</v>
      </c>
      <c r="K436" s="22">
        <v>2.68</v>
      </c>
      <c r="L436" s="18">
        <f t="shared" si="74"/>
        <v>0</v>
      </c>
      <c r="M436" s="18">
        <f t="shared" si="75"/>
        <v>2.68</v>
      </c>
      <c r="N436" s="15">
        <f t="shared" si="76"/>
        <v>462.29</v>
      </c>
      <c r="O436" s="15">
        <f t="shared" si="67"/>
        <v>0</v>
      </c>
      <c r="P436" s="15">
        <f t="shared" si="68"/>
        <v>462.29</v>
      </c>
      <c r="Q436" s="5">
        <f t="shared" si="69"/>
        <v>1</v>
      </c>
    </row>
    <row r="437" spans="1:17" x14ac:dyDescent="0.25">
      <c r="A437" s="7">
        <v>46284.125</v>
      </c>
      <c r="B437" s="22">
        <v>0</v>
      </c>
      <c r="C437" s="22">
        <v>0</v>
      </c>
      <c r="D437" s="18">
        <f t="shared" si="66"/>
        <v>0</v>
      </c>
      <c r="E437" s="22">
        <v>365.4</v>
      </c>
      <c r="F437" s="18">
        <f t="shared" si="70"/>
        <v>0</v>
      </c>
      <c r="G437" s="18">
        <f t="shared" si="71"/>
        <v>365.4</v>
      </c>
      <c r="H437" s="22">
        <v>48.04</v>
      </c>
      <c r="I437" s="18">
        <f t="shared" si="72"/>
        <v>0</v>
      </c>
      <c r="J437" s="18">
        <f t="shared" si="73"/>
        <v>48.04</v>
      </c>
      <c r="K437" s="22">
        <v>4.12</v>
      </c>
      <c r="L437" s="18">
        <f t="shared" si="74"/>
        <v>0</v>
      </c>
      <c r="M437" s="18">
        <f t="shared" si="75"/>
        <v>4.12</v>
      </c>
      <c r="N437" s="15">
        <f t="shared" si="76"/>
        <v>417.56</v>
      </c>
      <c r="O437" s="15">
        <f t="shared" si="67"/>
        <v>0</v>
      </c>
      <c r="P437" s="15">
        <f t="shared" si="68"/>
        <v>417.56</v>
      </c>
      <c r="Q437" s="5">
        <f t="shared" si="69"/>
        <v>1</v>
      </c>
    </row>
    <row r="438" spans="1:17" x14ac:dyDescent="0.25">
      <c r="A438" s="7">
        <v>46284.166666666664</v>
      </c>
      <c r="B438" s="22">
        <v>0</v>
      </c>
      <c r="C438" s="22">
        <v>0</v>
      </c>
      <c r="D438" s="18">
        <f t="shared" si="66"/>
        <v>0</v>
      </c>
      <c r="E438" s="22">
        <v>475.65000000000003</v>
      </c>
      <c r="F438" s="18">
        <f t="shared" si="70"/>
        <v>0</v>
      </c>
      <c r="G438" s="18">
        <f t="shared" si="71"/>
        <v>475.65000000000003</v>
      </c>
      <c r="H438" s="22">
        <v>45.400000000000006</v>
      </c>
      <c r="I438" s="18">
        <f t="shared" si="72"/>
        <v>0</v>
      </c>
      <c r="J438" s="18">
        <f t="shared" si="73"/>
        <v>45.400000000000006</v>
      </c>
      <c r="K438" s="22">
        <v>4.7200000000000006</v>
      </c>
      <c r="L438" s="18">
        <f t="shared" si="74"/>
        <v>0</v>
      </c>
      <c r="M438" s="18">
        <f t="shared" si="75"/>
        <v>4.7200000000000006</v>
      </c>
      <c r="N438" s="15">
        <f t="shared" si="76"/>
        <v>525.7700000000001</v>
      </c>
      <c r="O438" s="15">
        <f t="shared" si="67"/>
        <v>0</v>
      </c>
      <c r="P438" s="15">
        <f t="shared" si="68"/>
        <v>525.7700000000001</v>
      </c>
      <c r="Q438" s="5">
        <f t="shared" si="69"/>
        <v>1</v>
      </c>
    </row>
    <row r="439" spans="1:17" x14ac:dyDescent="0.25">
      <c r="A439" s="7">
        <v>46284.208333333336</v>
      </c>
      <c r="B439" s="22">
        <v>0</v>
      </c>
      <c r="C439" s="22">
        <v>0</v>
      </c>
      <c r="D439" s="18">
        <f t="shared" si="66"/>
        <v>0</v>
      </c>
      <c r="E439" s="22">
        <v>437.85</v>
      </c>
      <c r="F439" s="18">
        <f t="shared" si="70"/>
        <v>0</v>
      </c>
      <c r="G439" s="18">
        <f t="shared" si="71"/>
        <v>437.85</v>
      </c>
      <c r="H439" s="22">
        <v>51.76</v>
      </c>
      <c r="I439" s="18">
        <f t="shared" si="72"/>
        <v>0</v>
      </c>
      <c r="J439" s="18">
        <f t="shared" si="73"/>
        <v>51.76</v>
      </c>
      <c r="K439" s="22">
        <v>4.5999999999999996</v>
      </c>
      <c r="L439" s="18">
        <f t="shared" si="74"/>
        <v>0</v>
      </c>
      <c r="M439" s="18">
        <f t="shared" si="75"/>
        <v>4.5999999999999996</v>
      </c>
      <c r="N439" s="15">
        <f t="shared" si="76"/>
        <v>494.21000000000004</v>
      </c>
      <c r="O439" s="15">
        <f t="shared" si="67"/>
        <v>0</v>
      </c>
      <c r="P439" s="15">
        <f t="shared" si="68"/>
        <v>494.21000000000004</v>
      </c>
      <c r="Q439" s="5">
        <f t="shared" si="69"/>
        <v>1</v>
      </c>
    </row>
    <row r="440" spans="1:17" x14ac:dyDescent="0.25">
      <c r="A440" s="7">
        <v>46284.25</v>
      </c>
      <c r="B440" s="22">
        <v>0</v>
      </c>
      <c r="C440" s="22">
        <v>0</v>
      </c>
      <c r="D440" s="18">
        <f t="shared" si="66"/>
        <v>0</v>
      </c>
      <c r="E440" s="22">
        <v>132.30000000000001</v>
      </c>
      <c r="F440" s="18">
        <f t="shared" si="70"/>
        <v>0</v>
      </c>
      <c r="G440" s="18">
        <f t="shared" si="71"/>
        <v>132.30000000000001</v>
      </c>
      <c r="H440" s="22">
        <v>35.680000000000007</v>
      </c>
      <c r="I440" s="18">
        <f t="shared" si="72"/>
        <v>0</v>
      </c>
      <c r="J440" s="18">
        <f t="shared" si="73"/>
        <v>35.680000000000007</v>
      </c>
      <c r="K440" s="22">
        <v>5.8</v>
      </c>
      <c r="L440" s="18">
        <f t="shared" si="74"/>
        <v>0</v>
      </c>
      <c r="M440" s="18">
        <f t="shared" si="75"/>
        <v>5.8</v>
      </c>
      <c r="N440" s="15">
        <f t="shared" si="76"/>
        <v>173.78000000000003</v>
      </c>
      <c r="O440" s="15">
        <f t="shared" si="67"/>
        <v>0</v>
      </c>
      <c r="P440" s="15">
        <f t="shared" si="68"/>
        <v>173.78000000000003</v>
      </c>
      <c r="Q440" s="5">
        <f t="shared" si="69"/>
        <v>1</v>
      </c>
    </row>
    <row r="441" spans="1:17" x14ac:dyDescent="0.25">
      <c r="A441" s="7">
        <v>46284.291666666664</v>
      </c>
      <c r="B441" s="22">
        <v>103.95</v>
      </c>
      <c r="C441" s="22">
        <v>0</v>
      </c>
      <c r="D441" s="18">
        <f t="shared" si="66"/>
        <v>103.95</v>
      </c>
      <c r="E441" s="22">
        <v>6.3</v>
      </c>
      <c r="F441" s="18">
        <f t="shared" si="70"/>
        <v>6.3</v>
      </c>
      <c r="G441" s="18">
        <f t="shared" si="71"/>
        <v>0</v>
      </c>
      <c r="H441" s="22">
        <v>52.12</v>
      </c>
      <c r="I441" s="18">
        <f t="shared" si="72"/>
        <v>52.12</v>
      </c>
      <c r="J441" s="18">
        <f t="shared" si="73"/>
        <v>0</v>
      </c>
      <c r="K441" s="22">
        <v>4</v>
      </c>
      <c r="L441" s="18">
        <f t="shared" si="74"/>
        <v>4</v>
      </c>
      <c r="M441" s="18">
        <f t="shared" si="75"/>
        <v>0</v>
      </c>
      <c r="N441" s="15">
        <f t="shared" si="76"/>
        <v>62.419999999999995</v>
      </c>
      <c r="O441" s="15">
        <f t="shared" si="67"/>
        <v>62.419999999999995</v>
      </c>
      <c r="P441" s="15">
        <f t="shared" si="68"/>
        <v>0</v>
      </c>
      <c r="Q441" s="5">
        <f t="shared" si="69"/>
        <v>0</v>
      </c>
    </row>
    <row r="442" spans="1:17" x14ac:dyDescent="0.25">
      <c r="A442" s="7">
        <v>46284.333333333336</v>
      </c>
      <c r="B442" s="22">
        <v>652.05000000000007</v>
      </c>
      <c r="C442" s="22">
        <v>0</v>
      </c>
      <c r="D442" s="18">
        <f t="shared" si="66"/>
        <v>652.05000000000007</v>
      </c>
      <c r="E442" s="22">
        <v>9.4499999999999993</v>
      </c>
      <c r="F442" s="18">
        <f t="shared" si="70"/>
        <v>9.4499999999999993</v>
      </c>
      <c r="G442" s="18">
        <f t="shared" si="71"/>
        <v>0</v>
      </c>
      <c r="H442" s="22">
        <v>171.76</v>
      </c>
      <c r="I442" s="18">
        <f t="shared" si="72"/>
        <v>171.76</v>
      </c>
      <c r="J442" s="18">
        <f t="shared" si="73"/>
        <v>0</v>
      </c>
      <c r="K442" s="22">
        <v>11.32</v>
      </c>
      <c r="L442" s="18">
        <f t="shared" si="74"/>
        <v>11.32</v>
      </c>
      <c r="M442" s="18">
        <f t="shared" si="75"/>
        <v>0</v>
      </c>
      <c r="N442" s="15">
        <f t="shared" si="76"/>
        <v>192.52999999999997</v>
      </c>
      <c r="O442" s="15">
        <f t="shared" si="67"/>
        <v>192.52999999999997</v>
      </c>
      <c r="P442" s="15">
        <f t="shared" si="68"/>
        <v>0</v>
      </c>
      <c r="Q442" s="5">
        <f t="shared" si="69"/>
        <v>0</v>
      </c>
    </row>
    <row r="443" spans="1:17" x14ac:dyDescent="0.25">
      <c r="A443" s="7">
        <v>46284.375</v>
      </c>
      <c r="B443" s="22">
        <v>1808.1000000000001</v>
      </c>
      <c r="C443" s="22">
        <v>0</v>
      </c>
      <c r="D443" s="18">
        <f t="shared" si="66"/>
        <v>1808.1000000000001</v>
      </c>
      <c r="E443" s="22">
        <v>0</v>
      </c>
      <c r="F443" s="18">
        <f t="shared" si="70"/>
        <v>0</v>
      </c>
      <c r="G443" s="18">
        <f t="shared" si="71"/>
        <v>0</v>
      </c>
      <c r="H443" s="22">
        <v>115.12</v>
      </c>
      <c r="I443" s="18">
        <f t="shared" si="72"/>
        <v>115.12</v>
      </c>
      <c r="J443" s="18">
        <f t="shared" si="73"/>
        <v>0</v>
      </c>
      <c r="K443" s="22">
        <v>61.6</v>
      </c>
      <c r="L443" s="18">
        <f t="shared" si="74"/>
        <v>61.6</v>
      </c>
      <c r="M443" s="18">
        <f t="shared" si="75"/>
        <v>0</v>
      </c>
      <c r="N443" s="15">
        <f t="shared" si="76"/>
        <v>176.72</v>
      </c>
      <c r="O443" s="15">
        <f t="shared" si="67"/>
        <v>176.72</v>
      </c>
      <c r="P443" s="15">
        <f t="shared" si="68"/>
        <v>0</v>
      </c>
      <c r="Q443" s="5">
        <f t="shared" si="69"/>
        <v>0</v>
      </c>
    </row>
    <row r="444" spans="1:17" x14ac:dyDescent="0.25">
      <c r="A444" s="7">
        <v>46284.416666666664</v>
      </c>
      <c r="B444" s="22">
        <v>1956.15</v>
      </c>
      <c r="C444" s="22">
        <v>5.64</v>
      </c>
      <c r="D444" s="18">
        <f t="shared" si="66"/>
        <v>1961.7900000000002</v>
      </c>
      <c r="E444" s="22">
        <v>0</v>
      </c>
      <c r="F444" s="18">
        <f t="shared" si="70"/>
        <v>0</v>
      </c>
      <c r="G444" s="18">
        <f t="shared" si="71"/>
        <v>0</v>
      </c>
      <c r="H444" s="22">
        <v>48.88</v>
      </c>
      <c r="I444" s="18">
        <f t="shared" si="72"/>
        <v>48.88</v>
      </c>
      <c r="J444" s="18">
        <f t="shared" si="73"/>
        <v>0</v>
      </c>
      <c r="K444" s="22">
        <v>56.08</v>
      </c>
      <c r="L444" s="18">
        <f t="shared" si="74"/>
        <v>56.08</v>
      </c>
      <c r="M444" s="18">
        <f t="shared" si="75"/>
        <v>0</v>
      </c>
      <c r="N444" s="15">
        <f t="shared" si="76"/>
        <v>104.96000000000001</v>
      </c>
      <c r="O444" s="15">
        <f t="shared" si="67"/>
        <v>104.96000000000001</v>
      </c>
      <c r="P444" s="15">
        <f t="shared" si="68"/>
        <v>0</v>
      </c>
      <c r="Q444" s="5">
        <f t="shared" si="69"/>
        <v>0</v>
      </c>
    </row>
    <row r="445" spans="1:17" x14ac:dyDescent="0.25">
      <c r="A445" s="7">
        <v>46284.458333333336</v>
      </c>
      <c r="B445" s="22">
        <v>2164.0500000000002</v>
      </c>
      <c r="C445" s="22">
        <v>36.119999999999997</v>
      </c>
      <c r="D445" s="18">
        <f t="shared" si="66"/>
        <v>2200.17</v>
      </c>
      <c r="E445" s="22">
        <v>0</v>
      </c>
      <c r="F445" s="18">
        <f t="shared" si="70"/>
        <v>0</v>
      </c>
      <c r="G445" s="18">
        <f t="shared" si="71"/>
        <v>0</v>
      </c>
      <c r="H445" s="22">
        <v>16</v>
      </c>
      <c r="I445" s="18">
        <f t="shared" si="72"/>
        <v>16</v>
      </c>
      <c r="J445" s="18">
        <f t="shared" si="73"/>
        <v>0</v>
      </c>
      <c r="K445" s="22">
        <v>60.28</v>
      </c>
      <c r="L445" s="18">
        <f t="shared" si="74"/>
        <v>60.28</v>
      </c>
      <c r="M445" s="18">
        <f t="shared" si="75"/>
        <v>0</v>
      </c>
      <c r="N445" s="15">
        <f t="shared" si="76"/>
        <v>76.28</v>
      </c>
      <c r="O445" s="15">
        <f t="shared" si="67"/>
        <v>76.28</v>
      </c>
      <c r="P445" s="15">
        <f t="shared" si="68"/>
        <v>0</v>
      </c>
      <c r="Q445" s="5">
        <f t="shared" si="69"/>
        <v>0</v>
      </c>
    </row>
    <row r="446" spans="1:17" x14ac:dyDescent="0.25">
      <c r="A446" s="7">
        <v>46284.5</v>
      </c>
      <c r="B446" s="22">
        <v>2214.4499999999998</v>
      </c>
      <c r="C446" s="22">
        <v>45.12</v>
      </c>
      <c r="D446" s="18">
        <f t="shared" si="66"/>
        <v>2259.5699999999997</v>
      </c>
      <c r="E446" s="22">
        <v>0</v>
      </c>
      <c r="F446" s="18">
        <f t="shared" si="70"/>
        <v>0</v>
      </c>
      <c r="G446" s="18">
        <f t="shared" si="71"/>
        <v>0</v>
      </c>
      <c r="H446" s="22">
        <v>17.32</v>
      </c>
      <c r="I446" s="18">
        <f t="shared" si="72"/>
        <v>17.32</v>
      </c>
      <c r="J446" s="18">
        <f t="shared" si="73"/>
        <v>0</v>
      </c>
      <c r="K446" s="22">
        <v>73.36</v>
      </c>
      <c r="L446" s="18">
        <f t="shared" si="74"/>
        <v>73.36</v>
      </c>
      <c r="M446" s="18">
        <f t="shared" si="75"/>
        <v>0</v>
      </c>
      <c r="N446" s="15">
        <f t="shared" si="76"/>
        <v>90.68</v>
      </c>
      <c r="O446" s="15">
        <f t="shared" si="67"/>
        <v>90.68</v>
      </c>
      <c r="P446" s="15">
        <f t="shared" si="68"/>
        <v>0</v>
      </c>
      <c r="Q446" s="5">
        <f t="shared" si="69"/>
        <v>0</v>
      </c>
    </row>
    <row r="447" spans="1:17" x14ac:dyDescent="0.25">
      <c r="A447" s="7">
        <v>46284.541666666664</v>
      </c>
      <c r="B447" s="22">
        <v>2060.1</v>
      </c>
      <c r="C447" s="22">
        <v>18.239999999999998</v>
      </c>
      <c r="D447" s="18">
        <f t="shared" si="66"/>
        <v>2078.3399999999997</v>
      </c>
      <c r="E447" s="22">
        <v>0</v>
      </c>
      <c r="F447" s="18">
        <f t="shared" si="70"/>
        <v>0</v>
      </c>
      <c r="G447" s="18">
        <f t="shared" si="71"/>
        <v>0</v>
      </c>
      <c r="H447" s="22">
        <v>33.04</v>
      </c>
      <c r="I447" s="18">
        <f t="shared" si="72"/>
        <v>33.04</v>
      </c>
      <c r="J447" s="18">
        <f t="shared" si="73"/>
        <v>0</v>
      </c>
      <c r="K447" s="22">
        <v>68.92</v>
      </c>
      <c r="L447" s="18">
        <f t="shared" si="74"/>
        <v>68.92</v>
      </c>
      <c r="M447" s="18">
        <f t="shared" si="75"/>
        <v>0</v>
      </c>
      <c r="N447" s="15">
        <f t="shared" si="76"/>
        <v>101.96000000000001</v>
      </c>
      <c r="O447" s="15">
        <f t="shared" si="67"/>
        <v>101.96000000000001</v>
      </c>
      <c r="P447" s="15">
        <f t="shared" si="68"/>
        <v>0</v>
      </c>
      <c r="Q447" s="5">
        <f t="shared" si="69"/>
        <v>0</v>
      </c>
    </row>
    <row r="448" spans="1:17" x14ac:dyDescent="0.25">
      <c r="A448" s="7">
        <v>46284.583333333336</v>
      </c>
      <c r="B448" s="22">
        <v>1382.85</v>
      </c>
      <c r="C448" s="22">
        <v>12.120000000000001</v>
      </c>
      <c r="D448" s="18">
        <f t="shared" si="66"/>
        <v>1394.9699999999998</v>
      </c>
      <c r="E448" s="22">
        <v>0</v>
      </c>
      <c r="F448" s="18">
        <f t="shared" si="70"/>
        <v>0</v>
      </c>
      <c r="G448" s="18">
        <f t="shared" si="71"/>
        <v>0</v>
      </c>
      <c r="H448" s="22">
        <v>66.64</v>
      </c>
      <c r="I448" s="18">
        <f t="shared" si="72"/>
        <v>66.64</v>
      </c>
      <c r="J448" s="18">
        <f t="shared" si="73"/>
        <v>0</v>
      </c>
      <c r="K448" s="22">
        <v>60.879999999999995</v>
      </c>
      <c r="L448" s="18">
        <f t="shared" si="74"/>
        <v>60.879999999999995</v>
      </c>
      <c r="M448" s="18">
        <f t="shared" si="75"/>
        <v>0</v>
      </c>
      <c r="N448" s="15">
        <f t="shared" si="76"/>
        <v>127.52</v>
      </c>
      <c r="O448" s="15">
        <f t="shared" si="67"/>
        <v>127.52</v>
      </c>
      <c r="P448" s="15">
        <f t="shared" si="68"/>
        <v>0</v>
      </c>
      <c r="Q448" s="5">
        <f t="shared" si="69"/>
        <v>0</v>
      </c>
    </row>
    <row r="449" spans="1:17" x14ac:dyDescent="0.25">
      <c r="A449" s="7">
        <v>46284.625</v>
      </c>
      <c r="B449" s="22">
        <v>510.29999999999995</v>
      </c>
      <c r="C449" s="22">
        <v>0</v>
      </c>
      <c r="D449" s="18">
        <f t="shared" si="66"/>
        <v>510.29999999999995</v>
      </c>
      <c r="E449" s="22">
        <v>0</v>
      </c>
      <c r="F449" s="18">
        <f t="shared" si="70"/>
        <v>0</v>
      </c>
      <c r="G449" s="18">
        <f t="shared" si="71"/>
        <v>0</v>
      </c>
      <c r="H449" s="22">
        <v>96.88</v>
      </c>
      <c r="I449" s="18">
        <f t="shared" si="72"/>
        <v>96.88</v>
      </c>
      <c r="J449" s="18">
        <f t="shared" si="73"/>
        <v>0</v>
      </c>
      <c r="K449" s="22">
        <v>68.680000000000007</v>
      </c>
      <c r="L449" s="18">
        <f t="shared" si="74"/>
        <v>68.680000000000007</v>
      </c>
      <c r="M449" s="18">
        <f t="shared" si="75"/>
        <v>0</v>
      </c>
      <c r="N449" s="15">
        <f t="shared" si="76"/>
        <v>165.56</v>
      </c>
      <c r="O449" s="15">
        <f t="shared" si="67"/>
        <v>165.56</v>
      </c>
      <c r="P449" s="15">
        <f t="shared" si="68"/>
        <v>0</v>
      </c>
      <c r="Q449" s="5">
        <f t="shared" si="69"/>
        <v>0</v>
      </c>
    </row>
    <row r="450" spans="1:17" x14ac:dyDescent="0.25">
      <c r="A450" s="7">
        <v>46284.666666666664</v>
      </c>
      <c r="B450" s="22">
        <v>308.7</v>
      </c>
      <c r="C450" s="22">
        <v>0</v>
      </c>
      <c r="D450" s="18">
        <f t="shared" ref="D450:D513" si="77">+B450+C450</f>
        <v>308.7</v>
      </c>
      <c r="E450" s="22">
        <v>0</v>
      </c>
      <c r="F450" s="18">
        <f t="shared" si="70"/>
        <v>0</v>
      </c>
      <c r="G450" s="18">
        <f t="shared" si="71"/>
        <v>0</v>
      </c>
      <c r="H450" s="22">
        <v>76.84</v>
      </c>
      <c r="I450" s="18">
        <f t="shared" si="72"/>
        <v>76.84</v>
      </c>
      <c r="J450" s="18">
        <f t="shared" si="73"/>
        <v>0</v>
      </c>
      <c r="K450" s="22">
        <v>62.080000000000005</v>
      </c>
      <c r="L450" s="18">
        <f t="shared" si="74"/>
        <v>62.080000000000005</v>
      </c>
      <c r="M450" s="18">
        <f t="shared" si="75"/>
        <v>0</v>
      </c>
      <c r="N450" s="15">
        <f t="shared" si="76"/>
        <v>138.92000000000002</v>
      </c>
      <c r="O450" s="15">
        <f t="shared" ref="O450:O513" si="78">+N450-P450</f>
        <v>138.92000000000002</v>
      </c>
      <c r="P450" s="15">
        <f t="shared" ref="P450:P513" si="79">+IF(N450&gt;D450,N450-D450,0)</f>
        <v>0</v>
      </c>
      <c r="Q450" s="5">
        <f t="shared" ref="Q450:Q513" si="80">+IF(P450=0,P450,P450/N450)</f>
        <v>0</v>
      </c>
    </row>
    <row r="451" spans="1:17" x14ac:dyDescent="0.25">
      <c r="A451" s="7">
        <v>46284.708333333336</v>
      </c>
      <c r="B451" s="22">
        <v>40.950000000000003</v>
      </c>
      <c r="C451" s="22">
        <v>0</v>
      </c>
      <c r="D451" s="18">
        <f t="shared" si="77"/>
        <v>40.950000000000003</v>
      </c>
      <c r="E451" s="22">
        <v>78.75</v>
      </c>
      <c r="F451" s="18">
        <f t="shared" ref="F451:F514" si="81">+E451-G451</f>
        <v>13.953160087747762</v>
      </c>
      <c r="G451" s="18">
        <f t="shared" ref="G451:G514" si="82">+E451*Q451</f>
        <v>64.796839912252238</v>
      </c>
      <c r="H451" s="22">
        <v>72.88</v>
      </c>
      <c r="I451" s="18">
        <f t="shared" ref="I451:I514" si="83">+H451-J451</f>
        <v>12.913095964381675</v>
      </c>
      <c r="J451" s="18">
        <f t="shared" ref="J451:J514" si="84">+H451*Q451</f>
        <v>59.96690403561832</v>
      </c>
      <c r="K451" s="22">
        <v>79.487000000000009</v>
      </c>
      <c r="L451" s="18">
        <f t="shared" ref="L451:L514" si="85">+K451-M451</f>
        <v>14.083743947870559</v>
      </c>
      <c r="M451" s="18">
        <f t="shared" ref="M451:M514" si="86">+K451*Q451</f>
        <v>65.40325605212945</v>
      </c>
      <c r="N451" s="15">
        <f t="shared" ref="N451:N514" si="87">+E451+H451+K451</f>
        <v>231.11700000000002</v>
      </c>
      <c r="O451" s="15">
        <f t="shared" si="78"/>
        <v>40.949999999999989</v>
      </c>
      <c r="P451" s="15">
        <f t="shared" si="79"/>
        <v>190.16700000000003</v>
      </c>
      <c r="Q451" s="5">
        <f t="shared" si="80"/>
        <v>0.82281701475875857</v>
      </c>
    </row>
    <row r="452" spans="1:17" x14ac:dyDescent="0.25">
      <c r="A452" s="7">
        <v>46284.75</v>
      </c>
      <c r="B452" s="22">
        <v>6.3</v>
      </c>
      <c r="C452" s="22">
        <v>0</v>
      </c>
      <c r="D452" s="18">
        <f t="shared" si="77"/>
        <v>6.3</v>
      </c>
      <c r="E452" s="22">
        <v>163.80000000000001</v>
      </c>
      <c r="F452" s="18">
        <f t="shared" si="81"/>
        <v>3.8434807870654879</v>
      </c>
      <c r="G452" s="18">
        <f t="shared" si="82"/>
        <v>159.95651921293452</v>
      </c>
      <c r="H452" s="22">
        <v>71.08</v>
      </c>
      <c r="I452" s="18">
        <f t="shared" si="83"/>
        <v>1.6678547884286701</v>
      </c>
      <c r="J452" s="18">
        <f t="shared" si="84"/>
        <v>69.412145211571328</v>
      </c>
      <c r="K452" s="22">
        <v>33.611000000000004</v>
      </c>
      <c r="L452" s="18">
        <f t="shared" si="85"/>
        <v>0.78866442450585339</v>
      </c>
      <c r="M452" s="18">
        <f t="shared" si="86"/>
        <v>32.822335575494151</v>
      </c>
      <c r="N452" s="15">
        <f t="shared" si="87"/>
        <v>268.49099999999999</v>
      </c>
      <c r="O452" s="15">
        <f t="shared" si="78"/>
        <v>6.3000000000000114</v>
      </c>
      <c r="P452" s="15">
        <f t="shared" si="79"/>
        <v>262.19099999999997</v>
      </c>
      <c r="Q452" s="5">
        <f t="shared" si="80"/>
        <v>0.97653552633049145</v>
      </c>
    </row>
    <row r="453" spans="1:17" x14ac:dyDescent="0.25">
      <c r="A453" s="7">
        <v>46284.791666666664</v>
      </c>
      <c r="B453" s="22">
        <v>0</v>
      </c>
      <c r="C453" s="22">
        <v>0</v>
      </c>
      <c r="D453" s="18">
        <f t="shared" si="77"/>
        <v>0</v>
      </c>
      <c r="E453" s="22">
        <v>170.1</v>
      </c>
      <c r="F453" s="18">
        <f t="shared" si="81"/>
        <v>0</v>
      </c>
      <c r="G453" s="18">
        <f t="shared" si="82"/>
        <v>170.1</v>
      </c>
      <c r="H453" s="22">
        <v>54.04</v>
      </c>
      <c r="I453" s="18">
        <f t="shared" si="83"/>
        <v>0</v>
      </c>
      <c r="J453" s="18">
        <f t="shared" si="84"/>
        <v>54.04</v>
      </c>
      <c r="K453" s="22">
        <v>29.350999999999999</v>
      </c>
      <c r="L453" s="18">
        <f t="shared" si="85"/>
        <v>0</v>
      </c>
      <c r="M453" s="18">
        <f t="shared" si="86"/>
        <v>29.350999999999999</v>
      </c>
      <c r="N453" s="15">
        <f t="shared" si="87"/>
        <v>253.49099999999999</v>
      </c>
      <c r="O453" s="15">
        <f t="shared" si="78"/>
        <v>0</v>
      </c>
      <c r="P453" s="15">
        <f t="shared" si="79"/>
        <v>253.49099999999999</v>
      </c>
      <c r="Q453" s="5">
        <f t="shared" si="80"/>
        <v>1</v>
      </c>
    </row>
    <row r="454" spans="1:17" x14ac:dyDescent="0.25">
      <c r="A454" s="7">
        <v>46284.833333333336</v>
      </c>
      <c r="B454" s="22">
        <v>0</v>
      </c>
      <c r="C454" s="22">
        <v>0</v>
      </c>
      <c r="D454" s="18">
        <f t="shared" si="77"/>
        <v>0</v>
      </c>
      <c r="E454" s="22">
        <v>305.55</v>
      </c>
      <c r="F454" s="18">
        <f t="shared" si="81"/>
        <v>0</v>
      </c>
      <c r="G454" s="18">
        <f t="shared" si="82"/>
        <v>305.55</v>
      </c>
      <c r="H454" s="22">
        <v>46.24</v>
      </c>
      <c r="I454" s="18">
        <f t="shared" si="83"/>
        <v>0</v>
      </c>
      <c r="J454" s="18">
        <f t="shared" si="84"/>
        <v>46.24</v>
      </c>
      <c r="K454" s="22">
        <v>19.494999999999997</v>
      </c>
      <c r="L454" s="18">
        <f t="shared" si="85"/>
        <v>0</v>
      </c>
      <c r="M454" s="18">
        <f t="shared" si="86"/>
        <v>19.494999999999997</v>
      </c>
      <c r="N454" s="15">
        <f t="shared" si="87"/>
        <v>371.28500000000003</v>
      </c>
      <c r="O454" s="15">
        <f t="shared" si="78"/>
        <v>0</v>
      </c>
      <c r="P454" s="15">
        <f t="shared" si="79"/>
        <v>371.28500000000003</v>
      </c>
      <c r="Q454" s="5">
        <f t="shared" si="80"/>
        <v>1</v>
      </c>
    </row>
    <row r="455" spans="1:17" x14ac:dyDescent="0.25">
      <c r="A455" s="7">
        <v>46284.875</v>
      </c>
      <c r="B455" s="22">
        <v>0</v>
      </c>
      <c r="C455" s="22">
        <v>0</v>
      </c>
      <c r="D455" s="18">
        <f t="shared" si="77"/>
        <v>0</v>
      </c>
      <c r="E455" s="22">
        <v>434.7</v>
      </c>
      <c r="F455" s="18">
        <f t="shared" si="81"/>
        <v>0</v>
      </c>
      <c r="G455" s="18">
        <f t="shared" si="82"/>
        <v>434.7</v>
      </c>
      <c r="H455" s="22">
        <v>46.24</v>
      </c>
      <c r="I455" s="18">
        <f t="shared" si="83"/>
        <v>0</v>
      </c>
      <c r="J455" s="18">
        <f t="shared" si="84"/>
        <v>46.24</v>
      </c>
      <c r="K455" s="22">
        <v>3.5539999999999998</v>
      </c>
      <c r="L455" s="18">
        <f t="shared" si="85"/>
        <v>0</v>
      </c>
      <c r="M455" s="18">
        <f t="shared" si="86"/>
        <v>3.5539999999999998</v>
      </c>
      <c r="N455" s="15">
        <f t="shared" si="87"/>
        <v>484.49399999999997</v>
      </c>
      <c r="O455" s="15">
        <f t="shared" si="78"/>
        <v>0</v>
      </c>
      <c r="P455" s="15">
        <f t="shared" si="79"/>
        <v>484.49399999999997</v>
      </c>
      <c r="Q455" s="5">
        <f t="shared" si="80"/>
        <v>1</v>
      </c>
    </row>
    <row r="456" spans="1:17" x14ac:dyDescent="0.25">
      <c r="A456" s="7">
        <v>46284.916666666664</v>
      </c>
      <c r="B456" s="22">
        <v>0</v>
      </c>
      <c r="C456" s="22">
        <v>0</v>
      </c>
      <c r="D456" s="18">
        <f t="shared" si="77"/>
        <v>0</v>
      </c>
      <c r="E456" s="22">
        <v>368.55</v>
      </c>
      <c r="F456" s="18">
        <f t="shared" si="81"/>
        <v>0</v>
      </c>
      <c r="G456" s="18">
        <f t="shared" si="82"/>
        <v>368.55</v>
      </c>
      <c r="H456" s="22">
        <v>47.08</v>
      </c>
      <c r="I456" s="18">
        <f t="shared" si="83"/>
        <v>0</v>
      </c>
      <c r="J456" s="18">
        <f t="shared" si="84"/>
        <v>47.08</v>
      </c>
      <c r="K456" s="22">
        <v>3.16</v>
      </c>
      <c r="L456" s="18">
        <f t="shared" si="85"/>
        <v>0</v>
      </c>
      <c r="M456" s="18">
        <f t="shared" si="86"/>
        <v>3.16</v>
      </c>
      <c r="N456" s="15">
        <f t="shared" si="87"/>
        <v>418.79</v>
      </c>
      <c r="O456" s="15">
        <f t="shared" si="78"/>
        <v>0</v>
      </c>
      <c r="P456" s="15">
        <f t="shared" si="79"/>
        <v>418.79</v>
      </c>
      <c r="Q456" s="5">
        <f t="shared" si="80"/>
        <v>1</v>
      </c>
    </row>
    <row r="457" spans="1:17" x14ac:dyDescent="0.25">
      <c r="A457" s="7">
        <v>46284.958333333336</v>
      </c>
      <c r="B457" s="22">
        <v>0</v>
      </c>
      <c r="C457" s="22">
        <v>0</v>
      </c>
      <c r="D457" s="18">
        <f t="shared" si="77"/>
        <v>0</v>
      </c>
      <c r="E457" s="22">
        <v>355.95</v>
      </c>
      <c r="F457" s="18">
        <f t="shared" si="81"/>
        <v>0</v>
      </c>
      <c r="G457" s="18">
        <f t="shared" si="82"/>
        <v>355.95</v>
      </c>
      <c r="H457" s="22">
        <v>45.760000000000005</v>
      </c>
      <c r="I457" s="18">
        <f t="shared" si="83"/>
        <v>0</v>
      </c>
      <c r="J457" s="18">
        <f t="shared" si="84"/>
        <v>45.760000000000005</v>
      </c>
      <c r="K457" s="22">
        <v>3.04</v>
      </c>
      <c r="L457" s="18">
        <f t="shared" si="85"/>
        <v>0</v>
      </c>
      <c r="M457" s="18">
        <f t="shared" si="86"/>
        <v>3.04</v>
      </c>
      <c r="N457" s="15">
        <f t="shared" si="87"/>
        <v>404.75</v>
      </c>
      <c r="O457" s="15">
        <f t="shared" si="78"/>
        <v>0</v>
      </c>
      <c r="P457" s="15">
        <f t="shared" si="79"/>
        <v>404.75</v>
      </c>
      <c r="Q457" s="5">
        <f t="shared" si="80"/>
        <v>1</v>
      </c>
    </row>
    <row r="458" spans="1:17" x14ac:dyDescent="0.25">
      <c r="A458" s="7">
        <v>46285</v>
      </c>
      <c r="B458" s="22">
        <v>0</v>
      </c>
      <c r="C458" s="22">
        <v>0</v>
      </c>
      <c r="D458" s="18">
        <f t="shared" si="77"/>
        <v>0</v>
      </c>
      <c r="E458" s="22">
        <v>327.60000000000002</v>
      </c>
      <c r="F458" s="18">
        <f t="shared" si="81"/>
        <v>0</v>
      </c>
      <c r="G458" s="18">
        <f t="shared" si="82"/>
        <v>327.60000000000002</v>
      </c>
      <c r="H458" s="22">
        <v>45.519999999999996</v>
      </c>
      <c r="I458" s="18">
        <f t="shared" si="83"/>
        <v>0</v>
      </c>
      <c r="J458" s="18">
        <f t="shared" si="84"/>
        <v>45.519999999999996</v>
      </c>
      <c r="K458" s="22">
        <v>3.8800000000000003</v>
      </c>
      <c r="L458" s="18">
        <f t="shared" si="85"/>
        <v>0</v>
      </c>
      <c r="M458" s="18">
        <f t="shared" si="86"/>
        <v>3.8800000000000003</v>
      </c>
      <c r="N458" s="15">
        <f t="shared" si="87"/>
        <v>377</v>
      </c>
      <c r="O458" s="15">
        <f t="shared" si="78"/>
        <v>0</v>
      </c>
      <c r="P458" s="15">
        <f t="shared" si="79"/>
        <v>377</v>
      </c>
      <c r="Q458" s="5">
        <f t="shared" si="80"/>
        <v>1</v>
      </c>
    </row>
    <row r="459" spans="1:17" x14ac:dyDescent="0.25">
      <c r="A459" s="7">
        <v>46285.041666666664</v>
      </c>
      <c r="B459" s="22">
        <v>0</v>
      </c>
      <c r="C459" s="22">
        <v>0</v>
      </c>
      <c r="D459" s="18">
        <f t="shared" si="77"/>
        <v>0</v>
      </c>
      <c r="E459" s="22">
        <v>66.150000000000006</v>
      </c>
      <c r="F459" s="18">
        <f t="shared" si="81"/>
        <v>0</v>
      </c>
      <c r="G459" s="18">
        <f t="shared" si="82"/>
        <v>66.150000000000006</v>
      </c>
      <c r="H459" s="22">
        <v>36.64</v>
      </c>
      <c r="I459" s="18">
        <f t="shared" si="83"/>
        <v>0</v>
      </c>
      <c r="J459" s="18">
        <f t="shared" si="84"/>
        <v>36.64</v>
      </c>
      <c r="K459" s="22">
        <v>3.52</v>
      </c>
      <c r="L459" s="18">
        <f t="shared" si="85"/>
        <v>0</v>
      </c>
      <c r="M459" s="18">
        <f t="shared" si="86"/>
        <v>3.52</v>
      </c>
      <c r="N459" s="15">
        <f t="shared" si="87"/>
        <v>106.31</v>
      </c>
      <c r="O459" s="15">
        <f t="shared" si="78"/>
        <v>0</v>
      </c>
      <c r="P459" s="15">
        <f t="shared" si="79"/>
        <v>106.31</v>
      </c>
      <c r="Q459" s="5">
        <f t="shared" si="80"/>
        <v>1</v>
      </c>
    </row>
    <row r="460" spans="1:17" x14ac:dyDescent="0.25">
      <c r="A460" s="7">
        <v>46285.083333333336</v>
      </c>
      <c r="B460" s="22">
        <v>0</v>
      </c>
      <c r="C460" s="22">
        <v>0</v>
      </c>
      <c r="D460" s="18">
        <f t="shared" si="77"/>
        <v>0</v>
      </c>
      <c r="E460" s="22">
        <v>315</v>
      </c>
      <c r="F460" s="18">
        <f t="shared" si="81"/>
        <v>0</v>
      </c>
      <c r="G460" s="18">
        <f t="shared" si="82"/>
        <v>315</v>
      </c>
      <c r="H460" s="22">
        <v>46.72</v>
      </c>
      <c r="I460" s="18">
        <f t="shared" si="83"/>
        <v>0</v>
      </c>
      <c r="J460" s="18">
        <f t="shared" si="84"/>
        <v>46.72</v>
      </c>
      <c r="K460" s="22">
        <v>3.52</v>
      </c>
      <c r="L460" s="18">
        <f t="shared" si="85"/>
        <v>0</v>
      </c>
      <c r="M460" s="18">
        <f t="shared" si="86"/>
        <v>3.52</v>
      </c>
      <c r="N460" s="15">
        <f t="shared" si="87"/>
        <v>365.24</v>
      </c>
      <c r="O460" s="15">
        <f t="shared" si="78"/>
        <v>0</v>
      </c>
      <c r="P460" s="15">
        <f t="shared" si="79"/>
        <v>365.24</v>
      </c>
      <c r="Q460" s="5">
        <f t="shared" si="80"/>
        <v>1</v>
      </c>
    </row>
    <row r="461" spans="1:17" x14ac:dyDescent="0.25">
      <c r="A461" s="7">
        <v>46285.125</v>
      </c>
      <c r="B461" s="22">
        <v>0</v>
      </c>
      <c r="C461" s="22">
        <v>0</v>
      </c>
      <c r="D461" s="18">
        <f t="shared" si="77"/>
        <v>0</v>
      </c>
      <c r="E461" s="22">
        <v>270.89999999999998</v>
      </c>
      <c r="F461" s="18">
        <f t="shared" si="81"/>
        <v>0</v>
      </c>
      <c r="G461" s="18">
        <f t="shared" si="82"/>
        <v>270.89999999999998</v>
      </c>
      <c r="H461" s="22">
        <v>47.32</v>
      </c>
      <c r="I461" s="18">
        <f t="shared" si="83"/>
        <v>0</v>
      </c>
      <c r="J461" s="18">
        <f t="shared" si="84"/>
        <v>47.32</v>
      </c>
      <c r="K461" s="22">
        <v>3.16</v>
      </c>
      <c r="L461" s="18">
        <f t="shared" si="85"/>
        <v>0</v>
      </c>
      <c r="M461" s="18">
        <f t="shared" si="86"/>
        <v>3.16</v>
      </c>
      <c r="N461" s="15">
        <f t="shared" si="87"/>
        <v>321.38</v>
      </c>
      <c r="O461" s="15">
        <f t="shared" si="78"/>
        <v>0</v>
      </c>
      <c r="P461" s="15">
        <f t="shared" si="79"/>
        <v>321.38</v>
      </c>
      <c r="Q461" s="5">
        <f t="shared" si="80"/>
        <v>1</v>
      </c>
    </row>
    <row r="462" spans="1:17" x14ac:dyDescent="0.25">
      <c r="A462" s="7">
        <v>46285.166666666664</v>
      </c>
      <c r="B462" s="22">
        <v>0</v>
      </c>
      <c r="C462" s="22">
        <v>0</v>
      </c>
      <c r="D462" s="18">
        <f t="shared" si="77"/>
        <v>0</v>
      </c>
      <c r="E462" s="22">
        <v>466.2</v>
      </c>
      <c r="F462" s="18">
        <f t="shared" si="81"/>
        <v>0</v>
      </c>
      <c r="G462" s="18">
        <f t="shared" si="82"/>
        <v>466.2</v>
      </c>
      <c r="H462" s="22">
        <v>48.64</v>
      </c>
      <c r="I462" s="18">
        <f t="shared" si="83"/>
        <v>0</v>
      </c>
      <c r="J462" s="18">
        <f t="shared" si="84"/>
        <v>48.64</v>
      </c>
      <c r="K462" s="22">
        <v>3.28</v>
      </c>
      <c r="L462" s="18">
        <f t="shared" si="85"/>
        <v>0</v>
      </c>
      <c r="M462" s="18">
        <f t="shared" si="86"/>
        <v>3.28</v>
      </c>
      <c r="N462" s="15">
        <f t="shared" si="87"/>
        <v>518.12</v>
      </c>
      <c r="O462" s="15">
        <f t="shared" si="78"/>
        <v>0</v>
      </c>
      <c r="P462" s="15">
        <f t="shared" si="79"/>
        <v>518.12</v>
      </c>
      <c r="Q462" s="5">
        <f t="shared" si="80"/>
        <v>1</v>
      </c>
    </row>
    <row r="463" spans="1:17" x14ac:dyDescent="0.25">
      <c r="A463" s="7">
        <v>46285.208333333336</v>
      </c>
      <c r="B463" s="22">
        <v>0</v>
      </c>
      <c r="C463" s="22">
        <v>0</v>
      </c>
      <c r="D463" s="18">
        <f t="shared" si="77"/>
        <v>0</v>
      </c>
      <c r="E463" s="22">
        <v>463.05</v>
      </c>
      <c r="F463" s="18">
        <f t="shared" si="81"/>
        <v>0</v>
      </c>
      <c r="G463" s="18">
        <f t="shared" si="82"/>
        <v>463.05</v>
      </c>
      <c r="H463" s="22">
        <v>48.76</v>
      </c>
      <c r="I463" s="18">
        <f t="shared" si="83"/>
        <v>0</v>
      </c>
      <c r="J463" s="18">
        <f t="shared" si="84"/>
        <v>48.76</v>
      </c>
      <c r="K463" s="22">
        <v>4</v>
      </c>
      <c r="L463" s="18">
        <f t="shared" si="85"/>
        <v>0</v>
      </c>
      <c r="M463" s="18">
        <f t="shared" si="86"/>
        <v>4</v>
      </c>
      <c r="N463" s="15">
        <f t="shared" si="87"/>
        <v>515.80999999999995</v>
      </c>
      <c r="O463" s="15">
        <f t="shared" si="78"/>
        <v>0</v>
      </c>
      <c r="P463" s="15">
        <f t="shared" si="79"/>
        <v>515.80999999999995</v>
      </c>
      <c r="Q463" s="5">
        <f t="shared" si="80"/>
        <v>1</v>
      </c>
    </row>
    <row r="464" spans="1:17" x14ac:dyDescent="0.25">
      <c r="A464" s="7">
        <v>46285.25</v>
      </c>
      <c r="B464" s="22">
        <v>0</v>
      </c>
      <c r="C464" s="22">
        <v>0</v>
      </c>
      <c r="D464" s="18">
        <f t="shared" si="77"/>
        <v>0</v>
      </c>
      <c r="E464" s="22">
        <v>122.85</v>
      </c>
      <c r="F464" s="18">
        <f t="shared" si="81"/>
        <v>0</v>
      </c>
      <c r="G464" s="18">
        <f t="shared" si="82"/>
        <v>122.85</v>
      </c>
      <c r="H464" s="22">
        <v>33.160000000000004</v>
      </c>
      <c r="I464" s="18">
        <f t="shared" si="83"/>
        <v>0</v>
      </c>
      <c r="J464" s="18">
        <f t="shared" si="84"/>
        <v>33.160000000000004</v>
      </c>
      <c r="K464" s="22">
        <v>9.16</v>
      </c>
      <c r="L464" s="18">
        <f t="shared" si="85"/>
        <v>0</v>
      </c>
      <c r="M464" s="18">
        <f t="shared" si="86"/>
        <v>9.16</v>
      </c>
      <c r="N464" s="15">
        <f t="shared" si="87"/>
        <v>165.17</v>
      </c>
      <c r="O464" s="15">
        <f t="shared" si="78"/>
        <v>0</v>
      </c>
      <c r="P464" s="15">
        <f t="shared" si="79"/>
        <v>165.17</v>
      </c>
      <c r="Q464" s="5">
        <f t="shared" si="80"/>
        <v>1</v>
      </c>
    </row>
    <row r="465" spans="1:17" x14ac:dyDescent="0.25">
      <c r="A465" s="7">
        <v>46285.291666666664</v>
      </c>
      <c r="B465" s="22">
        <v>270.89999999999998</v>
      </c>
      <c r="C465" s="22">
        <v>3</v>
      </c>
      <c r="D465" s="18">
        <f t="shared" si="77"/>
        <v>273.89999999999998</v>
      </c>
      <c r="E465" s="22">
        <v>0</v>
      </c>
      <c r="F465" s="18">
        <f t="shared" si="81"/>
        <v>0</v>
      </c>
      <c r="G465" s="18">
        <f t="shared" si="82"/>
        <v>0</v>
      </c>
      <c r="H465" s="22">
        <v>15.28</v>
      </c>
      <c r="I465" s="18">
        <f t="shared" si="83"/>
        <v>15.28</v>
      </c>
      <c r="J465" s="18">
        <f t="shared" si="84"/>
        <v>0</v>
      </c>
      <c r="K465" s="22">
        <v>10.36</v>
      </c>
      <c r="L465" s="18">
        <f t="shared" si="85"/>
        <v>10.36</v>
      </c>
      <c r="M465" s="18">
        <f t="shared" si="86"/>
        <v>0</v>
      </c>
      <c r="N465" s="15">
        <f t="shared" si="87"/>
        <v>25.64</v>
      </c>
      <c r="O465" s="15">
        <f t="shared" si="78"/>
        <v>25.64</v>
      </c>
      <c r="P465" s="15">
        <f t="shared" si="79"/>
        <v>0</v>
      </c>
      <c r="Q465" s="5">
        <f t="shared" si="80"/>
        <v>0</v>
      </c>
    </row>
    <row r="466" spans="1:17" x14ac:dyDescent="0.25">
      <c r="A466" s="7">
        <v>46285.333333333336</v>
      </c>
      <c r="B466" s="22">
        <v>1174.95</v>
      </c>
      <c r="C466" s="22">
        <v>24.479999999999997</v>
      </c>
      <c r="D466" s="18">
        <f t="shared" si="77"/>
        <v>1199.43</v>
      </c>
      <c r="E466" s="22">
        <v>0</v>
      </c>
      <c r="F466" s="18">
        <f t="shared" si="81"/>
        <v>0</v>
      </c>
      <c r="G466" s="18">
        <f t="shared" si="82"/>
        <v>0</v>
      </c>
      <c r="H466" s="22">
        <v>12.16</v>
      </c>
      <c r="I466" s="18">
        <f t="shared" si="83"/>
        <v>12.16</v>
      </c>
      <c r="J466" s="18">
        <f t="shared" si="84"/>
        <v>0</v>
      </c>
      <c r="K466" s="22">
        <v>14.68</v>
      </c>
      <c r="L466" s="18">
        <f t="shared" si="85"/>
        <v>14.68</v>
      </c>
      <c r="M466" s="18">
        <f t="shared" si="86"/>
        <v>0</v>
      </c>
      <c r="N466" s="15">
        <f t="shared" si="87"/>
        <v>26.84</v>
      </c>
      <c r="O466" s="15">
        <f t="shared" si="78"/>
        <v>26.84</v>
      </c>
      <c r="P466" s="15">
        <f t="shared" si="79"/>
        <v>0</v>
      </c>
      <c r="Q466" s="5">
        <f t="shared" si="80"/>
        <v>0</v>
      </c>
    </row>
    <row r="467" spans="1:17" x14ac:dyDescent="0.25">
      <c r="A467" s="7">
        <v>46285.375</v>
      </c>
      <c r="B467" s="22">
        <v>1908.9</v>
      </c>
      <c r="C467" s="22">
        <v>85.2</v>
      </c>
      <c r="D467" s="18">
        <f t="shared" si="77"/>
        <v>1994.1000000000001</v>
      </c>
      <c r="E467" s="22">
        <v>0</v>
      </c>
      <c r="F467" s="18">
        <f t="shared" si="81"/>
        <v>0</v>
      </c>
      <c r="G467" s="18">
        <f t="shared" si="82"/>
        <v>0</v>
      </c>
      <c r="H467" s="22">
        <v>1.1199999999999999</v>
      </c>
      <c r="I467" s="18">
        <f t="shared" si="83"/>
        <v>1.1199999999999999</v>
      </c>
      <c r="J467" s="18">
        <f t="shared" si="84"/>
        <v>0</v>
      </c>
      <c r="K467" s="22">
        <v>36.880000000000003</v>
      </c>
      <c r="L467" s="18">
        <f t="shared" si="85"/>
        <v>36.880000000000003</v>
      </c>
      <c r="M467" s="18">
        <f t="shared" si="86"/>
        <v>0</v>
      </c>
      <c r="N467" s="15">
        <f t="shared" si="87"/>
        <v>38</v>
      </c>
      <c r="O467" s="15">
        <f t="shared" si="78"/>
        <v>38</v>
      </c>
      <c r="P467" s="15">
        <f t="shared" si="79"/>
        <v>0</v>
      </c>
      <c r="Q467" s="5">
        <f t="shared" si="80"/>
        <v>0</v>
      </c>
    </row>
    <row r="468" spans="1:17" x14ac:dyDescent="0.25">
      <c r="A468" s="7">
        <v>46285.416666666664</v>
      </c>
      <c r="B468" s="22">
        <v>2255.3999999999996</v>
      </c>
      <c r="C468" s="22">
        <v>84.12</v>
      </c>
      <c r="D468" s="18">
        <f t="shared" si="77"/>
        <v>2339.5199999999995</v>
      </c>
      <c r="E468" s="22">
        <v>0</v>
      </c>
      <c r="F468" s="18">
        <f t="shared" si="81"/>
        <v>0</v>
      </c>
      <c r="G468" s="18">
        <f t="shared" si="82"/>
        <v>0</v>
      </c>
      <c r="H468" s="22">
        <v>1.6</v>
      </c>
      <c r="I468" s="18">
        <f t="shared" si="83"/>
        <v>1.6</v>
      </c>
      <c r="J468" s="18">
        <f t="shared" si="84"/>
        <v>0</v>
      </c>
      <c r="K468" s="22">
        <v>30.4</v>
      </c>
      <c r="L468" s="18">
        <f t="shared" si="85"/>
        <v>30.4</v>
      </c>
      <c r="M468" s="18">
        <f t="shared" si="86"/>
        <v>0</v>
      </c>
      <c r="N468" s="15">
        <f t="shared" si="87"/>
        <v>32</v>
      </c>
      <c r="O468" s="15">
        <f t="shared" si="78"/>
        <v>32</v>
      </c>
      <c r="P468" s="15">
        <f t="shared" si="79"/>
        <v>0</v>
      </c>
      <c r="Q468" s="5">
        <f t="shared" si="80"/>
        <v>0</v>
      </c>
    </row>
    <row r="469" spans="1:17" x14ac:dyDescent="0.25">
      <c r="A469" s="7">
        <v>46285.458333333336</v>
      </c>
      <c r="B469" s="22">
        <v>1395.45</v>
      </c>
      <c r="C469" s="22">
        <v>44.28</v>
      </c>
      <c r="D469" s="18">
        <f t="shared" si="77"/>
        <v>1439.73</v>
      </c>
      <c r="E469" s="22">
        <v>0</v>
      </c>
      <c r="F469" s="18">
        <f t="shared" si="81"/>
        <v>0</v>
      </c>
      <c r="G469" s="18">
        <f t="shared" si="82"/>
        <v>0</v>
      </c>
      <c r="H469" s="22">
        <v>18.52</v>
      </c>
      <c r="I469" s="18">
        <f t="shared" si="83"/>
        <v>18.52</v>
      </c>
      <c r="J469" s="18">
        <f t="shared" si="84"/>
        <v>0</v>
      </c>
      <c r="K469" s="22">
        <v>37.36</v>
      </c>
      <c r="L469" s="18">
        <f t="shared" si="85"/>
        <v>37.36</v>
      </c>
      <c r="M469" s="18">
        <f t="shared" si="86"/>
        <v>0</v>
      </c>
      <c r="N469" s="15">
        <f t="shared" si="87"/>
        <v>55.879999999999995</v>
      </c>
      <c r="O469" s="15">
        <f t="shared" si="78"/>
        <v>55.879999999999995</v>
      </c>
      <c r="P469" s="15">
        <f t="shared" si="79"/>
        <v>0</v>
      </c>
      <c r="Q469" s="5">
        <f t="shared" si="80"/>
        <v>0</v>
      </c>
    </row>
    <row r="470" spans="1:17" x14ac:dyDescent="0.25">
      <c r="A470" s="7">
        <v>46285.5</v>
      </c>
      <c r="B470" s="22">
        <v>2245.9500000000003</v>
      </c>
      <c r="C470" s="22">
        <v>104.4</v>
      </c>
      <c r="D470" s="18">
        <f t="shared" si="77"/>
        <v>2350.3500000000004</v>
      </c>
      <c r="E470" s="22">
        <v>0</v>
      </c>
      <c r="F470" s="18">
        <f t="shared" si="81"/>
        <v>0</v>
      </c>
      <c r="G470" s="18">
        <f t="shared" si="82"/>
        <v>0</v>
      </c>
      <c r="H470" s="22">
        <v>3.4</v>
      </c>
      <c r="I470" s="18">
        <f t="shared" si="83"/>
        <v>3.4</v>
      </c>
      <c r="J470" s="18">
        <f t="shared" si="84"/>
        <v>0</v>
      </c>
      <c r="K470" s="22">
        <v>40.480000000000004</v>
      </c>
      <c r="L470" s="18">
        <f t="shared" si="85"/>
        <v>40.480000000000004</v>
      </c>
      <c r="M470" s="18">
        <f t="shared" si="86"/>
        <v>0</v>
      </c>
      <c r="N470" s="15">
        <f t="shared" si="87"/>
        <v>43.88</v>
      </c>
      <c r="O470" s="15">
        <f t="shared" si="78"/>
        <v>43.88</v>
      </c>
      <c r="P470" s="15">
        <f t="shared" si="79"/>
        <v>0</v>
      </c>
      <c r="Q470" s="5">
        <f t="shared" si="80"/>
        <v>0</v>
      </c>
    </row>
    <row r="471" spans="1:17" x14ac:dyDescent="0.25">
      <c r="A471" s="7">
        <v>46285.541666666664</v>
      </c>
      <c r="B471" s="22">
        <v>2803.5</v>
      </c>
      <c r="C471" s="22">
        <v>133.56</v>
      </c>
      <c r="D471" s="18">
        <f t="shared" si="77"/>
        <v>2937.06</v>
      </c>
      <c r="E471" s="22">
        <v>0</v>
      </c>
      <c r="F471" s="18">
        <f t="shared" si="81"/>
        <v>0</v>
      </c>
      <c r="G471" s="18">
        <f t="shared" si="82"/>
        <v>0</v>
      </c>
      <c r="H471" s="22">
        <v>1.24</v>
      </c>
      <c r="I471" s="18">
        <f t="shared" si="83"/>
        <v>1.24</v>
      </c>
      <c r="J471" s="18">
        <f t="shared" si="84"/>
        <v>0</v>
      </c>
      <c r="K471" s="22">
        <v>17.32</v>
      </c>
      <c r="L471" s="18">
        <f t="shared" si="85"/>
        <v>17.32</v>
      </c>
      <c r="M471" s="18">
        <f t="shared" si="86"/>
        <v>0</v>
      </c>
      <c r="N471" s="15">
        <f t="shared" si="87"/>
        <v>18.559999999999999</v>
      </c>
      <c r="O471" s="15">
        <f t="shared" si="78"/>
        <v>18.559999999999999</v>
      </c>
      <c r="P471" s="15">
        <f t="shared" si="79"/>
        <v>0</v>
      </c>
      <c r="Q471" s="5">
        <f t="shared" si="80"/>
        <v>0</v>
      </c>
    </row>
    <row r="472" spans="1:17" x14ac:dyDescent="0.25">
      <c r="A472" s="7">
        <v>46285.583333333336</v>
      </c>
      <c r="B472" s="22">
        <v>1663.2</v>
      </c>
      <c r="C472" s="22">
        <v>53.64</v>
      </c>
      <c r="D472" s="18">
        <f t="shared" si="77"/>
        <v>1716.8400000000001</v>
      </c>
      <c r="E472" s="22">
        <v>0</v>
      </c>
      <c r="F472" s="18">
        <f t="shared" si="81"/>
        <v>0</v>
      </c>
      <c r="G472" s="18">
        <f t="shared" si="82"/>
        <v>0</v>
      </c>
      <c r="H472" s="22">
        <v>5.44</v>
      </c>
      <c r="I472" s="18">
        <f t="shared" si="83"/>
        <v>5.44</v>
      </c>
      <c r="J472" s="18">
        <f t="shared" si="84"/>
        <v>0</v>
      </c>
      <c r="K472" s="22">
        <v>26.32</v>
      </c>
      <c r="L472" s="18">
        <f t="shared" si="85"/>
        <v>26.32</v>
      </c>
      <c r="M472" s="18">
        <f t="shared" si="86"/>
        <v>0</v>
      </c>
      <c r="N472" s="15">
        <f t="shared" si="87"/>
        <v>31.76</v>
      </c>
      <c r="O472" s="15">
        <f t="shared" si="78"/>
        <v>31.76</v>
      </c>
      <c r="P472" s="15">
        <f t="shared" si="79"/>
        <v>0</v>
      </c>
      <c r="Q472" s="5">
        <f t="shared" si="80"/>
        <v>0</v>
      </c>
    </row>
    <row r="473" spans="1:17" x14ac:dyDescent="0.25">
      <c r="A473" s="7">
        <v>46285.625</v>
      </c>
      <c r="B473" s="22">
        <v>1505.7</v>
      </c>
      <c r="C473" s="22">
        <v>32.64</v>
      </c>
      <c r="D473" s="18">
        <f t="shared" si="77"/>
        <v>1538.3400000000001</v>
      </c>
      <c r="E473" s="22">
        <v>0</v>
      </c>
      <c r="F473" s="18">
        <f t="shared" si="81"/>
        <v>0</v>
      </c>
      <c r="G473" s="18">
        <f t="shared" si="82"/>
        <v>0</v>
      </c>
      <c r="H473" s="22">
        <v>8.9200000000000017</v>
      </c>
      <c r="I473" s="18">
        <f t="shared" si="83"/>
        <v>8.9200000000000017</v>
      </c>
      <c r="J473" s="18">
        <f t="shared" si="84"/>
        <v>0</v>
      </c>
      <c r="K473" s="22">
        <v>21.28</v>
      </c>
      <c r="L473" s="18">
        <f t="shared" si="85"/>
        <v>21.28</v>
      </c>
      <c r="M473" s="18">
        <f t="shared" si="86"/>
        <v>0</v>
      </c>
      <c r="N473" s="15">
        <f t="shared" si="87"/>
        <v>30.200000000000003</v>
      </c>
      <c r="O473" s="15">
        <f t="shared" si="78"/>
        <v>30.200000000000003</v>
      </c>
      <c r="P473" s="15">
        <f t="shared" si="79"/>
        <v>0</v>
      </c>
      <c r="Q473" s="5">
        <f t="shared" si="80"/>
        <v>0</v>
      </c>
    </row>
    <row r="474" spans="1:17" x14ac:dyDescent="0.25">
      <c r="A474" s="7">
        <v>46285.666666666664</v>
      </c>
      <c r="B474" s="22">
        <v>1193.8500000000001</v>
      </c>
      <c r="C474" s="22">
        <v>35.64</v>
      </c>
      <c r="D474" s="18">
        <f t="shared" si="77"/>
        <v>1229.4900000000002</v>
      </c>
      <c r="E474" s="22">
        <v>0</v>
      </c>
      <c r="F474" s="18">
        <f t="shared" si="81"/>
        <v>0</v>
      </c>
      <c r="G474" s="18">
        <f t="shared" si="82"/>
        <v>0</v>
      </c>
      <c r="H474" s="22">
        <v>6.04</v>
      </c>
      <c r="I474" s="18">
        <f t="shared" si="83"/>
        <v>6.04</v>
      </c>
      <c r="J474" s="18">
        <f t="shared" si="84"/>
        <v>0</v>
      </c>
      <c r="K474" s="22">
        <v>15.520000000000001</v>
      </c>
      <c r="L474" s="18">
        <f t="shared" si="85"/>
        <v>15.520000000000001</v>
      </c>
      <c r="M474" s="18">
        <f t="shared" si="86"/>
        <v>0</v>
      </c>
      <c r="N474" s="15">
        <f t="shared" si="87"/>
        <v>21.560000000000002</v>
      </c>
      <c r="O474" s="15">
        <f t="shared" si="78"/>
        <v>21.560000000000002</v>
      </c>
      <c r="P474" s="15">
        <f t="shared" si="79"/>
        <v>0</v>
      </c>
      <c r="Q474" s="5">
        <f t="shared" si="80"/>
        <v>0</v>
      </c>
    </row>
    <row r="475" spans="1:17" x14ac:dyDescent="0.25">
      <c r="A475" s="7">
        <v>46285.708333333336</v>
      </c>
      <c r="B475" s="22">
        <v>135.44999999999999</v>
      </c>
      <c r="C475" s="22">
        <v>0</v>
      </c>
      <c r="D475" s="18">
        <f t="shared" si="77"/>
        <v>135.44999999999999</v>
      </c>
      <c r="E475" s="22">
        <v>3.15</v>
      </c>
      <c r="F475" s="18">
        <f t="shared" si="81"/>
        <v>3.15</v>
      </c>
      <c r="G475" s="18">
        <f t="shared" si="82"/>
        <v>0</v>
      </c>
      <c r="H475" s="22">
        <v>45.879999999999995</v>
      </c>
      <c r="I475" s="18">
        <f t="shared" si="83"/>
        <v>45.879999999999995</v>
      </c>
      <c r="J475" s="18">
        <f t="shared" si="84"/>
        <v>0</v>
      </c>
      <c r="K475" s="22">
        <v>16.331</v>
      </c>
      <c r="L475" s="18">
        <f t="shared" si="85"/>
        <v>16.331</v>
      </c>
      <c r="M475" s="18">
        <f t="shared" si="86"/>
        <v>0</v>
      </c>
      <c r="N475" s="15">
        <f t="shared" si="87"/>
        <v>65.36099999999999</v>
      </c>
      <c r="O475" s="15">
        <f t="shared" si="78"/>
        <v>65.36099999999999</v>
      </c>
      <c r="P475" s="15">
        <f t="shared" si="79"/>
        <v>0</v>
      </c>
      <c r="Q475" s="5">
        <f t="shared" si="80"/>
        <v>0</v>
      </c>
    </row>
    <row r="476" spans="1:17" x14ac:dyDescent="0.25">
      <c r="A476" s="7">
        <v>46285.75</v>
      </c>
      <c r="B476" s="22">
        <v>0</v>
      </c>
      <c r="C476" s="22">
        <v>0</v>
      </c>
      <c r="D476" s="18">
        <f t="shared" si="77"/>
        <v>0</v>
      </c>
      <c r="E476" s="22">
        <v>94.5</v>
      </c>
      <c r="F476" s="18">
        <f t="shared" si="81"/>
        <v>0</v>
      </c>
      <c r="G476" s="18">
        <f t="shared" si="82"/>
        <v>94.5</v>
      </c>
      <c r="H476" s="22">
        <v>46.96</v>
      </c>
      <c r="I476" s="18">
        <f t="shared" si="83"/>
        <v>0</v>
      </c>
      <c r="J476" s="18">
        <f t="shared" si="84"/>
        <v>46.96</v>
      </c>
      <c r="K476" s="22">
        <v>25.701000000000001</v>
      </c>
      <c r="L476" s="18">
        <f t="shared" si="85"/>
        <v>0</v>
      </c>
      <c r="M476" s="18">
        <f t="shared" si="86"/>
        <v>25.701000000000001</v>
      </c>
      <c r="N476" s="15">
        <f t="shared" si="87"/>
        <v>167.161</v>
      </c>
      <c r="O476" s="15">
        <f t="shared" si="78"/>
        <v>0</v>
      </c>
      <c r="P476" s="15">
        <f t="shared" si="79"/>
        <v>167.161</v>
      </c>
      <c r="Q476" s="5">
        <f t="shared" si="80"/>
        <v>1</v>
      </c>
    </row>
    <row r="477" spans="1:17" x14ac:dyDescent="0.25">
      <c r="A477" s="7">
        <v>46285.791666666664</v>
      </c>
      <c r="B477" s="22">
        <v>0</v>
      </c>
      <c r="C477" s="22">
        <v>0</v>
      </c>
      <c r="D477" s="18">
        <f t="shared" si="77"/>
        <v>0</v>
      </c>
      <c r="E477" s="22">
        <v>59.85</v>
      </c>
      <c r="F477" s="18">
        <f t="shared" si="81"/>
        <v>0</v>
      </c>
      <c r="G477" s="18">
        <f t="shared" si="82"/>
        <v>59.85</v>
      </c>
      <c r="H477" s="22">
        <v>38.559999999999995</v>
      </c>
      <c r="I477" s="18">
        <f t="shared" si="83"/>
        <v>0</v>
      </c>
      <c r="J477" s="18">
        <f t="shared" si="84"/>
        <v>38.559999999999995</v>
      </c>
      <c r="K477" s="22">
        <v>10.003</v>
      </c>
      <c r="L477" s="18">
        <f t="shared" si="85"/>
        <v>0</v>
      </c>
      <c r="M477" s="18">
        <f t="shared" si="86"/>
        <v>10.003</v>
      </c>
      <c r="N477" s="15">
        <f t="shared" si="87"/>
        <v>108.413</v>
      </c>
      <c r="O477" s="15">
        <f t="shared" si="78"/>
        <v>0</v>
      </c>
      <c r="P477" s="15">
        <f t="shared" si="79"/>
        <v>108.413</v>
      </c>
      <c r="Q477" s="5">
        <f t="shared" si="80"/>
        <v>1</v>
      </c>
    </row>
    <row r="478" spans="1:17" x14ac:dyDescent="0.25">
      <c r="A478" s="7">
        <v>46285.833333333336</v>
      </c>
      <c r="B478" s="22">
        <v>0</v>
      </c>
      <c r="C478" s="22">
        <v>0</v>
      </c>
      <c r="D478" s="18">
        <f t="shared" si="77"/>
        <v>0</v>
      </c>
      <c r="E478" s="22">
        <v>283.5</v>
      </c>
      <c r="F478" s="18">
        <f t="shared" si="81"/>
        <v>0</v>
      </c>
      <c r="G478" s="18">
        <f t="shared" si="82"/>
        <v>283.5</v>
      </c>
      <c r="H478" s="22">
        <v>35.56</v>
      </c>
      <c r="I478" s="18">
        <f t="shared" si="83"/>
        <v>0</v>
      </c>
      <c r="J478" s="18">
        <f t="shared" si="84"/>
        <v>35.56</v>
      </c>
      <c r="K478" s="22">
        <v>4.649</v>
      </c>
      <c r="L478" s="18">
        <f t="shared" si="85"/>
        <v>0</v>
      </c>
      <c r="M478" s="18">
        <f t="shared" si="86"/>
        <v>4.649</v>
      </c>
      <c r="N478" s="15">
        <f t="shared" si="87"/>
        <v>323.709</v>
      </c>
      <c r="O478" s="15">
        <f t="shared" si="78"/>
        <v>0</v>
      </c>
      <c r="P478" s="15">
        <f t="shared" si="79"/>
        <v>323.709</v>
      </c>
      <c r="Q478" s="5">
        <f t="shared" si="80"/>
        <v>1</v>
      </c>
    </row>
    <row r="479" spans="1:17" x14ac:dyDescent="0.25">
      <c r="A479" s="7">
        <v>46285.875</v>
      </c>
      <c r="B479" s="22">
        <v>0</v>
      </c>
      <c r="C479" s="22">
        <v>0</v>
      </c>
      <c r="D479" s="18">
        <f t="shared" si="77"/>
        <v>0</v>
      </c>
      <c r="E479" s="22">
        <v>50.4</v>
      </c>
      <c r="F479" s="18">
        <f t="shared" si="81"/>
        <v>0</v>
      </c>
      <c r="G479" s="18">
        <f t="shared" si="82"/>
        <v>50.4</v>
      </c>
      <c r="H479" s="22">
        <v>35.680000000000007</v>
      </c>
      <c r="I479" s="18">
        <f t="shared" si="83"/>
        <v>0</v>
      </c>
      <c r="J479" s="18">
        <f t="shared" si="84"/>
        <v>35.680000000000007</v>
      </c>
      <c r="K479" s="22">
        <v>3.0669999999999997</v>
      </c>
      <c r="L479" s="18">
        <f t="shared" si="85"/>
        <v>0</v>
      </c>
      <c r="M479" s="18">
        <f t="shared" si="86"/>
        <v>3.0669999999999997</v>
      </c>
      <c r="N479" s="15">
        <f t="shared" si="87"/>
        <v>89.147000000000006</v>
      </c>
      <c r="O479" s="15">
        <f t="shared" si="78"/>
        <v>0</v>
      </c>
      <c r="P479" s="15">
        <f t="shared" si="79"/>
        <v>89.147000000000006</v>
      </c>
      <c r="Q479" s="5">
        <f t="shared" si="80"/>
        <v>1</v>
      </c>
    </row>
    <row r="480" spans="1:17" x14ac:dyDescent="0.25">
      <c r="A480" s="7">
        <v>46285.916666666664</v>
      </c>
      <c r="B480" s="22">
        <v>0</v>
      </c>
      <c r="C480" s="22">
        <v>0</v>
      </c>
      <c r="D480" s="18">
        <f t="shared" si="77"/>
        <v>0</v>
      </c>
      <c r="E480" s="22">
        <v>50.4</v>
      </c>
      <c r="F480" s="18">
        <f t="shared" si="81"/>
        <v>0</v>
      </c>
      <c r="G480" s="18">
        <f t="shared" si="82"/>
        <v>50.4</v>
      </c>
      <c r="H480" s="22">
        <v>33.160000000000004</v>
      </c>
      <c r="I480" s="18">
        <f t="shared" si="83"/>
        <v>0</v>
      </c>
      <c r="J480" s="18">
        <f t="shared" si="84"/>
        <v>33.160000000000004</v>
      </c>
      <c r="K480" s="22">
        <v>4.12</v>
      </c>
      <c r="L480" s="18">
        <f t="shared" si="85"/>
        <v>0</v>
      </c>
      <c r="M480" s="18">
        <f t="shared" si="86"/>
        <v>4.12</v>
      </c>
      <c r="N480" s="15">
        <f t="shared" si="87"/>
        <v>87.68</v>
      </c>
      <c r="O480" s="15">
        <f t="shared" si="78"/>
        <v>0</v>
      </c>
      <c r="P480" s="15">
        <f t="shared" si="79"/>
        <v>87.68</v>
      </c>
      <c r="Q480" s="5">
        <f t="shared" si="80"/>
        <v>1</v>
      </c>
    </row>
    <row r="481" spans="1:17" x14ac:dyDescent="0.25">
      <c r="A481" s="7">
        <v>46285.958333333336</v>
      </c>
      <c r="B481" s="22">
        <v>0</v>
      </c>
      <c r="C481" s="22">
        <v>0</v>
      </c>
      <c r="D481" s="18">
        <f t="shared" si="77"/>
        <v>0</v>
      </c>
      <c r="E481" s="22">
        <v>47.25</v>
      </c>
      <c r="F481" s="18">
        <f t="shared" si="81"/>
        <v>0</v>
      </c>
      <c r="G481" s="18">
        <f t="shared" si="82"/>
        <v>47.25</v>
      </c>
      <c r="H481" s="22">
        <v>36.4</v>
      </c>
      <c r="I481" s="18">
        <f t="shared" si="83"/>
        <v>0</v>
      </c>
      <c r="J481" s="18">
        <f t="shared" si="84"/>
        <v>36.4</v>
      </c>
      <c r="K481" s="22">
        <v>2.92</v>
      </c>
      <c r="L481" s="18">
        <f t="shared" si="85"/>
        <v>0</v>
      </c>
      <c r="M481" s="18">
        <f t="shared" si="86"/>
        <v>2.92</v>
      </c>
      <c r="N481" s="15">
        <f t="shared" si="87"/>
        <v>86.570000000000007</v>
      </c>
      <c r="O481" s="15">
        <f t="shared" si="78"/>
        <v>0</v>
      </c>
      <c r="P481" s="15">
        <f t="shared" si="79"/>
        <v>86.570000000000007</v>
      </c>
      <c r="Q481" s="5">
        <f t="shared" si="80"/>
        <v>1</v>
      </c>
    </row>
    <row r="482" spans="1:17" x14ac:dyDescent="0.25">
      <c r="A482" s="7">
        <v>46286</v>
      </c>
      <c r="B482" s="22">
        <v>0</v>
      </c>
      <c r="C482" s="22">
        <v>0</v>
      </c>
      <c r="D482" s="18">
        <f t="shared" si="77"/>
        <v>0</v>
      </c>
      <c r="E482" s="22">
        <v>47.25</v>
      </c>
      <c r="F482" s="18">
        <f t="shared" si="81"/>
        <v>0</v>
      </c>
      <c r="G482" s="18">
        <f t="shared" si="82"/>
        <v>47.25</v>
      </c>
      <c r="H482" s="22">
        <v>36.4</v>
      </c>
      <c r="I482" s="18">
        <f t="shared" si="83"/>
        <v>0</v>
      </c>
      <c r="J482" s="18">
        <f t="shared" si="84"/>
        <v>36.4</v>
      </c>
      <c r="K482" s="22">
        <v>2.92</v>
      </c>
      <c r="L482" s="18">
        <f t="shared" si="85"/>
        <v>0</v>
      </c>
      <c r="M482" s="18">
        <f t="shared" si="86"/>
        <v>2.92</v>
      </c>
      <c r="N482" s="15">
        <f t="shared" si="87"/>
        <v>86.570000000000007</v>
      </c>
      <c r="O482" s="15">
        <f t="shared" si="78"/>
        <v>0</v>
      </c>
      <c r="P482" s="15">
        <f t="shared" si="79"/>
        <v>86.570000000000007</v>
      </c>
      <c r="Q482" s="5">
        <f t="shared" si="80"/>
        <v>1</v>
      </c>
    </row>
    <row r="483" spans="1:17" x14ac:dyDescent="0.25">
      <c r="A483" s="7">
        <v>46286.041666666664</v>
      </c>
      <c r="B483" s="22">
        <v>0</v>
      </c>
      <c r="C483" s="22">
        <v>0</v>
      </c>
      <c r="D483" s="18">
        <f t="shared" si="77"/>
        <v>0</v>
      </c>
      <c r="E483" s="22">
        <v>50.4</v>
      </c>
      <c r="F483" s="18">
        <f t="shared" si="81"/>
        <v>0</v>
      </c>
      <c r="G483" s="18">
        <f t="shared" si="82"/>
        <v>50.4</v>
      </c>
      <c r="H483" s="22">
        <v>32.68</v>
      </c>
      <c r="I483" s="18">
        <f t="shared" si="83"/>
        <v>0</v>
      </c>
      <c r="J483" s="18">
        <f t="shared" si="84"/>
        <v>32.68</v>
      </c>
      <c r="K483" s="22">
        <v>3.16</v>
      </c>
      <c r="L483" s="18">
        <f t="shared" si="85"/>
        <v>0</v>
      </c>
      <c r="M483" s="18">
        <f t="shared" si="86"/>
        <v>3.16</v>
      </c>
      <c r="N483" s="15">
        <f t="shared" si="87"/>
        <v>86.24</v>
      </c>
      <c r="O483" s="15">
        <f t="shared" si="78"/>
        <v>0</v>
      </c>
      <c r="P483" s="15">
        <f t="shared" si="79"/>
        <v>86.24</v>
      </c>
      <c r="Q483" s="5">
        <f t="shared" si="80"/>
        <v>1</v>
      </c>
    </row>
    <row r="484" spans="1:17" x14ac:dyDescent="0.25">
      <c r="A484" s="7">
        <v>46286.083333333336</v>
      </c>
      <c r="B484" s="22">
        <v>0</v>
      </c>
      <c r="C484" s="22">
        <v>0</v>
      </c>
      <c r="D484" s="18">
        <f t="shared" si="77"/>
        <v>0</v>
      </c>
      <c r="E484" s="22">
        <v>66.150000000000006</v>
      </c>
      <c r="F484" s="18">
        <f t="shared" si="81"/>
        <v>0</v>
      </c>
      <c r="G484" s="18">
        <f t="shared" si="82"/>
        <v>66.150000000000006</v>
      </c>
      <c r="H484" s="22">
        <v>37.119999999999997</v>
      </c>
      <c r="I484" s="18">
        <f t="shared" si="83"/>
        <v>0</v>
      </c>
      <c r="J484" s="18">
        <f t="shared" si="84"/>
        <v>37.119999999999997</v>
      </c>
      <c r="K484" s="22">
        <v>2.92</v>
      </c>
      <c r="L484" s="18">
        <f t="shared" si="85"/>
        <v>0</v>
      </c>
      <c r="M484" s="18">
        <f t="shared" si="86"/>
        <v>2.92</v>
      </c>
      <c r="N484" s="15">
        <f t="shared" si="87"/>
        <v>106.19000000000001</v>
      </c>
      <c r="O484" s="15">
        <f t="shared" si="78"/>
        <v>0</v>
      </c>
      <c r="P484" s="15">
        <f t="shared" si="79"/>
        <v>106.19000000000001</v>
      </c>
      <c r="Q484" s="5">
        <f t="shared" si="80"/>
        <v>1</v>
      </c>
    </row>
    <row r="485" spans="1:17" x14ac:dyDescent="0.25">
      <c r="A485" s="7">
        <v>46286.125</v>
      </c>
      <c r="B485" s="22">
        <v>0</v>
      </c>
      <c r="C485" s="22">
        <v>0</v>
      </c>
      <c r="D485" s="18">
        <f t="shared" si="77"/>
        <v>0</v>
      </c>
      <c r="E485" s="22">
        <v>72.45</v>
      </c>
      <c r="F485" s="18">
        <f t="shared" si="81"/>
        <v>0</v>
      </c>
      <c r="G485" s="18">
        <f t="shared" si="82"/>
        <v>72.45</v>
      </c>
      <c r="H485" s="22">
        <v>37.72</v>
      </c>
      <c r="I485" s="18">
        <f t="shared" si="83"/>
        <v>0</v>
      </c>
      <c r="J485" s="18">
        <f t="shared" si="84"/>
        <v>37.72</v>
      </c>
      <c r="K485" s="22">
        <v>2.92</v>
      </c>
      <c r="L485" s="18">
        <f t="shared" si="85"/>
        <v>0</v>
      </c>
      <c r="M485" s="18">
        <f t="shared" si="86"/>
        <v>2.92</v>
      </c>
      <c r="N485" s="15">
        <f t="shared" si="87"/>
        <v>113.09</v>
      </c>
      <c r="O485" s="15">
        <f t="shared" si="78"/>
        <v>0</v>
      </c>
      <c r="P485" s="15">
        <f t="shared" si="79"/>
        <v>113.09</v>
      </c>
      <c r="Q485" s="5">
        <f t="shared" si="80"/>
        <v>1</v>
      </c>
    </row>
    <row r="486" spans="1:17" x14ac:dyDescent="0.25">
      <c r="A486" s="7">
        <v>46286.166666666664</v>
      </c>
      <c r="B486" s="22">
        <v>0</v>
      </c>
      <c r="C486" s="22">
        <v>0</v>
      </c>
      <c r="D486" s="18">
        <f t="shared" si="77"/>
        <v>0</v>
      </c>
      <c r="E486" s="22">
        <v>72.45</v>
      </c>
      <c r="F486" s="18">
        <f t="shared" si="81"/>
        <v>0</v>
      </c>
      <c r="G486" s="18">
        <f t="shared" si="82"/>
        <v>72.45</v>
      </c>
      <c r="H486" s="22">
        <v>34</v>
      </c>
      <c r="I486" s="18">
        <f t="shared" si="83"/>
        <v>0</v>
      </c>
      <c r="J486" s="18">
        <f t="shared" si="84"/>
        <v>34</v>
      </c>
      <c r="K486" s="22">
        <v>2.92</v>
      </c>
      <c r="L486" s="18">
        <f t="shared" si="85"/>
        <v>0</v>
      </c>
      <c r="M486" s="18">
        <f t="shared" si="86"/>
        <v>2.92</v>
      </c>
      <c r="N486" s="15">
        <f t="shared" si="87"/>
        <v>109.37</v>
      </c>
      <c r="O486" s="15">
        <f t="shared" si="78"/>
        <v>0</v>
      </c>
      <c r="P486" s="15">
        <f t="shared" si="79"/>
        <v>109.37</v>
      </c>
      <c r="Q486" s="5">
        <f t="shared" si="80"/>
        <v>1</v>
      </c>
    </row>
    <row r="487" spans="1:17" x14ac:dyDescent="0.25">
      <c r="A487" s="7">
        <v>46286.208333333336</v>
      </c>
      <c r="B487" s="22">
        <v>0</v>
      </c>
      <c r="C487" s="22">
        <v>0</v>
      </c>
      <c r="D487" s="18">
        <f t="shared" si="77"/>
        <v>0</v>
      </c>
      <c r="E487" s="22">
        <v>75.599999999999994</v>
      </c>
      <c r="F487" s="18">
        <f t="shared" si="81"/>
        <v>0</v>
      </c>
      <c r="G487" s="18">
        <f t="shared" si="82"/>
        <v>75.599999999999994</v>
      </c>
      <c r="H487" s="22">
        <v>40.120000000000005</v>
      </c>
      <c r="I487" s="18">
        <f t="shared" si="83"/>
        <v>0</v>
      </c>
      <c r="J487" s="18">
        <f t="shared" si="84"/>
        <v>40.120000000000005</v>
      </c>
      <c r="K487" s="22">
        <v>3.04</v>
      </c>
      <c r="L487" s="18">
        <f t="shared" si="85"/>
        <v>0</v>
      </c>
      <c r="M487" s="18">
        <f t="shared" si="86"/>
        <v>3.04</v>
      </c>
      <c r="N487" s="15">
        <f t="shared" si="87"/>
        <v>118.76</v>
      </c>
      <c r="O487" s="15">
        <f t="shared" si="78"/>
        <v>0</v>
      </c>
      <c r="P487" s="15">
        <f t="shared" si="79"/>
        <v>118.76</v>
      </c>
      <c r="Q487" s="5">
        <f t="shared" si="80"/>
        <v>1</v>
      </c>
    </row>
    <row r="488" spans="1:17" x14ac:dyDescent="0.25">
      <c r="A488" s="7">
        <v>46286.25</v>
      </c>
      <c r="B488" s="22">
        <v>3.15</v>
      </c>
      <c r="C488" s="22">
        <v>0</v>
      </c>
      <c r="D488" s="18">
        <f t="shared" si="77"/>
        <v>3.15</v>
      </c>
      <c r="E488" s="22">
        <v>56.7</v>
      </c>
      <c r="F488" s="18">
        <f t="shared" si="81"/>
        <v>1.8015432721404068</v>
      </c>
      <c r="G488" s="18">
        <f t="shared" si="82"/>
        <v>54.898456727859596</v>
      </c>
      <c r="H488" s="22">
        <v>37.96</v>
      </c>
      <c r="I488" s="18">
        <f t="shared" si="83"/>
        <v>1.2061125680855369</v>
      </c>
      <c r="J488" s="18">
        <f t="shared" si="84"/>
        <v>36.753887431914464</v>
      </c>
      <c r="K488" s="22">
        <v>4.4799999999999995</v>
      </c>
      <c r="L488" s="18">
        <f t="shared" si="85"/>
        <v>0.14234415977405668</v>
      </c>
      <c r="M488" s="18">
        <f t="shared" si="86"/>
        <v>4.3376558402259429</v>
      </c>
      <c r="N488" s="15">
        <f t="shared" si="87"/>
        <v>99.14</v>
      </c>
      <c r="O488" s="15">
        <f t="shared" si="78"/>
        <v>3.1500000000000057</v>
      </c>
      <c r="P488" s="15">
        <f t="shared" si="79"/>
        <v>95.99</v>
      </c>
      <c r="Q488" s="5">
        <f t="shared" si="80"/>
        <v>0.96822675005043368</v>
      </c>
    </row>
    <row r="489" spans="1:17" x14ac:dyDescent="0.25">
      <c r="A489" s="7">
        <v>46286.291666666664</v>
      </c>
      <c r="B489" s="22">
        <v>333.9</v>
      </c>
      <c r="C489" s="22">
        <v>0.24000000000000002</v>
      </c>
      <c r="D489" s="18">
        <f t="shared" si="77"/>
        <v>334.14</v>
      </c>
      <c r="E489" s="22">
        <v>0</v>
      </c>
      <c r="F489" s="18">
        <f t="shared" si="81"/>
        <v>0</v>
      </c>
      <c r="G489" s="18">
        <f t="shared" si="82"/>
        <v>0</v>
      </c>
      <c r="H489" s="22">
        <v>40.36</v>
      </c>
      <c r="I489" s="18">
        <f t="shared" si="83"/>
        <v>40.36</v>
      </c>
      <c r="J489" s="18">
        <f t="shared" si="84"/>
        <v>0</v>
      </c>
      <c r="K489" s="22">
        <v>4</v>
      </c>
      <c r="L489" s="18">
        <f t="shared" si="85"/>
        <v>4</v>
      </c>
      <c r="M489" s="18">
        <f t="shared" si="86"/>
        <v>0</v>
      </c>
      <c r="N489" s="15">
        <f t="shared" si="87"/>
        <v>44.36</v>
      </c>
      <c r="O489" s="15">
        <f t="shared" si="78"/>
        <v>44.36</v>
      </c>
      <c r="P489" s="15">
        <f t="shared" si="79"/>
        <v>0</v>
      </c>
      <c r="Q489" s="5">
        <f t="shared" si="80"/>
        <v>0</v>
      </c>
    </row>
    <row r="490" spans="1:17" x14ac:dyDescent="0.25">
      <c r="A490" s="7">
        <v>46286.333333333336</v>
      </c>
      <c r="B490" s="22">
        <v>500.85</v>
      </c>
      <c r="C490" s="22">
        <v>0</v>
      </c>
      <c r="D490" s="18">
        <f t="shared" si="77"/>
        <v>500.85</v>
      </c>
      <c r="E490" s="22">
        <v>0</v>
      </c>
      <c r="F490" s="18">
        <f t="shared" si="81"/>
        <v>0</v>
      </c>
      <c r="G490" s="18">
        <f t="shared" si="82"/>
        <v>0</v>
      </c>
      <c r="H490" s="22">
        <v>152.07999999999998</v>
      </c>
      <c r="I490" s="18">
        <f t="shared" si="83"/>
        <v>152.07999999999998</v>
      </c>
      <c r="J490" s="18">
        <f t="shared" si="84"/>
        <v>0</v>
      </c>
      <c r="K490" s="22">
        <v>10.6</v>
      </c>
      <c r="L490" s="18">
        <f t="shared" si="85"/>
        <v>10.6</v>
      </c>
      <c r="M490" s="18">
        <f t="shared" si="86"/>
        <v>0</v>
      </c>
      <c r="N490" s="15">
        <f t="shared" si="87"/>
        <v>162.67999999999998</v>
      </c>
      <c r="O490" s="15">
        <f t="shared" si="78"/>
        <v>162.67999999999998</v>
      </c>
      <c r="P490" s="15">
        <f t="shared" si="79"/>
        <v>0</v>
      </c>
      <c r="Q490" s="5">
        <f t="shared" si="80"/>
        <v>0</v>
      </c>
    </row>
    <row r="491" spans="1:17" x14ac:dyDescent="0.25">
      <c r="A491" s="7">
        <v>46286.375</v>
      </c>
      <c r="B491" s="22">
        <v>985.95</v>
      </c>
      <c r="C491" s="22">
        <v>0</v>
      </c>
      <c r="D491" s="18">
        <f t="shared" si="77"/>
        <v>985.95</v>
      </c>
      <c r="E491" s="22">
        <v>0</v>
      </c>
      <c r="F491" s="18">
        <f t="shared" si="81"/>
        <v>0</v>
      </c>
      <c r="G491" s="18">
        <f t="shared" si="82"/>
        <v>0</v>
      </c>
      <c r="H491" s="22">
        <v>85.24</v>
      </c>
      <c r="I491" s="18">
        <f t="shared" si="83"/>
        <v>85.24</v>
      </c>
      <c r="J491" s="18">
        <f t="shared" si="84"/>
        <v>0</v>
      </c>
      <c r="K491" s="22">
        <v>62.8</v>
      </c>
      <c r="L491" s="18">
        <f t="shared" si="85"/>
        <v>62.8</v>
      </c>
      <c r="M491" s="18">
        <f t="shared" si="86"/>
        <v>0</v>
      </c>
      <c r="N491" s="15">
        <f t="shared" si="87"/>
        <v>148.04</v>
      </c>
      <c r="O491" s="15">
        <f t="shared" si="78"/>
        <v>148.04</v>
      </c>
      <c r="P491" s="15">
        <f t="shared" si="79"/>
        <v>0</v>
      </c>
      <c r="Q491" s="5">
        <f t="shared" si="80"/>
        <v>0</v>
      </c>
    </row>
    <row r="492" spans="1:17" x14ac:dyDescent="0.25">
      <c r="A492" s="7">
        <v>46286.416666666664</v>
      </c>
      <c r="B492" s="22">
        <v>1480.5</v>
      </c>
      <c r="C492" s="22">
        <v>6.6</v>
      </c>
      <c r="D492" s="18">
        <f t="shared" si="77"/>
        <v>1487.1</v>
      </c>
      <c r="E492" s="22">
        <v>0</v>
      </c>
      <c r="F492" s="18">
        <f t="shared" si="81"/>
        <v>0</v>
      </c>
      <c r="G492" s="18">
        <f t="shared" si="82"/>
        <v>0</v>
      </c>
      <c r="H492" s="22">
        <v>17.68</v>
      </c>
      <c r="I492" s="18">
        <f t="shared" si="83"/>
        <v>17.68</v>
      </c>
      <c r="J492" s="18">
        <f t="shared" si="84"/>
        <v>0</v>
      </c>
      <c r="K492" s="22">
        <v>64.839999999999989</v>
      </c>
      <c r="L492" s="18">
        <f t="shared" si="85"/>
        <v>64.839999999999989</v>
      </c>
      <c r="M492" s="18">
        <f t="shared" si="86"/>
        <v>0</v>
      </c>
      <c r="N492" s="15">
        <f t="shared" si="87"/>
        <v>82.519999999999982</v>
      </c>
      <c r="O492" s="15">
        <f t="shared" si="78"/>
        <v>82.519999999999982</v>
      </c>
      <c r="P492" s="15">
        <f t="shared" si="79"/>
        <v>0</v>
      </c>
      <c r="Q492" s="5">
        <f t="shared" si="80"/>
        <v>0</v>
      </c>
    </row>
    <row r="493" spans="1:17" x14ac:dyDescent="0.25">
      <c r="A493" s="7">
        <v>46286.458333333336</v>
      </c>
      <c r="B493" s="22">
        <v>2331</v>
      </c>
      <c r="C493" s="22">
        <v>17.399999999999999</v>
      </c>
      <c r="D493" s="18">
        <f t="shared" si="77"/>
        <v>2348.4</v>
      </c>
      <c r="E493" s="22">
        <v>0</v>
      </c>
      <c r="F493" s="18">
        <f t="shared" si="81"/>
        <v>0</v>
      </c>
      <c r="G493" s="18">
        <f t="shared" si="82"/>
        <v>0</v>
      </c>
      <c r="H493" s="22">
        <v>13.360000000000001</v>
      </c>
      <c r="I493" s="18">
        <f t="shared" si="83"/>
        <v>13.360000000000001</v>
      </c>
      <c r="J493" s="18">
        <f t="shared" si="84"/>
        <v>0</v>
      </c>
      <c r="K493" s="22">
        <v>66.64</v>
      </c>
      <c r="L493" s="18">
        <f t="shared" si="85"/>
        <v>66.64</v>
      </c>
      <c r="M493" s="18">
        <f t="shared" si="86"/>
        <v>0</v>
      </c>
      <c r="N493" s="15">
        <f t="shared" si="87"/>
        <v>80</v>
      </c>
      <c r="O493" s="15">
        <f t="shared" si="78"/>
        <v>80</v>
      </c>
      <c r="P493" s="15">
        <f t="shared" si="79"/>
        <v>0</v>
      </c>
      <c r="Q493" s="5">
        <f t="shared" si="80"/>
        <v>0</v>
      </c>
    </row>
    <row r="494" spans="1:17" x14ac:dyDescent="0.25">
      <c r="A494" s="7">
        <v>46286.5</v>
      </c>
      <c r="B494" s="22">
        <v>2441.25</v>
      </c>
      <c r="C494" s="22">
        <v>33.72</v>
      </c>
      <c r="D494" s="18">
        <f t="shared" si="77"/>
        <v>2474.9699999999998</v>
      </c>
      <c r="E494" s="22">
        <v>0</v>
      </c>
      <c r="F494" s="18">
        <f t="shared" si="81"/>
        <v>0</v>
      </c>
      <c r="G494" s="18">
        <f t="shared" si="82"/>
        <v>0</v>
      </c>
      <c r="H494" s="22">
        <v>5.44</v>
      </c>
      <c r="I494" s="18">
        <f t="shared" si="83"/>
        <v>5.44</v>
      </c>
      <c r="J494" s="18">
        <f t="shared" si="84"/>
        <v>0</v>
      </c>
      <c r="K494" s="22">
        <v>98.68</v>
      </c>
      <c r="L494" s="18">
        <f t="shared" si="85"/>
        <v>98.68</v>
      </c>
      <c r="M494" s="18">
        <f t="shared" si="86"/>
        <v>0</v>
      </c>
      <c r="N494" s="15">
        <f t="shared" si="87"/>
        <v>104.12</v>
      </c>
      <c r="O494" s="15">
        <f t="shared" si="78"/>
        <v>104.12</v>
      </c>
      <c r="P494" s="15">
        <f t="shared" si="79"/>
        <v>0</v>
      </c>
      <c r="Q494" s="5">
        <f t="shared" si="80"/>
        <v>0</v>
      </c>
    </row>
    <row r="495" spans="1:17" x14ac:dyDescent="0.25">
      <c r="A495" s="7">
        <v>46286.541666666664</v>
      </c>
      <c r="B495" s="22">
        <v>2094.75</v>
      </c>
      <c r="C495" s="22">
        <v>5.52</v>
      </c>
      <c r="D495" s="18">
        <f t="shared" si="77"/>
        <v>2100.27</v>
      </c>
      <c r="E495" s="22">
        <v>0</v>
      </c>
      <c r="F495" s="18">
        <f t="shared" si="81"/>
        <v>0</v>
      </c>
      <c r="G495" s="18">
        <f t="shared" si="82"/>
        <v>0</v>
      </c>
      <c r="H495" s="22">
        <v>34.119999999999997</v>
      </c>
      <c r="I495" s="18">
        <f t="shared" si="83"/>
        <v>34.119999999999997</v>
      </c>
      <c r="J495" s="18">
        <f t="shared" si="84"/>
        <v>0</v>
      </c>
      <c r="K495" s="22">
        <v>76.240000000000009</v>
      </c>
      <c r="L495" s="18">
        <f t="shared" si="85"/>
        <v>76.240000000000009</v>
      </c>
      <c r="M495" s="18">
        <f t="shared" si="86"/>
        <v>0</v>
      </c>
      <c r="N495" s="15">
        <f t="shared" si="87"/>
        <v>110.36000000000001</v>
      </c>
      <c r="O495" s="15">
        <f t="shared" si="78"/>
        <v>110.36000000000001</v>
      </c>
      <c r="P495" s="15">
        <f t="shared" si="79"/>
        <v>0</v>
      </c>
      <c r="Q495" s="5">
        <f t="shared" si="80"/>
        <v>0</v>
      </c>
    </row>
    <row r="496" spans="1:17" x14ac:dyDescent="0.25">
      <c r="A496" s="7">
        <v>46286.583333333336</v>
      </c>
      <c r="B496" s="22">
        <v>1480.5</v>
      </c>
      <c r="C496" s="22">
        <v>0.72000000000000008</v>
      </c>
      <c r="D496" s="18">
        <f t="shared" si="77"/>
        <v>1481.22</v>
      </c>
      <c r="E496" s="22">
        <v>0</v>
      </c>
      <c r="F496" s="18">
        <f t="shared" si="81"/>
        <v>0</v>
      </c>
      <c r="G496" s="18">
        <f t="shared" si="82"/>
        <v>0</v>
      </c>
      <c r="H496" s="22">
        <v>45.400000000000006</v>
      </c>
      <c r="I496" s="18">
        <f t="shared" si="83"/>
        <v>45.400000000000006</v>
      </c>
      <c r="J496" s="18">
        <f t="shared" si="84"/>
        <v>0</v>
      </c>
      <c r="K496" s="22">
        <v>80.44</v>
      </c>
      <c r="L496" s="18">
        <f t="shared" si="85"/>
        <v>80.44</v>
      </c>
      <c r="M496" s="18">
        <f t="shared" si="86"/>
        <v>0</v>
      </c>
      <c r="N496" s="15">
        <f t="shared" si="87"/>
        <v>125.84</v>
      </c>
      <c r="O496" s="15">
        <f t="shared" si="78"/>
        <v>125.84</v>
      </c>
      <c r="P496" s="15">
        <f t="shared" si="79"/>
        <v>0</v>
      </c>
      <c r="Q496" s="5">
        <f t="shared" si="80"/>
        <v>0</v>
      </c>
    </row>
    <row r="497" spans="1:17" x14ac:dyDescent="0.25">
      <c r="A497" s="7">
        <v>46286.625</v>
      </c>
      <c r="B497" s="22">
        <v>992.25</v>
      </c>
      <c r="C497" s="22">
        <v>0.24000000000000002</v>
      </c>
      <c r="D497" s="18">
        <f t="shared" si="77"/>
        <v>992.49</v>
      </c>
      <c r="E497" s="22">
        <v>12.6</v>
      </c>
      <c r="F497" s="18">
        <f t="shared" si="81"/>
        <v>12.6</v>
      </c>
      <c r="G497" s="18">
        <f t="shared" si="82"/>
        <v>0</v>
      </c>
      <c r="H497" s="22">
        <v>98.559999999999988</v>
      </c>
      <c r="I497" s="18">
        <f t="shared" si="83"/>
        <v>98.559999999999988</v>
      </c>
      <c r="J497" s="18">
        <f t="shared" si="84"/>
        <v>0</v>
      </c>
      <c r="K497" s="22">
        <v>36.159999999999997</v>
      </c>
      <c r="L497" s="18">
        <f t="shared" si="85"/>
        <v>36.159999999999997</v>
      </c>
      <c r="M497" s="18">
        <f t="shared" si="86"/>
        <v>0</v>
      </c>
      <c r="N497" s="15">
        <f t="shared" si="87"/>
        <v>147.32</v>
      </c>
      <c r="O497" s="15">
        <f t="shared" si="78"/>
        <v>147.32</v>
      </c>
      <c r="P497" s="15">
        <f t="shared" si="79"/>
        <v>0</v>
      </c>
      <c r="Q497" s="5">
        <f t="shared" si="80"/>
        <v>0</v>
      </c>
    </row>
    <row r="498" spans="1:17" x14ac:dyDescent="0.25">
      <c r="A498" s="7">
        <v>46286.666666666664</v>
      </c>
      <c r="B498" s="22">
        <v>365.4</v>
      </c>
      <c r="C498" s="22">
        <v>0</v>
      </c>
      <c r="D498" s="18">
        <f t="shared" si="77"/>
        <v>365.4</v>
      </c>
      <c r="E498" s="22">
        <v>28.35</v>
      </c>
      <c r="F498" s="18">
        <f t="shared" si="81"/>
        <v>28.35</v>
      </c>
      <c r="G498" s="18">
        <f t="shared" si="82"/>
        <v>0</v>
      </c>
      <c r="H498" s="22">
        <v>85.96</v>
      </c>
      <c r="I498" s="18">
        <f t="shared" si="83"/>
        <v>85.96</v>
      </c>
      <c r="J498" s="18">
        <f t="shared" si="84"/>
        <v>0</v>
      </c>
      <c r="K498" s="22">
        <v>62.32</v>
      </c>
      <c r="L498" s="18">
        <f t="shared" si="85"/>
        <v>62.32</v>
      </c>
      <c r="M498" s="18">
        <f t="shared" si="86"/>
        <v>0</v>
      </c>
      <c r="N498" s="15">
        <f t="shared" si="87"/>
        <v>176.63</v>
      </c>
      <c r="O498" s="15">
        <f t="shared" si="78"/>
        <v>176.63</v>
      </c>
      <c r="P498" s="15">
        <f t="shared" si="79"/>
        <v>0</v>
      </c>
      <c r="Q498" s="5">
        <f t="shared" si="80"/>
        <v>0</v>
      </c>
    </row>
    <row r="499" spans="1:17" x14ac:dyDescent="0.25">
      <c r="A499" s="7">
        <v>46286.708333333336</v>
      </c>
      <c r="B499" s="22">
        <v>3.15</v>
      </c>
      <c r="C499" s="22">
        <v>0</v>
      </c>
      <c r="D499" s="18">
        <f t="shared" si="77"/>
        <v>3.15</v>
      </c>
      <c r="E499" s="22">
        <v>333.9</v>
      </c>
      <c r="F499" s="18">
        <f t="shared" si="81"/>
        <v>2.4916021528810575</v>
      </c>
      <c r="G499" s="18">
        <f t="shared" si="82"/>
        <v>331.40839784711892</v>
      </c>
      <c r="H499" s="22">
        <v>64.600000000000009</v>
      </c>
      <c r="I499" s="18">
        <f t="shared" si="83"/>
        <v>0.48205300711624943</v>
      </c>
      <c r="J499" s="18">
        <f t="shared" si="84"/>
        <v>64.117946992883759</v>
      </c>
      <c r="K499" s="22">
        <v>23.632000000000001</v>
      </c>
      <c r="L499" s="18">
        <f t="shared" si="85"/>
        <v>0.1763448400026526</v>
      </c>
      <c r="M499" s="18">
        <f t="shared" si="86"/>
        <v>23.455655159997349</v>
      </c>
      <c r="N499" s="15">
        <f t="shared" si="87"/>
        <v>422.13200000000001</v>
      </c>
      <c r="O499" s="15">
        <f t="shared" si="78"/>
        <v>3.1499999999999773</v>
      </c>
      <c r="P499" s="15">
        <f t="shared" si="79"/>
        <v>418.98200000000003</v>
      </c>
      <c r="Q499" s="5">
        <f t="shared" si="80"/>
        <v>0.99253787914680724</v>
      </c>
    </row>
    <row r="500" spans="1:17" x14ac:dyDescent="0.25">
      <c r="A500" s="7">
        <v>46286.75</v>
      </c>
      <c r="B500" s="22">
        <v>0</v>
      </c>
      <c r="C500" s="22">
        <v>0</v>
      </c>
      <c r="D500" s="18">
        <f t="shared" si="77"/>
        <v>0</v>
      </c>
      <c r="E500" s="22">
        <v>185.85</v>
      </c>
      <c r="F500" s="18">
        <f t="shared" si="81"/>
        <v>0</v>
      </c>
      <c r="G500" s="18">
        <f t="shared" si="82"/>
        <v>185.85</v>
      </c>
      <c r="H500" s="22">
        <v>82.960000000000008</v>
      </c>
      <c r="I500" s="18">
        <f t="shared" si="83"/>
        <v>0</v>
      </c>
      <c r="J500" s="18">
        <f t="shared" si="84"/>
        <v>82.960000000000008</v>
      </c>
      <c r="K500" s="22">
        <v>32.029000000000003</v>
      </c>
      <c r="L500" s="18">
        <f t="shared" si="85"/>
        <v>0</v>
      </c>
      <c r="M500" s="18">
        <f t="shared" si="86"/>
        <v>32.029000000000003</v>
      </c>
      <c r="N500" s="15">
        <f t="shared" si="87"/>
        <v>300.839</v>
      </c>
      <c r="O500" s="15">
        <f t="shared" si="78"/>
        <v>0</v>
      </c>
      <c r="P500" s="15">
        <f t="shared" si="79"/>
        <v>300.839</v>
      </c>
      <c r="Q500" s="5">
        <f t="shared" si="80"/>
        <v>1</v>
      </c>
    </row>
    <row r="501" spans="1:17" x14ac:dyDescent="0.25">
      <c r="A501" s="7">
        <v>46286.791666666664</v>
      </c>
      <c r="B501" s="22">
        <v>0</v>
      </c>
      <c r="C501" s="22">
        <v>0</v>
      </c>
      <c r="D501" s="18">
        <f t="shared" si="77"/>
        <v>0</v>
      </c>
      <c r="E501" s="22">
        <v>75.599999999999994</v>
      </c>
      <c r="F501" s="18">
        <f t="shared" si="81"/>
        <v>0</v>
      </c>
      <c r="G501" s="18">
        <f t="shared" si="82"/>
        <v>75.599999999999994</v>
      </c>
      <c r="H501" s="22">
        <v>46.6</v>
      </c>
      <c r="I501" s="18">
        <f t="shared" si="83"/>
        <v>0</v>
      </c>
      <c r="J501" s="18">
        <f t="shared" si="84"/>
        <v>46.6</v>
      </c>
      <c r="K501" s="22">
        <v>18.765000000000001</v>
      </c>
      <c r="L501" s="18">
        <f t="shared" si="85"/>
        <v>0</v>
      </c>
      <c r="M501" s="18">
        <f t="shared" si="86"/>
        <v>18.765000000000001</v>
      </c>
      <c r="N501" s="15">
        <f t="shared" si="87"/>
        <v>140.96499999999997</v>
      </c>
      <c r="O501" s="15">
        <f t="shared" si="78"/>
        <v>0</v>
      </c>
      <c r="P501" s="15">
        <f t="shared" si="79"/>
        <v>140.96499999999997</v>
      </c>
      <c r="Q501" s="5">
        <f t="shared" si="80"/>
        <v>1</v>
      </c>
    </row>
    <row r="502" spans="1:17" x14ac:dyDescent="0.25">
      <c r="A502" s="7">
        <v>46286.833333333336</v>
      </c>
      <c r="B502" s="22">
        <v>0</v>
      </c>
      <c r="C502" s="22">
        <v>0</v>
      </c>
      <c r="D502" s="18">
        <f t="shared" si="77"/>
        <v>0</v>
      </c>
      <c r="E502" s="22">
        <v>589.04999999999995</v>
      </c>
      <c r="F502" s="18">
        <f t="shared" si="81"/>
        <v>0</v>
      </c>
      <c r="G502" s="18">
        <f t="shared" si="82"/>
        <v>589.04999999999995</v>
      </c>
      <c r="H502" s="22">
        <v>35.56</v>
      </c>
      <c r="I502" s="18">
        <f t="shared" si="83"/>
        <v>0</v>
      </c>
      <c r="J502" s="18">
        <f t="shared" si="84"/>
        <v>35.56</v>
      </c>
      <c r="K502" s="22">
        <v>14.019</v>
      </c>
      <c r="L502" s="18">
        <f t="shared" si="85"/>
        <v>0</v>
      </c>
      <c r="M502" s="18">
        <f t="shared" si="86"/>
        <v>14.019</v>
      </c>
      <c r="N502" s="15">
        <f t="shared" si="87"/>
        <v>638.62899999999991</v>
      </c>
      <c r="O502" s="15">
        <f t="shared" si="78"/>
        <v>0</v>
      </c>
      <c r="P502" s="15">
        <f t="shared" si="79"/>
        <v>638.62899999999991</v>
      </c>
      <c r="Q502" s="5">
        <f t="shared" si="80"/>
        <v>1</v>
      </c>
    </row>
    <row r="503" spans="1:17" x14ac:dyDescent="0.25">
      <c r="A503" s="7">
        <v>46286.875</v>
      </c>
      <c r="B503" s="22">
        <v>0</v>
      </c>
      <c r="C503" s="22">
        <v>0</v>
      </c>
      <c r="D503" s="18">
        <f t="shared" si="77"/>
        <v>0</v>
      </c>
      <c r="E503" s="22">
        <v>929.25</v>
      </c>
      <c r="F503" s="18">
        <f t="shared" si="81"/>
        <v>0</v>
      </c>
      <c r="G503" s="18">
        <f t="shared" si="82"/>
        <v>929.25</v>
      </c>
      <c r="H503" s="22">
        <v>37.6</v>
      </c>
      <c r="I503" s="18">
        <f t="shared" si="83"/>
        <v>0</v>
      </c>
      <c r="J503" s="18">
        <f t="shared" si="84"/>
        <v>37.6</v>
      </c>
      <c r="K503" s="22">
        <v>33.366999999999997</v>
      </c>
      <c r="L503" s="18">
        <f t="shared" si="85"/>
        <v>0</v>
      </c>
      <c r="M503" s="18">
        <f t="shared" si="86"/>
        <v>33.366999999999997</v>
      </c>
      <c r="N503" s="15">
        <f t="shared" si="87"/>
        <v>1000.217</v>
      </c>
      <c r="O503" s="15">
        <f t="shared" si="78"/>
        <v>0</v>
      </c>
      <c r="P503" s="15">
        <f t="shared" si="79"/>
        <v>1000.217</v>
      </c>
      <c r="Q503" s="5">
        <f t="shared" si="80"/>
        <v>1</v>
      </c>
    </row>
    <row r="504" spans="1:17" x14ac:dyDescent="0.25">
      <c r="A504" s="7">
        <v>46286.916666666664</v>
      </c>
      <c r="B504" s="22">
        <v>0</v>
      </c>
      <c r="C504" s="22">
        <v>0</v>
      </c>
      <c r="D504" s="18">
        <f t="shared" si="77"/>
        <v>0</v>
      </c>
      <c r="E504" s="22">
        <v>658.35</v>
      </c>
      <c r="F504" s="18">
        <f t="shared" si="81"/>
        <v>0</v>
      </c>
      <c r="G504" s="18">
        <f t="shared" si="82"/>
        <v>658.35</v>
      </c>
      <c r="H504" s="22">
        <v>35.56</v>
      </c>
      <c r="I504" s="18">
        <f t="shared" si="83"/>
        <v>0</v>
      </c>
      <c r="J504" s="18">
        <f t="shared" si="84"/>
        <v>35.56</v>
      </c>
      <c r="K504" s="22">
        <v>4.12</v>
      </c>
      <c r="L504" s="18">
        <f t="shared" si="85"/>
        <v>0</v>
      </c>
      <c r="M504" s="18">
        <f t="shared" si="86"/>
        <v>4.12</v>
      </c>
      <c r="N504" s="15">
        <f t="shared" si="87"/>
        <v>698.03000000000009</v>
      </c>
      <c r="O504" s="15">
        <f t="shared" si="78"/>
        <v>0</v>
      </c>
      <c r="P504" s="15">
        <f t="shared" si="79"/>
        <v>698.03000000000009</v>
      </c>
      <c r="Q504" s="5">
        <f t="shared" si="80"/>
        <v>1</v>
      </c>
    </row>
    <row r="505" spans="1:17" x14ac:dyDescent="0.25">
      <c r="A505" s="7">
        <v>46286.958333333336</v>
      </c>
      <c r="B505" s="22">
        <v>0</v>
      </c>
      <c r="C505" s="22">
        <v>0</v>
      </c>
      <c r="D505" s="18">
        <f t="shared" si="77"/>
        <v>0</v>
      </c>
      <c r="E505" s="22">
        <v>664.65</v>
      </c>
      <c r="F505" s="18">
        <f t="shared" si="81"/>
        <v>0</v>
      </c>
      <c r="G505" s="18">
        <f t="shared" si="82"/>
        <v>664.65</v>
      </c>
      <c r="H505" s="22">
        <v>48.28</v>
      </c>
      <c r="I505" s="18">
        <f t="shared" si="83"/>
        <v>0</v>
      </c>
      <c r="J505" s="18">
        <f t="shared" si="84"/>
        <v>48.28</v>
      </c>
      <c r="K505" s="22">
        <v>3.4</v>
      </c>
      <c r="L505" s="18">
        <f t="shared" si="85"/>
        <v>0</v>
      </c>
      <c r="M505" s="18">
        <f t="shared" si="86"/>
        <v>3.4</v>
      </c>
      <c r="N505" s="15">
        <f t="shared" si="87"/>
        <v>716.32999999999993</v>
      </c>
      <c r="O505" s="15">
        <f t="shared" si="78"/>
        <v>0</v>
      </c>
      <c r="P505" s="15">
        <f t="shared" si="79"/>
        <v>716.32999999999993</v>
      </c>
      <c r="Q505" s="5">
        <f t="shared" si="80"/>
        <v>1</v>
      </c>
    </row>
    <row r="506" spans="1:17" x14ac:dyDescent="0.25">
      <c r="A506" s="7">
        <v>46287</v>
      </c>
      <c r="B506" s="22">
        <v>0</v>
      </c>
      <c r="C506" s="22">
        <v>0</v>
      </c>
      <c r="D506" s="18">
        <f t="shared" si="77"/>
        <v>0</v>
      </c>
      <c r="E506" s="22">
        <v>614.25</v>
      </c>
      <c r="F506" s="18">
        <f t="shared" si="81"/>
        <v>0</v>
      </c>
      <c r="G506" s="18">
        <f t="shared" si="82"/>
        <v>614.25</v>
      </c>
      <c r="H506" s="22">
        <v>38.68</v>
      </c>
      <c r="I506" s="18">
        <f t="shared" si="83"/>
        <v>0</v>
      </c>
      <c r="J506" s="18">
        <f t="shared" si="84"/>
        <v>38.68</v>
      </c>
      <c r="K506" s="22">
        <v>3.64</v>
      </c>
      <c r="L506" s="18">
        <f t="shared" si="85"/>
        <v>0</v>
      </c>
      <c r="M506" s="18">
        <f t="shared" si="86"/>
        <v>3.64</v>
      </c>
      <c r="N506" s="15">
        <f t="shared" si="87"/>
        <v>656.56999999999994</v>
      </c>
      <c r="O506" s="15">
        <f t="shared" si="78"/>
        <v>0</v>
      </c>
      <c r="P506" s="15">
        <f t="shared" si="79"/>
        <v>656.56999999999994</v>
      </c>
      <c r="Q506" s="5">
        <f t="shared" si="80"/>
        <v>1</v>
      </c>
    </row>
    <row r="507" spans="1:17" x14ac:dyDescent="0.25">
      <c r="A507" s="7">
        <v>46287.041666666664</v>
      </c>
      <c r="B507" s="22">
        <v>0</v>
      </c>
      <c r="C507" s="22">
        <v>0</v>
      </c>
      <c r="D507" s="18">
        <f t="shared" si="77"/>
        <v>0</v>
      </c>
      <c r="E507" s="22">
        <v>91.35</v>
      </c>
      <c r="F507" s="18">
        <f t="shared" si="81"/>
        <v>0</v>
      </c>
      <c r="G507" s="18">
        <f t="shared" si="82"/>
        <v>91.35</v>
      </c>
      <c r="H507" s="22">
        <v>36.880000000000003</v>
      </c>
      <c r="I507" s="18">
        <f t="shared" si="83"/>
        <v>0</v>
      </c>
      <c r="J507" s="18">
        <f t="shared" si="84"/>
        <v>36.880000000000003</v>
      </c>
      <c r="K507" s="22">
        <v>4.12</v>
      </c>
      <c r="L507" s="18">
        <f t="shared" si="85"/>
        <v>0</v>
      </c>
      <c r="M507" s="18">
        <f t="shared" si="86"/>
        <v>4.12</v>
      </c>
      <c r="N507" s="15">
        <f t="shared" si="87"/>
        <v>132.35</v>
      </c>
      <c r="O507" s="15">
        <f t="shared" si="78"/>
        <v>0</v>
      </c>
      <c r="P507" s="15">
        <f t="shared" si="79"/>
        <v>132.35</v>
      </c>
      <c r="Q507" s="5">
        <f t="shared" si="80"/>
        <v>1</v>
      </c>
    </row>
    <row r="508" spans="1:17" x14ac:dyDescent="0.25">
      <c r="A508" s="7">
        <v>46287.083333333336</v>
      </c>
      <c r="B508" s="22">
        <v>0</v>
      </c>
      <c r="C508" s="22">
        <v>0</v>
      </c>
      <c r="D508" s="18">
        <f t="shared" si="77"/>
        <v>0</v>
      </c>
      <c r="E508" s="22">
        <v>926.1</v>
      </c>
      <c r="F508" s="18">
        <f t="shared" si="81"/>
        <v>0</v>
      </c>
      <c r="G508" s="18">
        <f t="shared" si="82"/>
        <v>926.1</v>
      </c>
      <c r="H508" s="22">
        <v>37.24</v>
      </c>
      <c r="I508" s="18">
        <f t="shared" si="83"/>
        <v>0</v>
      </c>
      <c r="J508" s="18">
        <f t="shared" si="84"/>
        <v>37.24</v>
      </c>
      <c r="K508" s="22">
        <v>3.16</v>
      </c>
      <c r="L508" s="18">
        <f t="shared" si="85"/>
        <v>0</v>
      </c>
      <c r="M508" s="18">
        <f t="shared" si="86"/>
        <v>3.16</v>
      </c>
      <c r="N508" s="15">
        <f t="shared" si="87"/>
        <v>966.5</v>
      </c>
      <c r="O508" s="15">
        <f t="shared" si="78"/>
        <v>0</v>
      </c>
      <c r="P508" s="15">
        <f t="shared" si="79"/>
        <v>966.5</v>
      </c>
      <c r="Q508" s="5">
        <f t="shared" si="80"/>
        <v>1</v>
      </c>
    </row>
    <row r="509" spans="1:17" x14ac:dyDescent="0.25">
      <c r="A509" s="7">
        <v>46287.125</v>
      </c>
      <c r="B509" s="22">
        <v>0</v>
      </c>
      <c r="C509" s="22">
        <v>0</v>
      </c>
      <c r="D509" s="18">
        <f t="shared" si="77"/>
        <v>0</v>
      </c>
      <c r="E509" s="22">
        <v>954.45</v>
      </c>
      <c r="F509" s="18">
        <f t="shared" si="81"/>
        <v>0</v>
      </c>
      <c r="G509" s="18">
        <f t="shared" si="82"/>
        <v>954.45</v>
      </c>
      <c r="H509" s="22">
        <v>38.080000000000005</v>
      </c>
      <c r="I509" s="18">
        <f t="shared" si="83"/>
        <v>0</v>
      </c>
      <c r="J509" s="18">
        <f t="shared" si="84"/>
        <v>38.080000000000005</v>
      </c>
      <c r="K509" s="22">
        <v>3.16</v>
      </c>
      <c r="L509" s="18">
        <f t="shared" si="85"/>
        <v>0</v>
      </c>
      <c r="M509" s="18">
        <f t="shared" si="86"/>
        <v>3.16</v>
      </c>
      <c r="N509" s="15">
        <f t="shared" si="87"/>
        <v>995.69</v>
      </c>
      <c r="O509" s="15">
        <f t="shared" si="78"/>
        <v>0</v>
      </c>
      <c r="P509" s="15">
        <f t="shared" si="79"/>
        <v>995.69</v>
      </c>
      <c r="Q509" s="5">
        <f t="shared" si="80"/>
        <v>1</v>
      </c>
    </row>
    <row r="510" spans="1:17" x14ac:dyDescent="0.25">
      <c r="A510" s="7">
        <v>46287.166666666664</v>
      </c>
      <c r="B510" s="22">
        <v>0</v>
      </c>
      <c r="C510" s="22">
        <v>0</v>
      </c>
      <c r="D510" s="18">
        <f t="shared" si="77"/>
        <v>0</v>
      </c>
      <c r="E510" s="22">
        <v>711.9</v>
      </c>
      <c r="F510" s="18">
        <f t="shared" si="81"/>
        <v>0</v>
      </c>
      <c r="G510" s="18">
        <f t="shared" si="82"/>
        <v>711.9</v>
      </c>
      <c r="H510" s="22">
        <v>36.64</v>
      </c>
      <c r="I510" s="18">
        <f t="shared" si="83"/>
        <v>0</v>
      </c>
      <c r="J510" s="18">
        <f t="shared" si="84"/>
        <v>36.64</v>
      </c>
      <c r="K510" s="22">
        <v>3.4</v>
      </c>
      <c r="L510" s="18">
        <f t="shared" si="85"/>
        <v>0</v>
      </c>
      <c r="M510" s="18">
        <f t="shared" si="86"/>
        <v>3.4</v>
      </c>
      <c r="N510" s="15">
        <f t="shared" si="87"/>
        <v>751.93999999999994</v>
      </c>
      <c r="O510" s="15">
        <f t="shared" si="78"/>
        <v>0</v>
      </c>
      <c r="P510" s="15">
        <f t="shared" si="79"/>
        <v>751.93999999999994</v>
      </c>
      <c r="Q510" s="5">
        <f t="shared" si="80"/>
        <v>1</v>
      </c>
    </row>
    <row r="511" spans="1:17" x14ac:dyDescent="0.25">
      <c r="A511" s="7">
        <v>46287.208333333336</v>
      </c>
      <c r="B511" s="22">
        <v>0</v>
      </c>
      <c r="C511" s="22">
        <v>0</v>
      </c>
      <c r="D511" s="18">
        <f t="shared" si="77"/>
        <v>0</v>
      </c>
      <c r="E511" s="22">
        <v>910.35</v>
      </c>
      <c r="F511" s="18">
        <f t="shared" si="81"/>
        <v>0</v>
      </c>
      <c r="G511" s="18">
        <f t="shared" si="82"/>
        <v>910.35</v>
      </c>
      <c r="H511" s="22">
        <v>39.64</v>
      </c>
      <c r="I511" s="18">
        <f t="shared" si="83"/>
        <v>0</v>
      </c>
      <c r="J511" s="18">
        <f t="shared" si="84"/>
        <v>39.64</v>
      </c>
      <c r="K511" s="22">
        <v>3.64</v>
      </c>
      <c r="L511" s="18">
        <f t="shared" si="85"/>
        <v>0</v>
      </c>
      <c r="M511" s="18">
        <f t="shared" si="86"/>
        <v>3.64</v>
      </c>
      <c r="N511" s="15">
        <f t="shared" si="87"/>
        <v>953.63</v>
      </c>
      <c r="O511" s="15">
        <f t="shared" si="78"/>
        <v>0</v>
      </c>
      <c r="P511" s="15">
        <f t="shared" si="79"/>
        <v>953.63</v>
      </c>
      <c r="Q511" s="5">
        <f t="shared" si="80"/>
        <v>1</v>
      </c>
    </row>
    <row r="512" spans="1:17" x14ac:dyDescent="0.25">
      <c r="A512" s="7">
        <v>46287.25</v>
      </c>
      <c r="B512" s="22">
        <v>0</v>
      </c>
      <c r="C512" s="22">
        <v>0</v>
      </c>
      <c r="D512" s="18">
        <f t="shared" si="77"/>
        <v>0</v>
      </c>
      <c r="E512" s="22">
        <v>63</v>
      </c>
      <c r="F512" s="18">
        <f t="shared" si="81"/>
        <v>0</v>
      </c>
      <c r="G512" s="18">
        <f t="shared" si="82"/>
        <v>63</v>
      </c>
      <c r="H512" s="22">
        <v>38.68</v>
      </c>
      <c r="I512" s="18">
        <f t="shared" si="83"/>
        <v>0</v>
      </c>
      <c r="J512" s="18">
        <f t="shared" si="84"/>
        <v>38.68</v>
      </c>
      <c r="K512" s="22">
        <v>4.24</v>
      </c>
      <c r="L512" s="18">
        <f t="shared" si="85"/>
        <v>0</v>
      </c>
      <c r="M512" s="18">
        <f t="shared" si="86"/>
        <v>4.24</v>
      </c>
      <c r="N512" s="15">
        <f t="shared" si="87"/>
        <v>105.92</v>
      </c>
      <c r="O512" s="15">
        <f t="shared" si="78"/>
        <v>0</v>
      </c>
      <c r="P512" s="15">
        <f t="shared" si="79"/>
        <v>105.92</v>
      </c>
      <c r="Q512" s="5">
        <f t="shared" si="80"/>
        <v>1</v>
      </c>
    </row>
    <row r="513" spans="1:17" x14ac:dyDescent="0.25">
      <c r="A513" s="7">
        <v>46287.291666666664</v>
      </c>
      <c r="B513" s="22">
        <v>283.5</v>
      </c>
      <c r="C513" s="22">
        <v>0.12000000000000001</v>
      </c>
      <c r="D513" s="18">
        <f t="shared" si="77"/>
        <v>283.62</v>
      </c>
      <c r="E513" s="22">
        <v>3.15</v>
      </c>
      <c r="F513" s="18">
        <f t="shared" si="81"/>
        <v>3.15</v>
      </c>
      <c r="G513" s="18">
        <f t="shared" si="82"/>
        <v>0</v>
      </c>
      <c r="H513" s="22">
        <v>43</v>
      </c>
      <c r="I513" s="18">
        <f t="shared" si="83"/>
        <v>43</v>
      </c>
      <c r="J513" s="18">
        <f t="shared" si="84"/>
        <v>0</v>
      </c>
      <c r="K513" s="22">
        <v>3.04</v>
      </c>
      <c r="L513" s="18">
        <f t="shared" si="85"/>
        <v>3.04</v>
      </c>
      <c r="M513" s="18">
        <f t="shared" si="86"/>
        <v>0</v>
      </c>
      <c r="N513" s="15">
        <f t="shared" si="87"/>
        <v>49.19</v>
      </c>
      <c r="O513" s="15">
        <f t="shared" si="78"/>
        <v>49.19</v>
      </c>
      <c r="P513" s="15">
        <f t="shared" si="79"/>
        <v>0</v>
      </c>
      <c r="Q513" s="5">
        <f t="shared" si="80"/>
        <v>0</v>
      </c>
    </row>
    <row r="514" spans="1:17" x14ac:dyDescent="0.25">
      <c r="A514" s="7">
        <v>46287.333333333336</v>
      </c>
      <c r="B514" s="22">
        <v>510.29999999999995</v>
      </c>
      <c r="C514" s="22">
        <v>0</v>
      </c>
      <c r="D514" s="18">
        <f t="shared" ref="D514:D577" si="88">+B514+C514</f>
        <v>510.29999999999995</v>
      </c>
      <c r="E514" s="22">
        <v>0</v>
      </c>
      <c r="F514" s="18">
        <f t="shared" si="81"/>
        <v>0</v>
      </c>
      <c r="G514" s="18">
        <f t="shared" si="82"/>
        <v>0</v>
      </c>
      <c r="H514" s="22">
        <v>117.64</v>
      </c>
      <c r="I514" s="18">
        <f t="shared" si="83"/>
        <v>117.64</v>
      </c>
      <c r="J514" s="18">
        <f t="shared" si="84"/>
        <v>0</v>
      </c>
      <c r="K514" s="22">
        <v>6.52</v>
      </c>
      <c r="L514" s="18">
        <f t="shared" si="85"/>
        <v>6.52</v>
      </c>
      <c r="M514" s="18">
        <f t="shared" si="86"/>
        <v>0</v>
      </c>
      <c r="N514" s="15">
        <f t="shared" si="87"/>
        <v>124.16</v>
      </c>
      <c r="O514" s="15">
        <f t="shared" ref="O514:O577" si="89">+N514-P514</f>
        <v>124.16</v>
      </c>
      <c r="P514" s="15">
        <f t="shared" ref="P514:P577" si="90">+IF(N514&gt;D514,N514-D514,0)</f>
        <v>0</v>
      </c>
      <c r="Q514" s="5">
        <f t="shared" ref="Q514:Q577" si="91">+IF(P514=0,P514,P514/N514)</f>
        <v>0</v>
      </c>
    </row>
    <row r="515" spans="1:17" x14ac:dyDescent="0.25">
      <c r="A515" s="7">
        <v>46287.375</v>
      </c>
      <c r="B515" s="22">
        <v>1055.25</v>
      </c>
      <c r="C515" s="22">
        <v>0</v>
      </c>
      <c r="D515" s="18">
        <f t="shared" si="88"/>
        <v>1055.25</v>
      </c>
      <c r="E515" s="22">
        <v>0</v>
      </c>
      <c r="F515" s="18">
        <f t="shared" ref="F515:F578" si="92">+E515-G515</f>
        <v>0</v>
      </c>
      <c r="G515" s="18">
        <f t="shared" ref="G515:G578" si="93">+E515*Q515</f>
        <v>0</v>
      </c>
      <c r="H515" s="22">
        <v>71.2</v>
      </c>
      <c r="I515" s="18">
        <f t="shared" ref="I515:I578" si="94">+H515-J515</f>
        <v>71.2</v>
      </c>
      <c r="J515" s="18">
        <f t="shared" ref="J515:J578" si="95">+H515*Q515</f>
        <v>0</v>
      </c>
      <c r="K515" s="22">
        <v>40.120000000000005</v>
      </c>
      <c r="L515" s="18">
        <f t="shared" ref="L515:L578" si="96">+K515-M515</f>
        <v>40.120000000000005</v>
      </c>
      <c r="M515" s="18">
        <f t="shared" ref="M515:M578" si="97">+K515*Q515</f>
        <v>0</v>
      </c>
      <c r="N515" s="15">
        <f t="shared" ref="N515:N578" si="98">+E515+H515+K515</f>
        <v>111.32000000000001</v>
      </c>
      <c r="O515" s="15">
        <f t="shared" si="89"/>
        <v>111.32000000000001</v>
      </c>
      <c r="P515" s="15">
        <f t="shared" si="90"/>
        <v>0</v>
      </c>
      <c r="Q515" s="5">
        <f t="shared" si="91"/>
        <v>0</v>
      </c>
    </row>
    <row r="516" spans="1:17" x14ac:dyDescent="0.25">
      <c r="A516" s="7">
        <v>46287.416666666664</v>
      </c>
      <c r="B516" s="22">
        <v>1584.4499999999998</v>
      </c>
      <c r="C516" s="22">
        <v>4.08</v>
      </c>
      <c r="D516" s="18">
        <f t="shared" si="88"/>
        <v>1588.5299999999997</v>
      </c>
      <c r="E516" s="22">
        <v>0</v>
      </c>
      <c r="F516" s="18">
        <f t="shared" si="92"/>
        <v>0</v>
      </c>
      <c r="G516" s="18">
        <f t="shared" si="93"/>
        <v>0</v>
      </c>
      <c r="H516" s="22">
        <v>39.76</v>
      </c>
      <c r="I516" s="18">
        <f t="shared" si="94"/>
        <v>39.76</v>
      </c>
      <c r="J516" s="18">
        <f t="shared" si="95"/>
        <v>0</v>
      </c>
      <c r="K516" s="22">
        <v>28.240000000000002</v>
      </c>
      <c r="L516" s="18">
        <f t="shared" si="96"/>
        <v>28.240000000000002</v>
      </c>
      <c r="M516" s="18">
        <f t="shared" si="97"/>
        <v>0</v>
      </c>
      <c r="N516" s="15">
        <f t="shared" si="98"/>
        <v>68</v>
      </c>
      <c r="O516" s="15">
        <f t="shared" si="89"/>
        <v>68</v>
      </c>
      <c r="P516" s="15">
        <f t="shared" si="90"/>
        <v>0</v>
      </c>
      <c r="Q516" s="5">
        <f t="shared" si="91"/>
        <v>0</v>
      </c>
    </row>
    <row r="517" spans="1:17" x14ac:dyDescent="0.25">
      <c r="A517" s="7">
        <v>46287.458333333336</v>
      </c>
      <c r="B517" s="22">
        <v>1839.6</v>
      </c>
      <c r="C517" s="22">
        <v>24</v>
      </c>
      <c r="D517" s="18">
        <f t="shared" si="88"/>
        <v>1863.6</v>
      </c>
      <c r="E517" s="22">
        <v>0</v>
      </c>
      <c r="F517" s="18">
        <f t="shared" si="92"/>
        <v>0</v>
      </c>
      <c r="G517" s="18">
        <f t="shared" si="93"/>
        <v>0</v>
      </c>
      <c r="H517" s="22">
        <v>13</v>
      </c>
      <c r="I517" s="18">
        <f t="shared" si="94"/>
        <v>13</v>
      </c>
      <c r="J517" s="18">
        <f t="shared" si="95"/>
        <v>0</v>
      </c>
      <c r="K517" s="22">
        <v>28.6</v>
      </c>
      <c r="L517" s="18">
        <f t="shared" si="96"/>
        <v>28.6</v>
      </c>
      <c r="M517" s="18">
        <f t="shared" si="97"/>
        <v>0</v>
      </c>
      <c r="N517" s="15">
        <f t="shared" si="98"/>
        <v>41.6</v>
      </c>
      <c r="O517" s="15">
        <f t="shared" si="89"/>
        <v>41.6</v>
      </c>
      <c r="P517" s="15">
        <f t="shared" si="90"/>
        <v>0</v>
      </c>
      <c r="Q517" s="5">
        <f t="shared" si="91"/>
        <v>0</v>
      </c>
    </row>
    <row r="518" spans="1:17" x14ac:dyDescent="0.25">
      <c r="A518" s="7">
        <v>46287.5</v>
      </c>
      <c r="B518" s="22">
        <v>2138.8500000000004</v>
      </c>
      <c r="C518" s="22">
        <v>23.52</v>
      </c>
      <c r="D518" s="18">
        <f t="shared" si="88"/>
        <v>2162.3700000000003</v>
      </c>
      <c r="E518" s="22">
        <v>0</v>
      </c>
      <c r="F518" s="18">
        <f t="shared" si="92"/>
        <v>0</v>
      </c>
      <c r="G518" s="18">
        <f t="shared" si="93"/>
        <v>0</v>
      </c>
      <c r="H518" s="22">
        <v>13.96</v>
      </c>
      <c r="I518" s="18">
        <f t="shared" si="94"/>
        <v>13.96</v>
      </c>
      <c r="J518" s="18">
        <f t="shared" si="95"/>
        <v>0</v>
      </c>
      <c r="K518" s="22">
        <v>22.360000000000003</v>
      </c>
      <c r="L518" s="18">
        <f t="shared" si="96"/>
        <v>22.360000000000003</v>
      </c>
      <c r="M518" s="18">
        <f t="shared" si="97"/>
        <v>0</v>
      </c>
      <c r="N518" s="15">
        <f t="shared" si="98"/>
        <v>36.320000000000007</v>
      </c>
      <c r="O518" s="15">
        <f t="shared" si="89"/>
        <v>36.320000000000007</v>
      </c>
      <c r="P518" s="15">
        <f t="shared" si="90"/>
        <v>0</v>
      </c>
      <c r="Q518" s="5">
        <f t="shared" si="91"/>
        <v>0</v>
      </c>
    </row>
    <row r="519" spans="1:17" x14ac:dyDescent="0.25">
      <c r="A519" s="7">
        <v>46287.541666666664</v>
      </c>
      <c r="B519" s="22">
        <v>2545.1999999999998</v>
      </c>
      <c r="C519" s="22">
        <v>4.92</v>
      </c>
      <c r="D519" s="18">
        <f t="shared" si="88"/>
        <v>2550.12</v>
      </c>
      <c r="E519" s="22">
        <v>0</v>
      </c>
      <c r="F519" s="18">
        <f t="shared" si="92"/>
        <v>0</v>
      </c>
      <c r="G519" s="18">
        <f t="shared" si="93"/>
        <v>0</v>
      </c>
      <c r="H519" s="22">
        <v>36.04</v>
      </c>
      <c r="I519" s="18">
        <f t="shared" si="94"/>
        <v>36.04</v>
      </c>
      <c r="J519" s="18">
        <f t="shared" si="95"/>
        <v>0</v>
      </c>
      <c r="K519" s="22">
        <v>36.519999999999996</v>
      </c>
      <c r="L519" s="18">
        <f t="shared" si="96"/>
        <v>36.519999999999996</v>
      </c>
      <c r="M519" s="18">
        <f t="shared" si="97"/>
        <v>0</v>
      </c>
      <c r="N519" s="15">
        <f t="shared" si="98"/>
        <v>72.56</v>
      </c>
      <c r="O519" s="15">
        <f t="shared" si="89"/>
        <v>72.56</v>
      </c>
      <c r="P519" s="15">
        <f t="shared" si="90"/>
        <v>0</v>
      </c>
      <c r="Q519" s="5">
        <f t="shared" si="91"/>
        <v>0</v>
      </c>
    </row>
    <row r="520" spans="1:17" x14ac:dyDescent="0.25">
      <c r="A520" s="7">
        <v>46287.583333333336</v>
      </c>
      <c r="B520" s="22">
        <v>1669.5</v>
      </c>
      <c r="C520" s="22">
        <v>4.4400000000000004</v>
      </c>
      <c r="D520" s="18">
        <f t="shared" si="88"/>
        <v>1673.94</v>
      </c>
      <c r="E520" s="22">
        <v>0</v>
      </c>
      <c r="F520" s="18">
        <f t="shared" si="92"/>
        <v>0</v>
      </c>
      <c r="G520" s="18">
        <f t="shared" si="93"/>
        <v>0</v>
      </c>
      <c r="H520" s="22">
        <v>20.440000000000001</v>
      </c>
      <c r="I520" s="18">
        <f t="shared" si="94"/>
        <v>20.440000000000001</v>
      </c>
      <c r="J520" s="18">
        <f t="shared" si="95"/>
        <v>0</v>
      </c>
      <c r="K520" s="22">
        <v>29.919999999999998</v>
      </c>
      <c r="L520" s="18">
        <f t="shared" si="96"/>
        <v>29.919999999999998</v>
      </c>
      <c r="M520" s="18">
        <f t="shared" si="97"/>
        <v>0</v>
      </c>
      <c r="N520" s="15">
        <f t="shared" si="98"/>
        <v>50.36</v>
      </c>
      <c r="O520" s="15">
        <f t="shared" si="89"/>
        <v>50.36</v>
      </c>
      <c r="P520" s="15">
        <f t="shared" si="90"/>
        <v>0</v>
      </c>
      <c r="Q520" s="5">
        <f t="shared" si="91"/>
        <v>0</v>
      </c>
    </row>
    <row r="521" spans="1:17" x14ac:dyDescent="0.25">
      <c r="A521" s="7">
        <v>46287.625</v>
      </c>
      <c r="B521" s="22">
        <v>1083.5999999999999</v>
      </c>
      <c r="C521" s="22">
        <v>4.92</v>
      </c>
      <c r="D521" s="18">
        <f t="shared" si="88"/>
        <v>1088.52</v>
      </c>
      <c r="E521" s="22">
        <v>0</v>
      </c>
      <c r="F521" s="18">
        <f t="shared" si="92"/>
        <v>0</v>
      </c>
      <c r="G521" s="18">
        <f t="shared" si="93"/>
        <v>0</v>
      </c>
      <c r="H521" s="22">
        <v>24.52</v>
      </c>
      <c r="I521" s="18">
        <f t="shared" si="94"/>
        <v>24.52</v>
      </c>
      <c r="J521" s="18">
        <f t="shared" si="95"/>
        <v>0</v>
      </c>
      <c r="K521" s="22">
        <v>27.64</v>
      </c>
      <c r="L521" s="18">
        <f t="shared" si="96"/>
        <v>27.64</v>
      </c>
      <c r="M521" s="18">
        <f t="shared" si="97"/>
        <v>0</v>
      </c>
      <c r="N521" s="15">
        <f t="shared" si="98"/>
        <v>52.16</v>
      </c>
      <c r="O521" s="15">
        <f t="shared" si="89"/>
        <v>52.16</v>
      </c>
      <c r="P521" s="15">
        <f t="shared" si="90"/>
        <v>0</v>
      </c>
      <c r="Q521" s="5">
        <f t="shared" si="91"/>
        <v>0</v>
      </c>
    </row>
    <row r="522" spans="1:17" x14ac:dyDescent="0.25">
      <c r="A522" s="7">
        <v>46287.666666666664</v>
      </c>
      <c r="B522" s="22">
        <v>607.95000000000005</v>
      </c>
      <c r="C522" s="22">
        <v>0.24000000000000002</v>
      </c>
      <c r="D522" s="18">
        <f t="shared" si="88"/>
        <v>608.19000000000005</v>
      </c>
      <c r="E522" s="22">
        <v>22.05</v>
      </c>
      <c r="F522" s="18">
        <f t="shared" si="92"/>
        <v>22.05</v>
      </c>
      <c r="G522" s="18">
        <f t="shared" si="93"/>
        <v>0</v>
      </c>
      <c r="H522" s="22">
        <v>76.84</v>
      </c>
      <c r="I522" s="18">
        <f t="shared" si="94"/>
        <v>76.84</v>
      </c>
      <c r="J522" s="18">
        <f t="shared" si="95"/>
        <v>0</v>
      </c>
      <c r="K522" s="22">
        <v>54.28</v>
      </c>
      <c r="L522" s="18">
        <f t="shared" si="96"/>
        <v>54.28</v>
      </c>
      <c r="M522" s="18">
        <f t="shared" si="97"/>
        <v>0</v>
      </c>
      <c r="N522" s="15">
        <f t="shared" si="98"/>
        <v>153.17000000000002</v>
      </c>
      <c r="O522" s="15">
        <f t="shared" si="89"/>
        <v>153.17000000000002</v>
      </c>
      <c r="P522" s="15">
        <f t="shared" si="90"/>
        <v>0</v>
      </c>
      <c r="Q522" s="5">
        <f t="shared" si="91"/>
        <v>0</v>
      </c>
    </row>
    <row r="523" spans="1:17" x14ac:dyDescent="0.25">
      <c r="A523" s="7">
        <v>46287.708333333336</v>
      </c>
      <c r="B523" s="22">
        <v>0</v>
      </c>
      <c r="C523" s="22">
        <v>0</v>
      </c>
      <c r="D523" s="18">
        <f t="shared" si="88"/>
        <v>0</v>
      </c>
      <c r="E523" s="22">
        <v>406.34999999999997</v>
      </c>
      <c r="F523" s="18">
        <f t="shared" si="92"/>
        <v>0</v>
      </c>
      <c r="G523" s="18">
        <f t="shared" si="93"/>
        <v>406.34999999999997</v>
      </c>
      <c r="H523" s="22">
        <v>97.48</v>
      </c>
      <c r="I523" s="18">
        <f t="shared" si="94"/>
        <v>0</v>
      </c>
      <c r="J523" s="18">
        <f t="shared" si="95"/>
        <v>97.48</v>
      </c>
      <c r="K523" s="22">
        <v>24.362000000000002</v>
      </c>
      <c r="L523" s="18">
        <f t="shared" si="96"/>
        <v>0</v>
      </c>
      <c r="M523" s="18">
        <f t="shared" si="97"/>
        <v>24.362000000000002</v>
      </c>
      <c r="N523" s="15">
        <f t="shared" si="98"/>
        <v>528.19200000000001</v>
      </c>
      <c r="O523" s="15">
        <f t="shared" si="89"/>
        <v>0</v>
      </c>
      <c r="P523" s="15">
        <f t="shared" si="90"/>
        <v>528.19200000000001</v>
      </c>
      <c r="Q523" s="5">
        <f t="shared" si="91"/>
        <v>1</v>
      </c>
    </row>
    <row r="524" spans="1:17" x14ac:dyDescent="0.25">
      <c r="A524" s="7">
        <v>46287.75</v>
      </c>
      <c r="B524" s="22">
        <v>3.15</v>
      </c>
      <c r="C524" s="22">
        <v>0</v>
      </c>
      <c r="D524" s="18">
        <f t="shared" si="88"/>
        <v>3.15</v>
      </c>
      <c r="E524" s="22">
        <v>258.29999999999995</v>
      </c>
      <c r="F524" s="18">
        <f t="shared" si="92"/>
        <v>2.1706171884378591</v>
      </c>
      <c r="G524" s="18">
        <f t="shared" si="93"/>
        <v>256.1293828115621</v>
      </c>
      <c r="H524" s="22">
        <v>93.399999999999991</v>
      </c>
      <c r="I524" s="18">
        <f t="shared" si="94"/>
        <v>0.78488441889314231</v>
      </c>
      <c r="J524" s="18">
        <f t="shared" si="95"/>
        <v>92.615115581106849</v>
      </c>
      <c r="K524" s="22">
        <v>23.145</v>
      </c>
      <c r="L524" s="18">
        <f t="shared" si="96"/>
        <v>0.19449839266896873</v>
      </c>
      <c r="M524" s="18">
        <f t="shared" si="97"/>
        <v>22.950501607331031</v>
      </c>
      <c r="N524" s="15">
        <f t="shared" si="98"/>
        <v>374.84499999999991</v>
      </c>
      <c r="O524" s="15">
        <f t="shared" si="89"/>
        <v>3.1499999999999773</v>
      </c>
      <c r="P524" s="15">
        <f t="shared" si="90"/>
        <v>371.69499999999994</v>
      </c>
      <c r="Q524" s="5">
        <f t="shared" si="91"/>
        <v>0.9915965265643133</v>
      </c>
    </row>
    <row r="525" spans="1:17" x14ac:dyDescent="0.25">
      <c r="A525" s="7">
        <v>46287.791666666664</v>
      </c>
      <c r="B525" s="22">
        <v>0</v>
      </c>
      <c r="C525" s="22">
        <v>0</v>
      </c>
      <c r="D525" s="18">
        <f t="shared" si="88"/>
        <v>0</v>
      </c>
      <c r="E525" s="22">
        <v>81.900000000000006</v>
      </c>
      <c r="F525" s="18">
        <f t="shared" si="92"/>
        <v>0</v>
      </c>
      <c r="G525" s="18">
        <f t="shared" si="93"/>
        <v>81.900000000000006</v>
      </c>
      <c r="H525" s="22">
        <v>61.12</v>
      </c>
      <c r="I525" s="18">
        <f t="shared" si="94"/>
        <v>0</v>
      </c>
      <c r="J525" s="18">
        <f t="shared" si="95"/>
        <v>61.12</v>
      </c>
      <c r="K525" s="22">
        <v>9.516</v>
      </c>
      <c r="L525" s="18">
        <f t="shared" si="96"/>
        <v>0</v>
      </c>
      <c r="M525" s="18">
        <f t="shared" si="97"/>
        <v>9.516</v>
      </c>
      <c r="N525" s="15">
        <f t="shared" si="98"/>
        <v>152.536</v>
      </c>
      <c r="O525" s="15">
        <f t="shared" si="89"/>
        <v>0</v>
      </c>
      <c r="P525" s="15">
        <f t="shared" si="90"/>
        <v>152.536</v>
      </c>
      <c r="Q525" s="5">
        <f t="shared" si="91"/>
        <v>1</v>
      </c>
    </row>
    <row r="526" spans="1:17" x14ac:dyDescent="0.25">
      <c r="A526" s="7">
        <v>46287.833333333336</v>
      </c>
      <c r="B526" s="22">
        <v>0</v>
      </c>
      <c r="C526" s="22">
        <v>0</v>
      </c>
      <c r="D526" s="18">
        <f t="shared" si="88"/>
        <v>0</v>
      </c>
      <c r="E526" s="22">
        <v>343.34999999999997</v>
      </c>
      <c r="F526" s="18">
        <f t="shared" si="92"/>
        <v>0</v>
      </c>
      <c r="G526" s="18">
        <f t="shared" si="93"/>
        <v>343.34999999999997</v>
      </c>
      <c r="H526" s="22">
        <v>41.56</v>
      </c>
      <c r="I526" s="18">
        <f t="shared" si="94"/>
        <v>0</v>
      </c>
      <c r="J526" s="18">
        <f t="shared" si="95"/>
        <v>41.56</v>
      </c>
      <c r="K526" s="22">
        <v>3.1890000000000001</v>
      </c>
      <c r="L526" s="18">
        <f t="shared" si="96"/>
        <v>0</v>
      </c>
      <c r="M526" s="18">
        <f t="shared" si="97"/>
        <v>3.1890000000000001</v>
      </c>
      <c r="N526" s="15">
        <f t="shared" si="98"/>
        <v>388.09899999999999</v>
      </c>
      <c r="O526" s="15">
        <f t="shared" si="89"/>
        <v>0</v>
      </c>
      <c r="P526" s="15">
        <f t="shared" si="90"/>
        <v>388.09899999999999</v>
      </c>
      <c r="Q526" s="5">
        <f t="shared" si="91"/>
        <v>1</v>
      </c>
    </row>
    <row r="527" spans="1:17" x14ac:dyDescent="0.25">
      <c r="A527" s="7">
        <v>46287.875</v>
      </c>
      <c r="B527" s="22">
        <v>0</v>
      </c>
      <c r="C527" s="22">
        <v>0</v>
      </c>
      <c r="D527" s="18">
        <f t="shared" si="88"/>
        <v>0</v>
      </c>
      <c r="E527" s="22">
        <v>872.55000000000007</v>
      </c>
      <c r="F527" s="18">
        <f t="shared" si="92"/>
        <v>0</v>
      </c>
      <c r="G527" s="18">
        <f t="shared" si="93"/>
        <v>872.55000000000007</v>
      </c>
      <c r="H527" s="22">
        <v>41.2</v>
      </c>
      <c r="I527" s="18">
        <f t="shared" si="94"/>
        <v>0</v>
      </c>
      <c r="J527" s="18">
        <f t="shared" si="95"/>
        <v>41.2</v>
      </c>
      <c r="K527" s="22">
        <v>4.2839999999999998</v>
      </c>
      <c r="L527" s="18">
        <f t="shared" si="96"/>
        <v>0</v>
      </c>
      <c r="M527" s="18">
        <f t="shared" si="97"/>
        <v>4.2839999999999998</v>
      </c>
      <c r="N527" s="15">
        <f t="shared" si="98"/>
        <v>918.03400000000011</v>
      </c>
      <c r="O527" s="15">
        <f t="shared" si="89"/>
        <v>0</v>
      </c>
      <c r="P527" s="15">
        <f t="shared" si="90"/>
        <v>918.03400000000011</v>
      </c>
      <c r="Q527" s="5">
        <f t="shared" si="91"/>
        <v>1</v>
      </c>
    </row>
    <row r="528" spans="1:17" x14ac:dyDescent="0.25">
      <c r="A528" s="7">
        <v>46287.916666666664</v>
      </c>
      <c r="B528" s="22">
        <v>0</v>
      </c>
      <c r="C528" s="22">
        <v>0</v>
      </c>
      <c r="D528" s="18">
        <f t="shared" si="88"/>
        <v>0</v>
      </c>
      <c r="E528" s="22">
        <v>982.8</v>
      </c>
      <c r="F528" s="18">
        <f t="shared" si="92"/>
        <v>0</v>
      </c>
      <c r="G528" s="18">
        <f t="shared" si="93"/>
        <v>982.8</v>
      </c>
      <c r="H528" s="22">
        <v>39.879999999999995</v>
      </c>
      <c r="I528" s="18">
        <f t="shared" si="94"/>
        <v>0</v>
      </c>
      <c r="J528" s="18">
        <f t="shared" si="95"/>
        <v>39.879999999999995</v>
      </c>
      <c r="K528" s="22">
        <v>3.16</v>
      </c>
      <c r="L528" s="18">
        <f t="shared" si="96"/>
        <v>0</v>
      </c>
      <c r="M528" s="18">
        <f t="shared" si="97"/>
        <v>3.16</v>
      </c>
      <c r="N528" s="15">
        <f t="shared" si="98"/>
        <v>1025.8399999999999</v>
      </c>
      <c r="O528" s="15">
        <f t="shared" si="89"/>
        <v>0</v>
      </c>
      <c r="P528" s="15">
        <f t="shared" si="90"/>
        <v>1025.8399999999999</v>
      </c>
      <c r="Q528" s="5">
        <f t="shared" si="91"/>
        <v>1</v>
      </c>
    </row>
    <row r="529" spans="1:17" x14ac:dyDescent="0.25">
      <c r="A529" s="7">
        <v>46287.958333333336</v>
      </c>
      <c r="B529" s="22">
        <v>0</v>
      </c>
      <c r="C529" s="22">
        <v>0</v>
      </c>
      <c r="D529" s="18">
        <f t="shared" si="88"/>
        <v>0</v>
      </c>
      <c r="E529" s="22">
        <v>1011.15</v>
      </c>
      <c r="F529" s="18">
        <f t="shared" si="92"/>
        <v>0</v>
      </c>
      <c r="G529" s="18">
        <f t="shared" si="93"/>
        <v>1011.15</v>
      </c>
      <c r="H529" s="22">
        <v>39.28</v>
      </c>
      <c r="I529" s="18">
        <f t="shared" si="94"/>
        <v>0</v>
      </c>
      <c r="J529" s="18">
        <f t="shared" si="95"/>
        <v>39.28</v>
      </c>
      <c r="K529" s="22">
        <v>3.16</v>
      </c>
      <c r="L529" s="18">
        <f t="shared" si="96"/>
        <v>0</v>
      </c>
      <c r="M529" s="18">
        <f t="shared" si="97"/>
        <v>3.16</v>
      </c>
      <c r="N529" s="15">
        <f t="shared" si="98"/>
        <v>1053.5900000000001</v>
      </c>
      <c r="O529" s="15">
        <f t="shared" si="89"/>
        <v>0</v>
      </c>
      <c r="P529" s="15">
        <f t="shared" si="90"/>
        <v>1053.5900000000001</v>
      </c>
      <c r="Q529" s="5">
        <f t="shared" si="91"/>
        <v>1</v>
      </c>
    </row>
    <row r="530" spans="1:17" x14ac:dyDescent="0.25">
      <c r="A530" s="7">
        <v>46288</v>
      </c>
      <c r="B530" s="22">
        <v>0</v>
      </c>
      <c r="C530" s="22">
        <v>0</v>
      </c>
      <c r="D530" s="18">
        <f t="shared" si="88"/>
        <v>0</v>
      </c>
      <c r="E530" s="22">
        <v>926.1</v>
      </c>
      <c r="F530" s="18">
        <f t="shared" si="92"/>
        <v>0</v>
      </c>
      <c r="G530" s="18">
        <f t="shared" si="93"/>
        <v>926.1</v>
      </c>
      <c r="H530" s="22">
        <v>39.4</v>
      </c>
      <c r="I530" s="18">
        <f t="shared" si="94"/>
        <v>0</v>
      </c>
      <c r="J530" s="18">
        <f t="shared" si="95"/>
        <v>39.4</v>
      </c>
      <c r="K530" s="22">
        <v>3.04</v>
      </c>
      <c r="L530" s="18">
        <f t="shared" si="96"/>
        <v>0</v>
      </c>
      <c r="M530" s="18">
        <f t="shared" si="97"/>
        <v>3.04</v>
      </c>
      <c r="N530" s="15">
        <f t="shared" si="98"/>
        <v>968.54</v>
      </c>
      <c r="O530" s="15">
        <f t="shared" si="89"/>
        <v>0</v>
      </c>
      <c r="P530" s="15">
        <f t="shared" si="90"/>
        <v>968.54</v>
      </c>
      <c r="Q530" s="5">
        <f t="shared" si="91"/>
        <v>1</v>
      </c>
    </row>
    <row r="531" spans="1:17" x14ac:dyDescent="0.25">
      <c r="A531" s="7">
        <v>46288.041666666664</v>
      </c>
      <c r="B531" s="22">
        <v>0</v>
      </c>
      <c r="C531" s="22">
        <v>0</v>
      </c>
      <c r="D531" s="18">
        <f t="shared" si="88"/>
        <v>0</v>
      </c>
      <c r="E531" s="22">
        <v>81.900000000000006</v>
      </c>
      <c r="F531" s="18">
        <f t="shared" si="92"/>
        <v>0</v>
      </c>
      <c r="G531" s="18">
        <f t="shared" si="93"/>
        <v>81.900000000000006</v>
      </c>
      <c r="H531" s="22">
        <v>38.559999999999995</v>
      </c>
      <c r="I531" s="18">
        <f t="shared" si="94"/>
        <v>0</v>
      </c>
      <c r="J531" s="18">
        <f t="shared" si="95"/>
        <v>38.559999999999995</v>
      </c>
      <c r="K531" s="22">
        <v>3.16</v>
      </c>
      <c r="L531" s="18">
        <f t="shared" si="96"/>
        <v>0</v>
      </c>
      <c r="M531" s="18">
        <f t="shared" si="97"/>
        <v>3.16</v>
      </c>
      <c r="N531" s="15">
        <f t="shared" si="98"/>
        <v>123.62</v>
      </c>
      <c r="O531" s="15">
        <f t="shared" si="89"/>
        <v>0</v>
      </c>
      <c r="P531" s="15">
        <f t="shared" si="90"/>
        <v>123.62</v>
      </c>
      <c r="Q531" s="5">
        <f t="shared" si="91"/>
        <v>1</v>
      </c>
    </row>
    <row r="532" spans="1:17" x14ac:dyDescent="0.25">
      <c r="A532" s="7">
        <v>46288.083333333336</v>
      </c>
      <c r="B532" s="22">
        <v>0</v>
      </c>
      <c r="C532" s="22">
        <v>0</v>
      </c>
      <c r="D532" s="18">
        <f t="shared" si="88"/>
        <v>0</v>
      </c>
      <c r="E532" s="22">
        <v>784.35</v>
      </c>
      <c r="F532" s="18">
        <f t="shared" si="92"/>
        <v>0</v>
      </c>
      <c r="G532" s="18">
        <f t="shared" si="93"/>
        <v>784.35</v>
      </c>
      <c r="H532" s="22">
        <v>39.28</v>
      </c>
      <c r="I532" s="18">
        <f t="shared" si="94"/>
        <v>0</v>
      </c>
      <c r="J532" s="18">
        <f t="shared" si="95"/>
        <v>39.28</v>
      </c>
      <c r="K532" s="22">
        <v>3.04</v>
      </c>
      <c r="L532" s="18">
        <f t="shared" si="96"/>
        <v>0</v>
      </c>
      <c r="M532" s="18">
        <f t="shared" si="97"/>
        <v>3.04</v>
      </c>
      <c r="N532" s="15">
        <f t="shared" si="98"/>
        <v>826.67</v>
      </c>
      <c r="O532" s="15">
        <f t="shared" si="89"/>
        <v>0</v>
      </c>
      <c r="P532" s="15">
        <f t="shared" si="90"/>
        <v>826.67</v>
      </c>
      <c r="Q532" s="5">
        <f t="shared" si="91"/>
        <v>1</v>
      </c>
    </row>
    <row r="533" spans="1:17" x14ac:dyDescent="0.25">
      <c r="A533" s="7">
        <v>46288.125</v>
      </c>
      <c r="B533" s="22">
        <v>0</v>
      </c>
      <c r="C533" s="22">
        <v>0</v>
      </c>
      <c r="D533" s="18">
        <f t="shared" si="88"/>
        <v>0</v>
      </c>
      <c r="E533" s="22">
        <v>957.6</v>
      </c>
      <c r="F533" s="18">
        <f t="shared" si="92"/>
        <v>0</v>
      </c>
      <c r="G533" s="18">
        <f t="shared" si="93"/>
        <v>957.6</v>
      </c>
      <c r="H533" s="22">
        <v>40.239999999999995</v>
      </c>
      <c r="I533" s="18">
        <f t="shared" si="94"/>
        <v>0</v>
      </c>
      <c r="J533" s="18">
        <f t="shared" si="95"/>
        <v>40.239999999999995</v>
      </c>
      <c r="K533" s="22">
        <v>2.92</v>
      </c>
      <c r="L533" s="18">
        <f t="shared" si="96"/>
        <v>0</v>
      </c>
      <c r="M533" s="18">
        <f t="shared" si="97"/>
        <v>2.92</v>
      </c>
      <c r="N533" s="15">
        <f t="shared" si="98"/>
        <v>1000.76</v>
      </c>
      <c r="O533" s="15">
        <f t="shared" si="89"/>
        <v>0</v>
      </c>
      <c r="P533" s="15">
        <f t="shared" si="90"/>
        <v>1000.76</v>
      </c>
      <c r="Q533" s="5">
        <f t="shared" si="91"/>
        <v>1</v>
      </c>
    </row>
    <row r="534" spans="1:17" x14ac:dyDescent="0.25">
      <c r="A534" s="7">
        <v>46288.166666666664</v>
      </c>
      <c r="B534" s="22">
        <v>0</v>
      </c>
      <c r="C534" s="22">
        <v>0</v>
      </c>
      <c r="D534" s="18">
        <f t="shared" si="88"/>
        <v>0</v>
      </c>
      <c r="E534" s="22">
        <v>973.35</v>
      </c>
      <c r="F534" s="18">
        <f t="shared" si="92"/>
        <v>0</v>
      </c>
      <c r="G534" s="18">
        <f t="shared" si="93"/>
        <v>973.35</v>
      </c>
      <c r="H534" s="22">
        <v>40.239999999999995</v>
      </c>
      <c r="I534" s="18">
        <f t="shared" si="94"/>
        <v>0</v>
      </c>
      <c r="J534" s="18">
        <f t="shared" si="95"/>
        <v>40.239999999999995</v>
      </c>
      <c r="K534" s="22">
        <v>3.16</v>
      </c>
      <c r="L534" s="18">
        <f t="shared" si="96"/>
        <v>0</v>
      </c>
      <c r="M534" s="18">
        <f t="shared" si="97"/>
        <v>3.16</v>
      </c>
      <c r="N534" s="15">
        <f t="shared" si="98"/>
        <v>1016.75</v>
      </c>
      <c r="O534" s="15">
        <f t="shared" si="89"/>
        <v>0</v>
      </c>
      <c r="P534" s="15">
        <f t="shared" si="90"/>
        <v>1016.75</v>
      </c>
      <c r="Q534" s="5">
        <f t="shared" si="91"/>
        <v>1</v>
      </c>
    </row>
    <row r="535" spans="1:17" x14ac:dyDescent="0.25">
      <c r="A535" s="7">
        <v>46288.208333333336</v>
      </c>
      <c r="B535" s="22">
        <v>0</v>
      </c>
      <c r="C535" s="22">
        <v>0</v>
      </c>
      <c r="D535" s="18">
        <f t="shared" si="88"/>
        <v>0</v>
      </c>
      <c r="E535" s="22">
        <v>938.69999999999993</v>
      </c>
      <c r="F535" s="18">
        <f t="shared" si="92"/>
        <v>0</v>
      </c>
      <c r="G535" s="18">
        <f t="shared" si="93"/>
        <v>938.69999999999993</v>
      </c>
      <c r="H535" s="22">
        <v>43.24</v>
      </c>
      <c r="I535" s="18">
        <f t="shared" si="94"/>
        <v>0</v>
      </c>
      <c r="J535" s="18">
        <f t="shared" si="95"/>
        <v>43.24</v>
      </c>
      <c r="K535" s="22">
        <v>4.3600000000000003</v>
      </c>
      <c r="L535" s="18">
        <f t="shared" si="96"/>
        <v>0</v>
      </c>
      <c r="M535" s="18">
        <f t="shared" si="97"/>
        <v>4.3600000000000003</v>
      </c>
      <c r="N535" s="15">
        <f t="shared" si="98"/>
        <v>986.3</v>
      </c>
      <c r="O535" s="15">
        <f t="shared" si="89"/>
        <v>0</v>
      </c>
      <c r="P535" s="15">
        <f t="shared" si="90"/>
        <v>986.3</v>
      </c>
      <c r="Q535" s="5">
        <f t="shared" si="91"/>
        <v>1</v>
      </c>
    </row>
    <row r="536" spans="1:17" x14ac:dyDescent="0.25">
      <c r="A536" s="7">
        <v>46288.25</v>
      </c>
      <c r="B536" s="22">
        <v>0</v>
      </c>
      <c r="C536" s="22">
        <v>0</v>
      </c>
      <c r="D536" s="18">
        <f t="shared" si="88"/>
        <v>0</v>
      </c>
      <c r="E536" s="22">
        <v>53.55</v>
      </c>
      <c r="F536" s="18">
        <f t="shared" si="92"/>
        <v>0</v>
      </c>
      <c r="G536" s="18">
        <f t="shared" si="93"/>
        <v>53.55</v>
      </c>
      <c r="H536" s="22">
        <v>38.199999999999996</v>
      </c>
      <c r="I536" s="18">
        <f t="shared" si="94"/>
        <v>0</v>
      </c>
      <c r="J536" s="18">
        <f t="shared" si="95"/>
        <v>38.199999999999996</v>
      </c>
      <c r="K536" s="22">
        <v>4.3600000000000003</v>
      </c>
      <c r="L536" s="18">
        <f t="shared" si="96"/>
        <v>0</v>
      </c>
      <c r="M536" s="18">
        <f t="shared" si="97"/>
        <v>4.3600000000000003</v>
      </c>
      <c r="N536" s="15">
        <f t="shared" si="98"/>
        <v>96.11</v>
      </c>
      <c r="O536" s="15">
        <f t="shared" si="89"/>
        <v>0</v>
      </c>
      <c r="P536" s="15">
        <f t="shared" si="90"/>
        <v>96.11</v>
      </c>
      <c r="Q536" s="5">
        <f t="shared" si="91"/>
        <v>1</v>
      </c>
    </row>
    <row r="537" spans="1:17" x14ac:dyDescent="0.25">
      <c r="A537" s="7">
        <v>46288.291666666664</v>
      </c>
      <c r="B537" s="22">
        <v>318.14999999999998</v>
      </c>
      <c r="C537" s="22">
        <v>0</v>
      </c>
      <c r="D537" s="18">
        <f t="shared" si="88"/>
        <v>318.14999999999998</v>
      </c>
      <c r="E537" s="22">
        <v>0</v>
      </c>
      <c r="F537" s="18">
        <f t="shared" si="92"/>
        <v>0</v>
      </c>
      <c r="G537" s="18">
        <f t="shared" si="93"/>
        <v>0</v>
      </c>
      <c r="H537" s="22">
        <v>53.68</v>
      </c>
      <c r="I537" s="18">
        <f t="shared" si="94"/>
        <v>53.68</v>
      </c>
      <c r="J537" s="18">
        <f t="shared" si="95"/>
        <v>0</v>
      </c>
      <c r="K537" s="22">
        <v>3.04</v>
      </c>
      <c r="L537" s="18">
        <f t="shared" si="96"/>
        <v>3.04</v>
      </c>
      <c r="M537" s="18">
        <f t="shared" si="97"/>
        <v>0</v>
      </c>
      <c r="N537" s="15">
        <f t="shared" si="98"/>
        <v>56.72</v>
      </c>
      <c r="O537" s="15">
        <f t="shared" si="89"/>
        <v>56.72</v>
      </c>
      <c r="P537" s="15">
        <f t="shared" si="90"/>
        <v>0</v>
      </c>
      <c r="Q537" s="5">
        <f t="shared" si="91"/>
        <v>0</v>
      </c>
    </row>
    <row r="538" spans="1:17" x14ac:dyDescent="0.25">
      <c r="A538" s="7">
        <v>46288.333333333336</v>
      </c>
      <c r="B538" s="22">
        <v>469.34999999999997</v>
      </c>
      <c r="C538" s="22">
        <v>0.12000000000000001</v>
      </c>
      <c r="D538" s="18">
        <f t="shared" si="88"/>
        <v>469.46999999999997</v>
      </c>
      <c r="E538" s="22">
        <v>0</v>
      </c>
      <c r="F538" s="18">
        <f t="shared" si="92"/>
        <v>0</v>
      </c>
      <c r="G538" s="18">
        <f t="shared" si="93"/>
        <v>0</v>
      </c>
      <c r="H538" s="22">
        <v>105.28</v>
      </c>
      <c r="I538" s="18">
        <f t="shared" si="94"/>
        <v>105.28</v>
      </c>
      <c r="J538" s="18">
        <f t="shared" si="95"/>
        <v>0</v>
      </c>
      <c r="K538" s="22">
        <v>6.28</v>
      </c>
      <c r="L538" s="18">
        <f t="shared" si="96"/>
        <v>6.28</v>
      </c>
      <c r="M538" s="18">
        <f t="shared" si="97"/>
        <v>0</v>
      </c>
      <c r="N538" s="15">
        <f t="shared" si="98"/>
        <v>111.56</v>
      </c>
      <c r="O538" s="15">
        <f t="shared" si="89"/>
        <v>111.56</v>
      </c>
      <c r="P538" s="15">
        <f t="shared" si="90"/>
        <v>0</v>
      </c>
      <c r="Q538" s="5">
        <f t="shared" si="91"/>
        <v>0</v>
      </c>
    </row>
    <row r="539" spans="1:17" x14ac:dyDescent="0.25">
      <c r="A539" s="7">
        <v>46288.375</v>
      </c>
      <c r="B539" s="22">
        <v>1675.8</v>
      </c>
      <c r="C539" s="22">
        <v>0.12000000000000001</v>
      </c>
      <c r="D539" s="18">
        <f t="shared" si="88"/>
        <v>1675.9199999999998</v>
      </c>
      <c r="E539" s="22">
        <v>0</v>
      </c>
      <c r="F539" s="18">
        <f t="shared" si="92"/>
        <v>0</v>
      </c>
      <c r="G539" s="18">
        <f t="shared" si="93"/>
        <v>0</v>
      </c>
      <c r="H539" s="22">
        <v>83.68</v>
      </c>
      <c r="I539" s="18">
        <f t="shared" si="94"/>
        <v>83.68</v>
      </c>
      <c r="J539" s="18">
        <f t="shared" si="95"/>
        <v>0</v>
      </c>
      <c r="K539" s="22">
        <v>48.88</v>
      </c>
      <c r="L539" s="18">
        <f t="shared" si="96"/>
        <v>48.88</v>
      </c>
      <c r="M539" s="18">
        <f t="shared" si="97"/>
        <v>0</v>
      </c>
      <c r="N539" s="15">
        <f t="shared" si="98"/>
        <v>132.56</v>
      </c>
      <c r="O539" s="15">
        <f t="shared" si="89"/>
        <v>132.56</v>
      </c>
      <c r="P539" s="15">
        <f t="shared" si="90"/>
        <v>0</v>
      </c>
      <c r="Q539" s="5">
        <f t="shared" si="91"/>
        <v>0</v>
      </c>
    </row>
    <row r="540" spans="1:17" x14ac:dyDescent="0.25">
      <c r="A540" s="7">
        <v>46288.416666666664</v>
      </c>
      <c r="B540" s="22">
        <v>1946.7</v>
      </c>
      <c r="C540" s="22">
        <v>0.24000000000000002</v>
      </c>
      <c r="D540" s="18">
        <f t="shared" si="88"/>
        <v>1946.94</v>
      </c>
      <c r="E540" s="22">
        <v>0</v>
      </c>
      <c r="F540" s="18">
        <f t="shared" si="92"/>
        <v>0</v>
      </c>
      <c r="G540" s="18">
        <f t="shared" si="93"/>
        <v>0</v>
      </c>
      <c r="H540" s="22">
        <v>70.599999999999994</v>
      </c>
      <c r="I540" s="18">
        <f t="shared" si="94"/>
        <v>70.599999999999994</v>
      </c>
      <c r="J540" s="18">
        <f t="shared" si="95"/>
        <v>0</v>
      </c>
      <c r="K540" s="22">
        <v>39.64</v>
      </c>
      <c r="L540" s="18">
        <f t="shared" si="96"/>
        <v>39.64</v>
      </c>
      <c r="M540" s="18">
        <f t="shared" si="97"/>
        <v>0</v>
      </c>
      <c r="N540" s="15">
        <f t="shared" si="98"/>
        <v>110.24</v>
      </c>
      <c r="O540" s="15">
        <f t="shared" si="89"/>
        <v>110.24</v>
      </c>
      <c r="P540" s="15">
        <f t="shared" si="90"/>
        <v>0</v>
      </c>
      <c r="Q540" s="5">
        <f t="shared" si="91"/>
        <v>0</v>
      </c>
    </row>
    <row r="541" spans="1:17" x14ac:dyDescent="0.25">
      <c r="A541" s="7">
        <v>46288.458333333336</v>
      </c>
      <c r="B541" s="22">
        <v>2315.25</v>
      </c>
      <c r="C541" s="22">
        <v>0.72000000000000008</v>
      </c>
      <c r="D541" s="18">
        <f t="shared" si="88"/>
        <v>2315.9699999999998</v>
      </c>
      <c r="E541" s="22">
        <v>0</v>
      </c>
      <c r="F541" s="18">
        <f t="shared" si="92"/>
        <v>0</v>
      </c>
      <c r="G541" s="18">
        <f t="shared" si="93"/>
        <v>0</v>
      </c>
      <c r="H541" s="22">
        <v>68.08</v>
      </c>
      <c r="I541" s="18">
        <f t="shared" si="94"/>
        <v>68.08</v>
      </c>
      <c r="J541" s="18">
        <f t="shared" si="95"/>
        <v>0</v>
      </c>
      <c r="K541" s="22">
        <v>32.68</v>
      </c>
      <c r="L541" s="18">
        <f t="shared" si="96"/>
        <v>32.68</v>
      </c>
      <c r="M541" s="18">
        <f t="shared" si="97"/>
        <v>0</v>
      </c>
      <c r="N541" s="15">
        <f t="shared" si="98"/>
        <v>100.75999999999999</v>
      </c>
      <c r="O541" s="15">
        <f t="shared" si="89"/>
        <v>100.75999999999999</v>
      </c>
      <c r="P541" s="15">
        <f t="shared" si="90"/>
        <v>0</v>
      </c>
      <c r="Q541" s="5">
        <f t="shared" si="91"/>
        <v>0</v>
      </c>
    </row>
    <row r="542" spans="1:17" x14ac:dyDescent="0.25">
      <c r="A542" s="7">
        <v>46288.5</v>
      </c>
      <c r="B542" s="22">
        <v>2655.4500000000003</v>
      </c>
      <c r="C542" s="22">
        <v>10.8</v>
      </c>
      <c r="D542" s="18">
        <f t="shared" si="88"/>
        <v>2666.2500000000005</v>
      </c>
      <c r="E542" s="22">
        <v>0</v>
      </c>
      <c r="F542" s="18">
        <f t="shared" si="92"/>
        <v>0</v>
      </c>
      <c r="G542" s="18">
        <f t="shared" si="93"/>
        <v>0</v>
      </c>
      <c r="H542" s="22">
        <v>37.96</v>
      </c>
      <c r="I542" s="18">
        <f t="shared" si="94"/>
        <v>37.96</v>
      </c>
      <c r="J542" s="18">
        <f t="shared" si="95"/>
        <v>0</v>
      </c>
      <c r="K542" s="22">
        <v>18.52</v>
      </c>
      <c r="L542" s="18">
        <f t="shared" si="96"/>
        <v>18.52</v>
      </c>
      <c r="M542" s="18">
        <f t="shared" si="97"/>
        <v>0</v>
      </c>
      <c r="N542" s="15">
        <f t="shared" si="98"/>
        <v>56.480000000000004</v>
      </c>
      <c r="O542" s="15">
        <f t="shared" si="89"/>
        <v>56.480000000000004</v>
      </c>
      <c r="P542" s="15">
        <f t="shared" si="90"/>
        <v>0</v>
      </c>
      <c r="Q542" s="5">
        <f t="shared" si="91"/>
        <v>0</v>
      </c>
    </row>
    <row r="543" spans="1:17" x14ac:dyDescent="0.25">
      <c r="A543" s="7">
        <v>46288.541666666664</v>
      </c>
      <c r="B543" s="22">
        <v>2116.8000000000002</v>
      </c>
      <c r="C543" s="22">
        <v>10.08</v>
      </c>
      <c r="D543" s="18">
        <f t="shared" si="88"/>
        <v>2126.88</v>
      </c>
      <c r="E543" s="22">
        <v>0</v>
      </c>
      <c r="F543" s="18">
        <f t="shared" si="92"/>
        <v>0</v>
      </c>
      <c r="G543" s="18">
        <f t="shared" si="93"/>
        <v>0</v>
      </c>
      <c r="H543" s="22">
        <v>63.76</v>
      </c>
      <c r="I543" s="18">
        <f t="shared" si="94"/>
        <v>63.76</v>
      </c>
      <c r="J543" s="18">
        <f t="shared" si="95"/>
        <v>0</v>
      </c>
      <c r="K543" s="22">
        <v>24.88</v>
      </c>
      <c r="L543" s="18">
        <f t="shared" si="96"/>
        <v>24.88</v>
      </c>
      <c r="M543" s="18">
        <f t="shared" si="97"/>
        <v>0</v>
      </c>
      <c r="N543" s="15">
        <f t="shared" si="98"/>
        <v>88.64</v>
      </c>
      <c r="O543" s="15">
        <f t="shared" si="89"/>
        <v>88.64</v>
      </c>
      <c r="P543" s="15">
        <f t="shared" si="90"/>
        <v>0</v>
      </c>
      <c r="Q543" s="5">
        <f t="shared" si="91"/>
        <v>0</v>
      </c>
    </row>
    <row r="544" spans="1:17" x14ac:dyDescent="0.25">
      <c r="A544" s="7">
        <v>46288.583333333336</v>
      </c>
      <c r="B544" s="22">
        <v>1773.45</v>
      </c>
      <c r="C544" s="22">
        <v>6.4799999999999995</v>
      </c>
      <c r="D544" s="18">
        <f t="shared" si="88"/>
        <v>1779.93</v>
      </c>
      <c r="E544" s="22">
        <v>0</v>
      </c>
      <c r="F544" s="18">
        <f t="shared" si="92"/>
        <v>0</v>
      </c>
      <c r="G544" s="18">
        <f t="shared" si="93"/>
        <v>0</v>
      </c>
      <c r="H544" s="22">
        <v>97.24</v>
      </c>
      <c r="I544" s="18">
        <f t="shared" si="94"/>
        <v>97.24</v>
      </c>
      <c r="J544" s="18">
        <f t="shared" si="95"/>
        <v>0</v>
      </c>
      <c r="K544" s="22">
        <v>39.04</v>
      </c>
      <c r="L544" s="18">
        <f t="shared" si="96"/>
        <v>39.04</v>
      </c>
      <c r="M544" s="18">
        <f t="shared" si="97"/>
        <v>0</v>
      </c>
      <c r="N544" s="15">
        <f t="shared" si="98"/>
        <v>136.28</v>
      </c>
      <c r="O544" s="15">
        <f t="shared" si="89"/>
        <v>136.28</v>
      </c>
      <c r="P544" s="15">
        <f t="shared" si="90"/>
        <v>0</v>
      </c>
      <c r="Q544" s="5">
        <f t="shared" si="91"/>
        <v>0</v>
      </c>
    </row>
    <row r="545" spans="1:17" x14ac:dyDescent="0.25">
      <c r="A545" s="7">
        <v>46288.625</v>
      </c>
      <c r="B545" s="22">
        <v>674.1</v>
      </c>
      <c r="C545" s="22">
        <v>0.12000000000000001</v>
      </c>
      <c r="D545" s="18">
        <f t="shared" si="88"/>
        <v>674.22</v>
      </c>
      <c r="E545" s="22">
        <v>81.900000000000006</v>
      </c>
      <c r="F545" s="18">
        <f t="shared" si="92"/>
        <v>81.900000000000006</v>
      </c>
      <c r="G545" s="18">
        <f t="shared" si="93"/>
        <v>0</v>
      </c>
      <c r="H545" s="22">
        <v>127.12</v>
      </c>
      <c r="I545" s="18">
        <f t="shared" si="94"/>
        <v>127.12</v>
      </c>
      <c r="J545" s="18">
        <f t="shared" si="95"/>
        <v>0</v>
      </c>
      <c r="K545" s="22">
        <v>25.6</v>
      </c>
      <c r="L545" s="18">
        <f t="shared" si="96"/>
        <v>25.6</v>
      </c>
      <c r="M545" s="18">
        <f t="shared" si="97"/>
        <v>0</v>
      </c>
      <c r="N545" s="15">
        <f t="shared" si="98"/>
        <v>234.62</v>
      </c>
      <c r="O545" s="15">
        <f t="shared" si="89"/>
        <v>234.62</v>
      </c>
      <c r="P545" s="15">
        <f t="shared" si="90"/>
        <v>0</v>
      </c>
      <c r="Q545" s="5">
        <f t="shared" si="91"/>
        <v>0</v>
      </c>
    </row>
    <row r="546" spans="1:17" x14ac:dyDescent="0.25">
      <c r="A546" s="7">
        <v>46288.666666666664</v>
      </c>
      <c r="B546" s="22">
        <v>44.1</v>
      </c>
      <c r="C546" s="22">
        <v>0</v>
      </c>
      <c r="D546" s="18">
        <f t="shared" si="88"/>
        <v>44.1</v>
      </c>
      <c r="E546" s="22">
        <v>207.9</v>
      </c>
      <c r="F546" s="18">
        <f t="shared" si="92"/>
        <v>20.488022346368723</v>
      </c>
      <c r="G546" s="18">
        <f t="shared" si="93"/>
        <v>187.41197765363128</v>
      </c>
      <c r="H546" s="22">
        <v>208.84</v>
      </c>
      <c r="I546" s="18">
        <f t="shared" si="94"/>
        <v>20.580656983240232</v>
      </c>
      <c r="J546" s="18">
        <f t="shared" si="95"/>
        <v>188.25934301675977</v>
      </c>
      <c r="K546" s="22">
        <v>30.759999999999998</v>
      </c>
      <c r="L546" s="18">
        <f t="shared" si="96"/>
        <v>3.0313206703910609</v>
      </c>
      <c r="M546" s="18">
        <f t="shared" si="97"/>
        <v>27.728679329608937</v>
      </c>
      <c r="N546" s="15">
        <f t="shared" si="98"/>
        <v>447.5</v>
      </c>
      <c r="O546" s="15">
        <f t="shared" si="89"/>
        <v>44.100000000000023</v>
      </c>
      <c r="P546" s="15">
        <f t="shared" si="90"/>
        <v>403.4</v>
      </c>
      <c r="Q546" s="5">
        <f t="shared" si="91"/>
        <v>0.90145251396648041</v>
      </c>
    </row>
    <row r="547" spans="1:17" x14ac:dyDescent="0.25">
      <c r="A547" s="7">
        <v>46288.708333333336</v>
      </c>
      <c r="B547" s="22">
        <v>0</v>
      </c>
      <c r="C547" s="22">
        <v>0</v>
      </c>
      <c r="D547" s="18">
        <f t="shared" si="88"/>
        <v>0</v>
      </c>
      <c r="E547" s="22">
        <v>680.4</v>
      </c>
      <c r="F547" s="18">
        <f t="shared" si="92"/>
        <v>0</v>
      </c>
      <c r="G547" s="18">
        <f t="shared" si="93"/>
        <v>680.4</v>
      </c>
      <c r="H547" s="22">
        <v>111.64</v>
      </c>
      <c r="I547" s="18">
        <f t="shared" si="94"/>
        <v>0</v>
      </c>
      <c r="J547" s="18">
        <f t="shared" si="95"/>
        <v>111.64</v>
      </c>
      <c r="K547" s="22">
        <v>15.966000000000001</v>
      </c>
      <c r="L547" s="18">
        <f t="shared" si="96"/>
        <v>0</v>
      </c>
      <c r="M547" s="18">
        <f t="shared" si="97"/>
        <v>15.966000000000001</v>
      </c>
      <c r="N547" s="15">
        <f t="shared" si="98"/>
        <v>808.00599999999997</v>
      </c>
      <c r="O547" s="15">
        <f t="shared" si="89"/>
        <v>0</v>
      </c>
      <c r="P547" s="15">
        <f t="shared" si="90"/>
        <v>808.00599999999997</v>
      </c>
      <c r="Q547" s="5">
        <f t="shared" si="91"/>
        <v>1</v>
      </c>
    </row>
    <row r="548" spans="1:17" x14ac:dyDescent="0.25">
      <c r="A548" s="7">
        <v>46288.75</v>
      </c>
      <c r="B548" s="22">
        <v>0</v>
      </c>
      <c r="C548" s="22">
        <v>0</v>
      </c>
      <c r="D548" s="18">
        <f t="shared" si="88"/>
        <v>0</v>
      </c>
      <c r="E548" s="22">
        <v>223.64999999999998</v>
      </c>
      <c r="F548" s="18">
        <f t="shared" si="92"/>
        <v>0</v>
      </c>
      <c r="G548" s="18">
        <f t="shared" si="93"/>
        <v>223.64999999999998</v>
      </c>
      <c r="H548" s="22">
        <v>54.28</v>
      </c>
      <c r="I548" s="18">
        <f t="shared" si="94"/>
        <v>0</v>
      </c>
      <c r="J548" s="18">
        <f t="shared" si="95"/>
        <v>54.28</v>
      </c>
      <c r="K548" s="22">
        <v>16.939</v>
      </c>
      <c r="L548" s="18">
        <f t="shared" si="96"/>
        <v>0</v>
      </c>
      <c r="M548" s="18">
        <f t="shared" si="97"/>
        <v>16.939</v>
      </c>
      <c r="N548" s="15">
        <f t="shared" si="98"/>
        <v>294.86899999999997</v>
      </c>
      <c r="O548" s="15">
        <f t="shared" si="89"/>
        <v>0</v>
      </c>
      <c r="P548" s="15">
        <f t="shared" si="90"/>
        <v>294.86899999999997</v>
      </c>
      <c r="Q548" s="5">
        <f t="shared" si="91"/>
        <v>1</v>
      </c>
    </row>
    <row r="549" spans="1:17" x14ac:dyDescent="0.25">
      <c r="A549" s="7">
        <v>46288.791666666664</v>
      </c>
      <c r="B549" s="22">
        <v>0</v>
      </c>
      <c r="C549" s="22">
        <v>0</v>
      </c>
      <c r="D549" s="18">
        <f t="shared" si="88"/>
        <v>0</v>
      </c>
      <c r="E549" s="22">
        <v>166.95</v>
      </c>
      <c r="F549" s="18">
        <f t="shared" si="92"/>
        <v>0</v>
      </c>
      <c r="G549" s="18">
        <f t="shared" si="93"/>
        <v>166.95</v>
      </c>
      <c r="H549" s="22">
        <v>42.4</v>
      </c>
      <c r="I549" s="18">
        <f t="shared" si="94"/>
        <v>0</v>
      </c>
      <c r="J549" s="18">
        <f t="shared" si="95"/>
        <v>42.4</v>
      </c>
      <c r="K549" s="22">
        <v>13.045</v>
      </c>
      <c r="L549" s="18">
        <f t="shared" si="96"/>
        <v>0</v>
      </c>
      <c r="M549" s="18">
        <f t="shared" si="97"/>
        <v>13.045</v>
      </c>
      <c r="N549" s="15">
        <f t="shared" si="98"/>
        <v>222.39499999999998</v>
      </c>
      <c r="O549" s="15">
        <f t="shared" si="89"/>
        <v>0</v>
      </c>
      <c r="P549" s="15">
        <f t="shared" si="90"/>
        <v>222.39499999999998</v>
      </c>
      <c r="Q549" s="5">
        <f t="shared" si="91"/>
        <v>1</v>
      </c>
    </row>
    <row r="550" spans="1:17" x14ac:dyDescent="0.25">
      <c r="A550" s="7">
        <v>46288.833333333336</v>
      </c>
      <c r="B550" s="22">
        <v>0</v>
      </c>
      <c r="C550" s="22">
        <v>0</v>
      </c>
      <c r="D550" s="18">
        <f t="shared" si="88"/>
        <v>0</v>
      </c>
      <c r="E550" s="22">
        <v>176.4</v>
      </c>
      <c r="F550" s="18">
        <f t="shared" si="92"/>
        <v>0</v>
      </c>
      <c r="G550" s="18">
        <f t="shared" si="93"/>
        <v>176.4</v>
      </c>
      <c r="H550" s="22">
        <v>43.72</v>
      </c>
      <c r="I550" s="18">
        <f t="shared" si="94"/>
        <v>0</v>
      </c>
      <c r="J550" s="18">
        <f t="shared" si="95"/>
        <v>43.72</v>
      </c>
      <c r="K550" s="22">
        <v>11.584999999999999</v>
      </c>
      <c r="L550" s="18">
        <f t="shared" si="96"/>
        <v>0</v>
      </c>
      <c r="M550" s="18">
        <f t="shared" si="97"/>
        <v>11.584999999999999</v>
      </c>
      <c r="N550" s="15">
        <f t="shared" si="98"/>
        <v>231.70500000000001</v>
      </c>
      <c r="O550" s="15">
        <f t="shared" si="89"/>
        <v>0</v>
      </c>
      <c r="P550" s="15">
        <f t="shared" si="90"/>
        <v>231.70500000000001</v>
      </c>
      <c r="Q550" s="5">
        <f t="shared" si="91"/>
        <v>1</v>
      </c>
    </row>
    <row r="551" spans="1:17" x14ac:dyDescent="0.25">
      <c r="A551" s="7">
        <v>46288.875</v>
      </c>
      <c r="B551" s="22">
        <v>0</v>
      </c>
      <c r="C551" s="22">
        <v>0</v>
      </c>
      <c r="D551" s="18">
        <f t="shared" si="88"/>
        <v>0</v>
      </c>
      <c r="E551" s="22">
        <v>384.29999999999995</v>
      </c>
      <c r="F551" s="18">
        <f t="shared" si="92"/>
        <v>0</v>
      </c>
      <c r="G551" s="18">
        <f t="shared" si="93"/>
        <v>384.29999999999995</v>
      </c>
      <c r="H551" s="22">
        <v>40.480000000000004</v>
      </c>
      <c r="I551" s="18">
        <f t="shared" si="94"/>
        <v>0</v>
      </c>
      <c r="J551" s="18">
        <f t="shared" si="95"/>
        <v>40.480000000000004</v>
      </c>
      <c r="K551" s="22">
        <v>3.5539999999999998</v>
      </c>
      <c r="L551" s="18">
        <f t="shared" si="96"/>
        <v>0</v>
      </c>
      <c r="M551" s="18">
        <f t="shared" si="97"/>
        <v>3.5539999999999998</v>
      </c>
      <c r="N551" s="15">
        <f t="shared" si="98"/>
        <v>428.33399999999995</v>
      </c>
      <c r="O551" s="15">
        <f t="shared" si="89"/>
        <v>0</v>
      </c>
      <c r="P551" s="15">
        <f t="shared" si="90"/>
        <v>428.33399999999995</v>
      </c>
      <c r="Q551" s="5">
        <f t="shared" si="91"/>
        <v>1</v>
      </c>
    </row>
    <row r="552" spans="1:17" x14ac:dyDescent="0.25">
      <c r="A552" s="7">
        <v>46288.916666666664</v>
      </c>
      <c r="B552" s="22">
        <v>0</v>
      </c>
      <c r="C552" s="22">
        <v>0</v>
      </c>
      <c r="D552" s="18">
        <f t="shared" si="88"/>
        <v>0</v>
      </c>
      <c r="E552" s="22">
        <v>815.84999999999991</v>
      </c>
      <c r="F552" s="18">
        <f t="shared" si="92"/>
        <v>0</v>
      </c>
      <c r="G552" s="18">
        <f t="shared" si="93"/>
        <v>815.84999999999991</v>
      </c>
      <c r="H552" s="22">
        <v>38.440000000000005</v>
      </c>
      <c r="I552" s="18">
        <f t="shared" si="94"/>
        <v>0</v>
      </c>
      <c r="J552" s="18">
        <f t="shared" si="95"/>
        <v>38.440000000000005</v>
      </c>
      <c r="K552" s="22">
        <v>3.16</v>
      </c>
      <c r="L552" s="18">
        <f t="shared" si="96"/>
        <v>0</v>
      </c>
      <c r="M552" s="18">
        <f t="shared" si="97"/>
        <v>3.16</v>
      </c>
      <c r="N552" s="15">
        <f t="shared" si="98"/>
        <v>857.44999999999993</v>
      </c>
      <c r="O552" s="15">
        <f t="shared" si="89"/>
        <v>0</v>
      </c>
      <c r="P552" s="15">
        <f t="shared" si="90"/>
        <v>857.44999999999993</v>
      </c>
      <c r="Q552" s="5">
        <f t="shared" si="91"/>
        <v>1</v>
      </c>
    </row>
    <row r="553" spans="1:17" x14ac:dyDescent="0.25">
      <c r="A553" s="7">
        <v>46288.958333333336</v>
      </c>
      <c r="B553" s="22">
        <v>0</v>
      </c>
      <c r="C553" s="22">
        <v>0</v>
      </c>
      <c r="D553" s="18">
        <f t="shared" si="88"/>
        <v>0</v>
      </c>
      <c r="E553" s="22">
        <v>630</v>
      </c>
      <c r="F553" s="18">
        <f t="shared" si="92"/>
        <v>0</v>
      </c>
      <c r="G553" s="18">
        <f t="shared" si="93"/>
        <v>630</v>
      </c>
      <c r="H553" s="22">
        <v>39.4</v>
      </c>
      <c r="I553" s="18">
        <f t="shared" si="94"/>
        <v>0</v>
      </c>
      <c r="J553" s="18">
        <f t="shared" si="95"/>
        <v>39.4</v>
      </c>
      <c r="K553" s="22">
        <v>3.04</v>
      </c>
      <c r="L553" s="18">
        <f t="shared" si="96"/>
        <v>0</v>
      </c>
      <c r="M553" s="18">
        <f t="shared" si="97"/>
        <v>3.04</v>
      </c>
      <c r="N553" s="15">
        <f t="shared" si="98"/>
        <v>672.43999999999994</v>
      </c>
      <c r="O553" s="15">
        <f t="shared" si="89"/>
        <v>0</v>
      </c>
      <c r="P553" s="15">
        <f t="shared" si="90"/>
        <v>672.43999999999994</v>
      </c>
      <c r="Q553" s="5">
        <f t="shared" si="91"/>
        <v>1</v>
      </c>
    </row>
    <row r="554" spans="1:17" x14ac:dyDescent="0.25">
      <c r="A554" s="7">
        <v>46289</v>
      </c>
      <c r="B554" s="22">
        <v>0</v>
      </c>
      <c r="C554" s="22">
        <v>0</v>
      </c>
      <c r="D554" s="18">
        <f t="shared" si="88"/>
        <v>0</v>
      </c>
      <c r="E554" s="22">
        <v>803.25</v>
      </c>
      <c r="F554" s="18">
        <f t="shared" si="92"/>
        <v>0</v>
      </c>
      <c r="G554" s="18">
        <f t="shared" si="93"/>
        <v>803.25</v>
      </c>
      <c r="H554" s="22">
        <v>38.800000000000004</v>
      </c>
      <c r="I554" s="18">
        <f t="shared" si="94"/>
        <v>0</v>
      </c>
      <c r="J554" s="18">
        <f t="shared" si="95"/>
        <v>38.800000000000004</v>
      </c>
      <c r="K554" s="22">
        <v>2.92</v>
      </c>
      <c r="L554" s="18">
        <f t="shared" si="96"/>
        <v>0</v>
      </c>
      <c r="M554" s="18">
        <f t="shared" si="97"/>
        <v>2.92</v>
      </c>
      <c r="N554" s="15">
        <f t="shared" si="98"/>
        <v>844.96999999999991</v>
      </c>
      <c r="O554" s="15">
        <f t="shared" si="89"/>
        <v>0</v>
      </c>
      <c r="P554" s="15">
        <f t="shared" si="90"/>
        <v>844.96999999999991</v>
      </c>
      <c r="Q554" s="5">
        <f t="shared" si="91"/>
        <v>1</v>
      </c>
    </row>
    <row r="555" spans="1:17" x14ac:dyDescent="0.25">
      <c r="A555" s="7">
        <v>46289.041666666664</v>
      </c>
      <c r="B555" s="22">
        <v>0</v>
      </c>
      <c r="C555" s="22">
        <v>0</v>
      </c>
      <c r="D555" s="18">
        <f t="shared" si="88"/>
        <v>0</v>
      </c>
      <c r="E555" s="22">
        <v>122.85</v>
      </c>
      <c r="F555" s="18">
        <f t="shared" si="92"/>
        <v>0</v>
      </c>
      <c r="G555" s="18">
        <f t="shared" si="93"/>
        <v>122.85</v>
      </c>
      <c r="H555" s="22">
        <v>38.559999999999995</v>
      </c>
      <c r="I555" s="18">
        <f t="shared" si="94"/>
        <v>0</v>
      </c>
      <c r="J555" s="18">
        <f t="shared" si="95"/>
        <v>38.559999999999995</v>
      </c>
      <c r="K555" s="22">
        <v>3.16</v>
      </c>
      <c r="L555" s="18">
        <f t="shared" si="96"/>
        <v>0</v>
      </c>
      <c r="M555" s="18">
        <f t="shared" si="97"/>
        <v>3.16</v>
      </c>
      <c r="N555" s="15">
        <f t="shared" si="98"/>
        <v>164.57</v>
      </c>
      <c r="O555" s="15">
        <f t="shared" si="89"/>
        <v>0</v>
      </c>
      <c r="P555" s="15">
        <f t="shared" si="90"/>
        <v>164.57</v>
      </c>
      <c r="Q555" s="5">
        <f t="shared" si="91"/>
        <v>1</v>
      </c>
    </row>
    <row r="556" spans="1:17" x14ac:dyDescent="0.25">
      <c r="A556" s="7">
        <v>46289.083333333336</v>
      </c>
      <c r="B556" s="22">
        <v>0</v>
      </c>
      <c r="C556" s="22">
        <v>0</v>
      </c>
      <c r="D556" s="18">
        <f t="shared" si="88"/>
        <v>0</v>
      </c>
      <c r="E556" s="22">
        <v>576.45000000000005</v>
      </c>
      <c r="F556" s="18">
        <f t="shared" si="92"/>
        <v>0</v>
      </c>
      <c r="G556" s="18">
        <f t="shared" si="93"/>
        <v>576.45000000000005</v>
      </c>
      <c r="H556" s="22">
        <v>39.879999999999995</v>
      </c>
      <c r="I556" s="18">
        <f t="shared" si="94"/>
        <v>0</v>
      </c>
      <c r="J556" s="18">
        <f t="shared" si="95"/>
        <v>39.879999999999995</v>
      </c>
      <c r="K556" s="22">
        <v>4.12</v>
      </c>
      <c r="L556" s="18">
        <f t="shared" si="96"/>
        <v>0</v>
      </c>
      <c r="M556" s="18">
        <f t="shared" si="97"/>
        <v>4.12</v>
      </c>
      <c r="N556" s="15">
        <f t="shared" si="98"/>
        <v>620.45000000000005</v>
      </c>
      <c r="O556" s="15">
        <f t="shared" si="89"/>
        <v>0</v>
      </c>
      <c r="P556" s="15">
        <f t="shared" si="90"/>
        <v>620.45000000000005</v>
      </c>
      <c r="Q556" s="5">
        <f t="shared" si="91"/>
        <v>1</v>
      </c>
    </row>
    <row r="557" spans="1:17" x14ac:dyDescent="0.25">
      <c r="A557" s="7">
        <v>46289.125</v>
      </c>
      <c r="B557" s="22">
        <v>0</v>
      </c>
      <c r="C557" s="22">
        <v>0</v>
      </c>
      <c r="D557" s="18">
        <f t="shared" si="88"/>
        <v>0</v>
      </c>
      <c r="E557" s="22">
        <v>900.90000000000009</v>
      </c>
      <c r="F557" s="18">
        <f t="shared" si="92"/>
        <v>0</v>
      </c>
      <c r="G557" s="18">
        <f t="shared" si="93"/>
        <v>900.90000000000009</v>
      </c>
      <c r="H557" s="22">
        <v>40.120000000000005</v>
      </c>
      <c r="I557" s="18">
        <f t="shared" si="94"/>
        <v>0</v>
      </c>
      <c r="J557" s="18">
        <f t="shared" si="95"/>
        <v>40.120000000000005</v>
      </c>
      <c r="K557" s="22">
        <v>8.3199999999999985</v>
      </c>
      <c r="L557" s="18">
        <f t="shared" si="96"/>
        <v>0</v>
      </c>
      <c r="M557" s="18">
        <f t="shared" si="97"/>
        <v>8.3199999999999985</v>
      </c>
      <c r="N557" s="15">
        <f t="shared" si="98"/>
        <v>949.34000000000015</v>
      </c>
      <c r="O557" s="15">
        <f t="shared" si="89"/>
        <v>0</v>
      </c>
      <c r="P557" s="15">
        <f t="shared" si="90"/>
        <v>949.34000000000015</v>
      </c>
      <c r="Q557" s="5">
        <f t="shared" si="91"/>
        <v>1</v>
      </c>
    </row>
    <row r="558" spans="1:17" x14ac:dyDescent="0.25">
      <c r="A558" s="7">
        <v>46289.166666666664</v>
      </c>
      <c r="B558" s="22">
        <v>0</v>
      </c>
      <c r="C558" s="22">
        <v>0</v>
      </c>
      <c r="D558" s="18">
        <f t="shared" si="88"/>
        <v>0</v>
      </c>
      <c r="E558" s="22">
        <v>863.1</v>
      </c>
      <c r="F558" s="18">
        <f t="shared" si="92"/>
        <v>0</v>
      </c>
      <c r="G558" s="18">
        <f t="shared" si="93"/>
        <v>863.1</v>
      </c>
      <c r="H558" s="22">
        <v>39.879999999999995</v>
      </c>
      <c r="I558" s="18">
        <f t="shared" si="94"/>
        <v>0</v>
      </c>
      <c r="J558" s="18">
        <f t="shared" si="95"/>
        <v>39.879999999999995</v>
      </c>
      <c r="K558" s="22">
        <v>7.24</v>
      </c>
      <c r="L558" s="18">
        <f t="shared" si="96"/>
        <v>0</v>
      </c>
      <c r="M558" s="18">
        <f t="shared" si="97"/>
        <v>7.24</v>
      </c>
      <c r="N558" s="15">
        <f t="shared" si="98"/>
        <v>910.22</v>
      </c>
      <c r="O558" s="15">
        <f t="shared" si="89"/>
        <v>0</v>
      </c>
      <c r="P558" s="15">
        <f t="shared" si="90"/>
        <v>910.22</v>
      </c>
      <c r="Q558" s="5">
        <f t="shared" si="91"/>
        <v>1</v>
      </c>
    </row>
    <row r="559" spans="1:17" x14ac:dyDescent="0.25">
      <c r="A559" s="7">
        <v>46289.208333333336</v>
      </c>
      <c r="B559" s="22">
        <v>0</v>
      </c>
      <c r="C559" s="22">
        <v>0</v>
      </c>
      <c r="D559" s="18">
        <f t="shared" si="88"/>
        <v>0</v>
      </c>
      <c r="E559" s="22">
        <v>837.9</v>
      </c>
      <c r="F559" s="18">
        <f t="shared" si="92"/>
        <v>0</v>
      </c>
      <c r="G559" s="18">
        <f t="shared" si="93"/>
        <v>837.9</v>
      </c>
      <c r="H559" s="22">
        <v>42.64</v>
      </c>
      <c r="I559" s="18">
        <f t="shared" si="94"/>
        <v>0</v>
      </c>
      <c r="J559" s="18">
        <f t="shared" si="95"/>
        <v>42.64</v>
      </c>
      <c r="K559" s="22">
        <v>4.7200000000000006</v>
      </c>
      <c r="L559" s="18">
        <f t="shared" si="96"/>
        <v>0</v>
      </c>
      <c r="M559" s="18">
        <f t="shared" si="97"/>
        <v>4.7200000000000006</v>
      </c>
      <c r="N559" s="15">
        <f t="shared" si="98"/>
        <v>885.26</v>
      </c>
      <c r="O559" s="15">
        <f t="shared" si="89"/>
        <v>0</v>
      </c>
      <c r="P559" s="15">
        <f t="shared" si="90"/>
        <v>885.26</v>
      </c>
      <c r="Q559" s="5">
        <f t="shared" si="91"/>
        <v>1</v>
      </c>
    </row>
    <row r="560" spans="1:17" x14ac:dyDescent="0.25">
      <c r="A560" s="7">
        <v>46289.25</v>
      </c>
      <c r="B560" s="22">
        <v>0</v>
      </c>
      <c r="C560" s="22">
        <v>0</v>
      </c>
      <c r="D560" s="18">
        <f t="shared" si="88"/>
        <v>0</v>
      </c>
      <c r="E560" s="22">
        <v>69.3</v>
      </c>
      <c r="F560" s="18">
        <f t="shared" si="92"/>
        <v>0</v>
      </c>
      <c r="G560" s="18">
        <f t="shared" si="93"/>
        <v>69.3</v>
      </c>
      <c r="H560" s="22">
        <v>40.840000000000003</v>
      </c>
      <c r="I560" s="18">
        <f t="shared" si="94"/>
        <v>0</v>
      </c>
      <c r="J560" s="18">
        <f t="shared" si="95"/>
        <v>40.840000000000003</v>
      </c>
      <c r="K560" s="22">
        <v>4.84</v>
      </c>
      <c r="L560" s="18">
        <f t="shared" si="96"/>
        <v>0</v>
      </c>
      <c r="M560" s="18">
        <f t="shared" si="97"/>
        <v>4.84</v>
      </c>
      <c r="N560" s="15">
        <f t="shared" si="98"/>
        <v>114.98</v>
      </c>
      <c r="O560" s="15">
        <f t="shared" si="89"/>
        <v>0</v>
      </c>
      <c r="P560" s="15">
        <f t="shared" si="90"/>
        <v>114.98</v>
      </c>
      <c r="Q560" s="5">
        <f t="shared" si="91"/>
        <v>1</v>
      </c>
    </row>
    <row r="561" spans="1:17" x14ac:dyDescent="0.25">
      <c r="A561" s="7">
        <v>46289.291666666664</v>
      </c>
      <c r="B561" s="22">
        <v>69.3</v>
      </c>
      <c r="C561" s="22">
        <v>0</v>
      </c>
      <c r="D561" s="18">
        <f t="shared" si="88"/>
        <v>69.3</v>
      </c>
      <c r="E561" s="22">
        <v>15.75</v>
      </c>
      <c r="F561" s="18">
        <f t="shared" si="92"/>
        <v>15.75</v>
      </c>
      <c r="G561" s="18">
        <f t="shared" si="93"/>
        <v>0</v>
      </c>
      <c r="H561" s="22">
        <v>46.6</v>
      </c>
      <c r="I561" s="18">
        <f t="shared" si="94"/>
        <v>46.6</v>
      </c>
      <c r="J561" s="18">
        <f t="shared" si="95"/>
        <v>0</v>
      </c>
      <c r="K561" s="22">
        <v>3.28</v>
      </c>
      <c r="L561" s="18">
        <f t="shared" si="96"/>
        <v>3.28</v>
      </c>
      <c r="M561" s="18">
        <f t="shared" si="97"/>
        <v>0</v>
      </c>
      <c r="N561" s="15">
        <f t="shared" si="98"/>
        <v>65.63</v>
      </c>
      <c r="O561" s="15">
        <f t="shared" si="89"/>
        <v>65.63</v>
      </c>
      <c r="P561" s="15">
        <f t="shared" si="90"/>
        <v>0</v>
      </c>
      <c r="Q561" s="5">
        <f t="shared" si="91"/>
        <v>0</v>
      </c>
    </row>
    <row r="562" spans="1:17" x14ac:dyDescent="0.25">
      <c r="A562" s="7">
        <v>46289.333333333336</v>
      </c>
      <c r="B562" s="22">
        <v>56.7</v>
      </c>
      <c r="C562" s="22">
        <v>0</v>
      </c>
      <c r="D562" s="18">
        <f t="shared" si="88"/>
        <v>56.7</v>
      </c>
      <c r="E562" s="22">
        <v>239.4</v>
      </c>
      <c r="F562" s="18">
        <f t="shared" si="92"/>
        <v>32.359063602555523</v>
      </c>
      <c r="G562" s="18">
        <f t="shared" si="93"/>
        <v>207.04093639744448</v>
      </c>
      <c r="H562" s="22">
        <v>169.96</v>
      </c>
      <c r="I562" s="18">
        <f t="shared" si="94"/>
        <v>22.973042814913697</v>
      </c>
      <c r="J562" s="18">
        <f t="shared" si="95"/>
        <v>146.98695718508631</v>
      </c>
      <c r="K562" s="22">
        <v>10.120000000000001</v>
      </c>
      <c r="L562" s="18">
        <f t="shared" si="96"/>
        <v>1.3678935825307512</v>
      </c>
      <c r="M562" s="18">
        <f t="shared" si="97"/>
        <v>8.7521064174692498</v>
      </c>
      <c r="N562" s="15">
        <f t="shared" si="98"/>
        <v>419.48</v>
      </c>
      <c r="O562" s="15">
        <f t="shared" si="89"/>
        <v>56.699999999999989</v>
      </c>
      <c r="P562" s="15">
        <f t="shared" si="90"/>
        <v>362.78000000000003</v>
      </c>
      <c r="Q562" s="5">
        <f t="shared" si="91"/>
        <v>0.86483264994755416</v>
      </c>
    </row>
    <row r="563" spans="1:17" x14ac:dyDescent="0.25">
      <c r="A563" s="7">
        <v>46289.375</v>
      </c>
      <c r="B563" s="22">
        <v>59.85</v>
      </c>
      <c r="C563" s="22">
        <v>0</v>
      </c>
      <c r="D563" s="18">
        <f t="shared" si="88"/>
        <v>59.85</v>
      </c>
      <c r="E563" s="22">
        <v>126</v>
      </c>
      <c r="F563" s="18">
        <f t="shared" si="92"/>
        <v>22.239884393063591</v>
      </c>
      <c r="G563" s="18">
        <f t="shared" si="93"/>
        <v>103.76011560693641</v>
      </c>
      <c r="H563" s="22">
        <v>192.76</v>
      </c>
      <c r="I563" s="18">
        <f t="shared" si="94"/>
        <v>34.023492981007422</v>
      </c>
      <c r="J563" s="18">
        <f t="shared" si="95"/>
        <v>158.73650701899257</v>
      </c>
      <c r="K563" s="22">
        <v>20.32</v>
      </c>
      <c r="L563" s="18">
        <f t="shared" si="96"/>
        <v>3.5866226259289853</v>
      </c>
      <c r="M563" s="18">
        <f t="shared" si="97"/>
        <v>16.733377374071015</v>
      </c>
      <c r="N563" s="15">
        <f t="shared" si="98"/>
        <v>339.08</v>
      </c>
      <c r="O563" s="15">
        <f t="shared" si="89"/>
        <v>59.850000000000023</v>
      </c>
      <c r="P563" s="15">
        <f t="shared" si="90"/>
        <v>279.22999999999996</v>
      </c>
      <c r="Q563" s="5">
        <f t="shared" si="91"/>
        <v>0.82349298100743185</v>
      </c>
    </row>
    <row r="564" spans="1:17" x14ac:dyDescent="0.25">
      <c r="A564" s="7">
        <v>46289.416666666664</v>
      </c>
      <c r="B564" s="22">
        <v>340.2</v>
      </c>
      <c r="C564" s="22">
        <v>0</v>
      </c>
      <c r="D564" s="18">
        <f t="shared" si="88"/>
        <v>340.2</v>
      </c>
      <c r="E564" s="22">
        <v>0</v>
      </c>
      <c r="F564" s="18">
        <f t="shared" si="92"/>
        <v>0</v>
      </c>
      <c r="G564" s="18">
        <f t="shared" si="93"/>
        <v>0</v>
      </c>
      <c r="H564" s="22">
        <v>152.56</v>
      </c>
      <c r="I564" s="18">
        <f t="shared" si="94"/>
        <v>152.56</v>
      </c>
      <c r="J564" s="18">
        <f t="shared" si="95"/>
        <v>0</v>
      </c>
      <c r="K564" s="22">
        <v>25.36</v>
      </c>
      <c r="L564" s="18">
        <f t="shared" si="96"/>
        <v>25.36</v>
      </c>
      <c r="M564" s="18">
        <f t="shared" si="97"/>
        <v>0</v>
      </c>
      <c r="N564" s="15">
        <f t="shared" si="98"/>
        <v>177.92000000000002</v>
      </c>
      <c r="O564" s="15">
        <f t="shared" si="89"/>
        <v>177.92000000000002</v>
      </c>
      <c r="P564" s="15">
        <f t="shared" si="90"/>
        <v>0</v>
      </c>
      <c r="Q564" s="5">
        <f t="shared" si="91"/>
        <v>0</v>
      </c>
    </row>
    <row r="565" spans="1:17" x14ac:dyDescent="0.25">
      <c r="A565" s="7">
        <v>46289.458333333336</v>
      </c>
      <c r="B565" s="22">
        <v>677.25</v>
      </c>
      <c r="C565" s="22">
        <v>0.84000000000000008</v>
      </c>
      <c r="D565" s="18">
        <f t="shared" si="88"/>
        <v>678.09</v>
      </c>
      <c r="E565" s="22">
        <v>12.6</v>
      </c>
      <c r="F565" s="18">
        <f t="shared" si="92"/>
        <v>12.6</v>
      </c>
      <c r="G565" s="18">
        <f t="shared" si="93"/>
        <v>0</v>
      </c>
      <c r="H565" s="22">
        <v>82.36</v>
      </c>
      <c r="I565" s="18">
        <f t="shared" si="94"/>
        <v>82.36</v>
      </c>
      <c r="J565" s="18">
        <f t="shared" si="95"/>
        <v>0</v>
      </c>
      <c r="K565" s="22">
        <v>55.599999999999994</v>
      </c>
      <c r="L565" s="18">
        <f t="shared" si="96"/>
        <v>55.599999999999994</v>
      </c>
      <c r="M565" s="18">
        <f t="shared" si="97"/>
        <v>0</v>
      </c>
      <c r="N565" s="15">
        <f t="shared" si="98"/>
        <v>150.56</v>
      </c>
      <c r="O565" s="15">
        <f t="shared" si="89"/>
        <v>150.56</v>
      </c>
      <c r="P565" s="15">
        <f t="shared" si="90"/>
        <v>0</v>
      </c>
      <c r="Q565" s="5">
        <f t="shared" si="91"/>
        <v>0</v>
      </c>
    </row>
    <row r="566" spans="1:17" x14ac:dyDescent="0.25">
      <c r="A566" s="7">
        <v>46289.5</v>
      </c>
      <c r="B566" s="22">
        <v>995.4</v>
      </c>
      <c r="C566" s="22">
        <v>0.84000000000000008</v>
      </c>
      <c r="D566" s="18">
        <f t="shared" si="88"/>
        <v>996.24</v>
      </c>
      <c r="E566" s="22">
        <v>0</v>
      </c>
      <c r="F566" s="18">
        <f t="shared" si="92"/>
        <v>0</v>
      </c>
      <c r="G566" s="18">
        <f t="shared" si="93"/>
        <v>0</v>
      </c>
      <c r="H566" s="22">
        <v>101.32</v>
      </c>
      <c r="I566" s="18">
        <f t="shared" si="94"/>
        <v>101.32</v>
      </c>
      <c r="J566" s="18">
        <f t="shared" si="95"/>
        <v>0</v>
      </c>
      <c r="K566" s="22">
        <v>44.56</v>
      </c>
      <c r="L566" s="18">
        <f t="shared" si="96"/>
        <v>44.56</v>
      </c>
      <c r="M566" s="18">
        <f t="shared" si="97"/>
        <v>0</v>
      </c>
      <c r="N566" s="15">
        <f t="shared" si="98"/>
        <v>145.88</v>
      </c>
      <c r="O566" s="15">
        <f t="shared" si="89"/>
        <v>145.88</v>
      </c>
      <c r="P566" s="15">
        <f t="shared" si="90"/>
        <v>0</v>
      </c>
      <c r="Q566" s="5">
        <f t="shared" si="91"/>
        <v>0</v>
      </c>
    </row>
    <row r="567" spans="1:17" x14ac:dyDescent="0.25">
      <c r="A567" s="7">
        <v>46289.541666666664</v>
      </c>
      <c r="B567" s="22">
        <v>2371.9499999999998</v>
      </c>
      <c r="C567" s="22">
        <v>17.04</v>
      </c>
      <c r="D567" s="18">
        <f t="shared" si="88"/>
        <v>2388.9899999999998</v>
      </c>
      <c r="E567" s="22">
        <v>0</v>
      </c>
      <c r="F567" s="18">
        <f t="shared" si="92"/>
        <v>0</v>
      </c>
      <c r="G567" s="18">
        <f t="shared" si="93"/>
        <v>0</v>
      </c>
      <c r="H567" s="22">
        <v>44.44</v>
      </c>
      <c r="I567" s="18">
        <f t="shared" si="94"/>
        <v>44.44</v>
      </c>
      <c r="J567" s="18">
        <f t="shared" si="95"/>
        <v>0</v>
      </c>
      <c r="K567" s="22">
        <v>26.44</v>
      </c>
      <c r="L567" s="18">
        <f t="shared" si="96"/>
        <v>26.44</v>
      </c>
      <c r="M567" s="18">
        <f t="shared" si="97"/>
        <v>0</v>
      </c>
      <c r="N567" s="15">
        <f t="shared" si="98"/>
        <v>70.88</v>
      </c>
      <c r="O567" s="15">
        <f t="shared" si="89"/>
        <v>70.88</v>
      </c>
      <c r="P567" s="15">
        <f t="shared" si="90"/>
        <v>0</v>
      </c>
      <c r="Q567" s="5">
        <f t="shared" si="91"/>
        <v>0</v>
      </c>
    </row>
    <row r="568" spans="1:17" x14ac:dyDescent="0.25">
      <c r="A568" s="7">
        <v>46289.583333333336</v>
      </c>
      <c r="B568" s="22">
        <v>1373.3999999999999</v>
      </c>
      <c r="C568" s="22">
        <v>4.2</v>
      </c>
      <c r="D568" s="18">
        <f t="shared" si="88"/>
        <v>1377.6</v>
      </c>
      <c r="E568" s="22">
        <v>0</v>
      </c>
      <c r="F568" s="18">
        <f t="shared" si="92"/>
        <v>0</v>
      </c>
      <c r="G568" s="18">
        <f t="shared" si="93"/>
        <v>0</v>
      </c>
      <c r="H568" s="22">
        <v>56.08</v>
      </c>
      <c r="I568" s="18">
        <f t="shared" si="94"/>
        <v>56.08</v>
      </c>
      <c r="J568" s="18">
        <f t="shared" si="95"/>
        <v>0</v>
      </c>
      <c r="K568" s="22">
        <v>41.2</v>
      </c>
      <c r="L568" s="18">
        <f t="shared" si="96"/>
        <v>41.2</v>
      </c>
      <c r="M568" s="18">
        <f t="shared" si="97"/>
        <v>0</v>
      </c>
      <c r="N568" s="15">
        <f t="shared" si="98"/>
        <v>97.28</v>
      </c>
      <c r="O568" s="15">
        <f t="shared" si="89"/>
        <v>97.28</v>
      </c>
      <c r="P568" s="15">
        <f t="shared" si="90"/>
        <v>0</v>
      </c>
      <c r="Q568" s="5">
        <f t="shared" si="91"/>
        <v>0</v>
      </c>
    </row>
    <row r="569" spans="1:17" x14ac:dyDescent="0.25">
      <c r="A569" s="7">
        <v>46289.625</v>
      </c>
      <c r="B569" s="22">
        <v>1184.3999999999999</v>
      </c>
      <c r="C569" s="22">
        <v>3.48</v>
      </c>
      <c r="D569" s="18">
        <f t="shared" si="88"/>
        <v>1187.8799999999999</v>
      </c>
      <c r="E569" s="22">
        <v>0</v>
      </c>
      <c r="F569" s="18">
        <f t="shared" si="92"/>
        <v>0</v>
      </c>
      <c r="G569" s="18">
        <f t="shared" si="93"/>
        <v>0</v>
      </c>
      <c r="H569" s="22">
        <v>44.08</v>
      </c>
      <c r="I569" s="18">
        <f t="shared" si="94"/>
        <v>44.08</v>
      </c>
      <c r="J569" s="18">
        <f t="shared" si="95"/>
        <v>0</v>
      </c>
      <c r="K569" s="22">
        <v>42.160000000000004</v>
      </c>
      <c r="L569" s="18">
        <f t="shared" si="96"/>
        <v>42.160000000000004</v>
      </c>
      <c r="M569" s="18">
        <f t="shared" si="97"/>
        <v>0</v>
      </c>
      <c r="N569" s="15">
        <f t="shared" si="98"/>
        <v>86.240000000000009</v>
      </c>
      <c r="O569" s="15">
        <f t="shared" si="89"/>
        <v>86.240000000000009</v>
      </c>
      <c r="P569" s="15">
        <f t="shared" si="90"/>
        <v>0</v>
      </c>
      <c r="Q569" s="5">
        <f t="shared" si="91"/>
        <v>0</v>
      </c>
    </row>
    <row r="570" spans="1:17" x14ac:dyDescent="0.25">
      <c r="A570" s="7">
        <v>46289.666666666664</v>
      </c>
      <c r="B570" s="22">
        <v>538.65</v>
      </c>
      <c r="C570" s="22">
        <v>0</v>
      </c>
      <c r="D570" s="18">
        <f t="shared" si="88"/>
        <v>538.65</v>
      </c>
      <c r="E570" s="22">
        <v>0</v>
      </c>
      <c r="F570" s="18">
        <f t="shared" si="92"/>
        <v>0</v>
      </c>
      <c r="G570" s="18">
        <f t="shared" si="93"/>
        <v>0</v>
      </c>
      <c r="H570" s="22">
        <v>111.16</v>
      </c>
      <c r="I570" s="18">
        <f t="shared" si="94"/>
        <v>111.16</v>
      </c>
      <c r="J570" s="18">
        <f t="shared" si="95"/>
        <v>0</v>
      </c>
      <c r="K570" s="22">
        <v>15.16</v>
      </c>
      <c r="L570" s="18">
        <f t="shared" si="96"/>
        <v>15.16</v>
      </c>
      <c r="M570" s="18">
        <f t="shared" si="97"/>
        <v>0</v>
      </c>
      <c r="N570" s="15">
        <f t="shared" si="98"/>
        <v>126.32</v>
      </c>
      <c r="O570" s="15">
        <f t="shared" si="89"/>
        <v>126.32</v>
      </c>
      <c r="P570" s="15">
        <f t="shared" si="90"/>
        <v>0</v>
      </c>
      <c r="Q570" s="5">
        <f t="shared" si="91"/>
        <v>0</v>
      </c>
    </row>
    <row r="571" spans="1:17" x14ac:dyDescent="0.25">
      <c r="A571" s="7">
        <v>46289.708333333336</v>
      </c>
      <c r="B571" s="22">
        <v>40.950000000000003</v>
      </c>
      <c r="C571" s="22">
        <v>0</v>
      </c>
      <c r="D571" s="18">
        <f t="shared" si="88"/>
        <v>40.950000000000003</v>
      </c>
      <c r="E571" s="22">
        <v>103.95</v>
      </c>
      <c r="F571" s="18">
        <f t="shared" si="92"/>
        <v>21.020792387235673</v>
      </c>
      <c r="G571" s="18">
        <f t="shared" si="93"/>
        <v>82.92920761276433</v>
      </c>
      <c r="H571" s="22">
        <v>66.28</v>
      </c>
      <c r="I571" s="18">
        <f t="shared" si="94"/>
        <v>13.403156512034442</v>
      </c>
      <c r="J571" s="18">
        <f t="shared" si="95"/>
        <v>52.876843487965559</v>
      </c>
      <c r="K571" s="22">
        <v>32.272000000000006</v>
      </c>
      <c r="L571" s="18">
        <f t="shared" si="96"/>
        <v>6.5260511007298661</v>
      </c>
      <c r="M571" s="18">
        <f t="shared" si="97"/>
        <v>25.74594889927014</v>
      </c>
      <c r="N571" s="15">
        <f t="shared" si="98"/>
        <v>202.50200000000001</v>
      </c>
      <c r="O571" s="15">
        <f t="shared" si="89"/>
        <v>40.949999999999989</v>
      </c>
      <c r="P571" s="15">
        <f t="shared" si="90"/>
        <v>161.55200000000002</v>
      </c>
      <c r="Q571" s="5">
        <f t="shared" si="91"/>
        <v>0.79777977501456787</v>
      </c>
    </row>
    <row r="572" spans="1:17" x14ac:dyDescent="0.25">
      <c r="A572" s="7">
        <v>46289.75</v>
      </c>
      <c r="B572" s="22">
        <v>0</v>
      </c>
      <c r="C572" s="22">
        <v>0</v>
      </c>
      <c r="D572" s="18">
        <f t="shared" si="88"/>
        <v>0</v>
      </c>
      <c r="E572" s="22">
        <v>242.54999999999998</v>
      </c>
      <c r="F572" s="18">
        <f t="shared" si="92"/>
        <v>0</v>
      </c>
      <c r="G572" s="18">
        <f t="shared" si="93"/>
        <v>242.54999999999998</v>
      </c>
      <c r="H572" s="22">
        <v>53.8</v>
      </c>
      <c r="I572" s="18">
        <f t="shared" si="94"/>
        <v>0</v>
      </c>
      <c r="J572" s="18">
        <f t="shared" si="95"/>
        <v>53.8</v>
      </c>
      <c r="K572" s="22">
        <v>14.383999999999999</v>
      </c>
      <c r="L572" s="18">
        <f t="shared" si="96"/>
        <v>0</v>
      </c>
      <c r="M572" s="18">
        <f t="shared" si="97"/>
        <v>14.383999999999999</v>
      </c>
      <c r="N572" s="15">
        <f t="shared" si="98"/>
        <v>310.73399999999998</v>
      </c>
      <c r="O572" s="15">
        <f t="shared" si="89"/>
        <v>0</v>
      </c>
      <c r="P572" s="15">
        <f t="shared" si="90"/>
        <v>310.73399999999998</v>
      </c>
      <c r="Q572" s="5">
        <f t="shared" si="91"/>
        <v>1</v>
      </c>
    </row>
    <row r="573" spans="1:17" x14ac:dyDescent="0.25">
      <c r="A573" s="7">
        <v>46289.791666666664</v>
      </c>
      <c r="B573" s="22">
        <v>0</v>
      </c>
      <c r="C573" s="22">
        <v>0</v>
      </c>
      <c r="D573" s="18">
        <f t="shared" si="88"/>
        <v>0</v>
      </c>
      <c r="E573" s="22">
        <v>56.7</v>
      </c>
      <c r="F573" s="18">
        <f t="shared" si="92"/>
        <v>0</v>
      </c>
      <c r="G573" s="18">
        <f t="shared" si="93"/>
        <v>56.7</v>
      </c>
      <c r="H573" s="22">
        <v>47.800000000000004</v>
      </c>
      <c r="I573" s="18">
        <f t="shared" si="94"/>
        <v>0</v>
      </c>
      <c r="J573" s="18">
        <f t="shared" si="95"/>
        <v>47.800000000000004</v>
      </c>
      <c r="K573" s="22">
        <v>10.977</v>
      </c>
      <c r="L573" s="18">
        <f t="shared" si="96"/>
        <v>0</v>
      </c>
      <c r="M573" s="18">
        <f t="shared" si="97"/>
        <v>10.977</v>
      </c>
      <c r="N573" s="15">
        <f t="shared" si="98"/>
        <v>115.477</v>
      </c>
      <c r="O573" s="15">
        <f t="shared" si="89"/>
        <v>0</v>
      </c>
      <c r="P573" s="15">
        <f t="shared" si="90"/>
        <v>115.477</v>
      </c>
      <c r="Q573" s="5">
        <f t="shared" si="91"/>
        <v>1</v>
      </c>
    </row>
    <row r="574" spans="1:17" x14ac:dyDescent="0.25">
      <c r="A574" s="7">
        <v>46289.833333333336</v>
      </c>
      <c r="B574" s="22">
        <v>0</v>
      </c>
      <c r="C574" s="22">
        <v>0</v>
      </c>
      <c r="D574" s="18">
        <f t="shared" si="88"/>
        <v>0</v>
      </c>
      <c r="E574" s="22">
        <v>611.1</v>
      </c>
      <c r="F574" s="18">
        <f t="shared" si="92"/>
        <v>0</v>
      </c>
      <c r="G574" s="18">
        <f t="shared" si="93"/>
        <v>611.1</v>
      </c>
      <c r="H574" s="22">
        <v>38.559999999999995</v>
      </c>
      <c r="I574" s="18">
        <f t="shared" si="94"/>
        <v>0</v>
      </c>
      <c r="J574" s="18">
        <f t="shared" si="95"/>
        <v>38.559999999999995</v>
      </c>
      <c r="K574" s="22">
        <v>3.1890000000000001</v>
      </c>
      <c r="L574" s="18">
        <f t="shared" si="96"/>
        <v>0</v>
      </c>
      <c r="M574" s="18">
        <f t="shared" si="97"/>
        <v>3.1890000000000001</v>
      </c>
      <c r="N574" s="15">
        <f t="shared" si="98"/>
        <v>652.84899999999993</v>
      </c>
      <c r="O574" s="15">
        <f t="shared" si="89"/>
        <v>0</v>
      </c>
      <c r="P574" s="15">
        <f t="shared" si="90"/>
        <v>652.84899999999993</v>
      </c>
      <c r="Q574" s="5">
        <f t="shared" si="91"/>
        <v>1</v>
      </c>
    </row>
    <row r="575" spans="1:17" x14ac:dyDescent="0.25">
      <c r="A575" s="7">
        <v>46289.875</v>
      </c>
      <c r="B575" s="22">
        <v>0</v>
      </c>
      <c r="C575" s="22">
        <v>0</v>
      </c>
      <c r="D575" s="18">
        <f t="shared" si="88"/>
        <v>0</v>
      </c>
      <c r="E575" s="22">
        <v>570.15000000000009</v>
      </c>
      <c r="F575" s="18">
        <f t="shared" si="92"/>
        <v>0</v>
      </c>
      <c r="G575" s="18">
        <f t="shared" si="93"/>
        <v>570.15000000000009</v>
      </c>
      <c r="H575" s="22">
        <v>37.24</v>
      </c>
      <c r="I575" s="18">
        <f t="shared" si="94"/>
        <v>0</v>
      </c>
      <c r="J575" s="18">
        <f t="shared" si="95"/>
        <v>37.24</v>
      </c>
      <c r="K575" s="22">
        <v>19.494999999999997</v>
      </c>
      <c r="L575" s="18">
        <f t="shared" si="96"/>
        <v>0</v>
      </c>
      <c r="M575" s="18">
        <f t="shared" si="97"/>
        <v>19.494999999999997</v>
      </c>
      <c r="N575" s="15">
        <f t="shared" si="98"/>
        <v>626.8850000000001</v>
      </c>
      <c r="O575" s="15">
        <f t="shared" si="89"/>
        <v>0</v>
      </c>
      <c r="P575" s="15">
        <f t="shared" si="90"/>
        <v>626.8850000000001</v>
      </c>
      <c r="Q575" s="5">
        <f t="shared" si="91"/>
        <v>1</v>
      </c>
    </row>
    <row r="576" spans="1:17" x14ac:dyDescent="0.25">
      <c r="A576" s="7">
        <v>46289.916666666664</v>
      </c>
      <c r="B576" s="22">
        <v>0</v>
      </c>
      <c r="C576" s="22">
        <v>0</v>
      </c>
      <c r="D576" s="18">
        <f t="shared" si="88"/>
        <v>0</v>
      </c>
      <c r="E576" s="22">
        <v>557.54999999999995</v>
      </c>
      <c r="F576" s="18">
        <f t="shared" si="92"/>
        <v>0</v>
      </c>
      <c r="G576" s="18">
        <f t="shared" si="93"/>
        <v>557.54999999999995</v>
      </c>
      <c r="H576" s="22">
        <v>38.800000000000004</v>
      </c>
      <c r="I576" s="18">
        <f t="shared" si="94"/>
        <v>0</v>
      </c>
      <c r="J576" s="18">
        <f t="shared" si="95"/>
        <v>38.800000000000004</v>
      </c>
      <c r="K576" s="22">
        <v>4.24</v>
      </c>
      <c r="L576" s="18">
        <f t="shared" si="96"/>
        <v>0</v>
      </c>
      <c r="M576" s="18">
        <f t="shared" si="97"/>
        <v>4.24</v>
      </c>
      <c r="N576" s="15">
        <f t="shared" si="98"/>
        <v>600.58999999999992</v>
      </c>
      <c r="O576" s="15">
        <f t="shared" si="89"/>
        <v>0</v>
      </c>
      <c r="P576" s="15">
        <f t="shared" si="90"/>
        <v>600.58999999999992</v>
      </c>
      <c r="Q576" s="5">
        <f t="shared" si="91"/>
        <v>1</v>
      </c>
    </row>
    <row r="577" spans="1:17" x14ac:dyDescent="0.25">
      <c r="A577" s="7">
        <v>46289.958333333336</v>
      </c>
      <c r="B577" s="22">
        <v>0</v>
      </c>
      <c r="C577" s="22">
        <v>0</v>
      </c>
      <c r="D577" s="18">
        <f t="shared" si="88"/>
        <v>0</v>
      </c>
      <c r="E577" s="22">
        <v>689.84999999999991</v>
      </c>
      <c r="F577" s="18">
        <f t="shared" si="92"/>
        <v>0</v>
      </c>
      <c r="G577" s="18">
        <f t="shared" si="93"/>
        <v>689.84999999999991</v>
      </c>
      <c r="H577" s="22">
        <v>38.800000000000004</v>
      </c>
      <c r="I577" s="18">
        <f t="shared" si="94"/>
        <v>0</v>
      </c>
      <c r="J577" s="18">
        <f t="shared" si="95"/>
        <v>38.800000000000004</v>
      </c>
      <c r="K577" s="22">
        <v>3.04</v>
      </c>
      <c r="L577" s="18">
        <f t="shared" si="96"/>
        <v>0</v>
      </c>
      <c r="M577" s="18">
        <f t="shared" si="97"/>
        <v>3.04</v>
      </c>
      <c r="N577" s="15">
        <f t="shared" si="98"/>
        <v>731.68999999999983</v>
      </c>
      <c r="O577" s="15">
        <f t="shared" si="89"/>
        <v>0</v>
      </c>
      <c r="P577" s="15">
        <f t="shared" si="90"/>
        <v>731.68999999999983</v>
      </c>
      <c r="Q577" s="5">
        <f t="shared" si="91"/>
        <v>1</v>
      </c>
    </row>
    <row r="578" spans="1:17" x14ac:dyDescent="0.25">
      <c r="A578" s="7">
        <v>46290</v>
      </c>
      <c r="B578" s="22">
        <v>0</v>
      </c>
      <c r="C578" s="22">
        <v>0</v>
      </c>
      <c r="D578" s="18">
        <f t="shared" ref="D578:D641" si="99">+B578+C578</f>
        <v>0</v>
      </c>
      <c r="E578" s="22">
        <v>822.15000000000009</v>
      </c>
      <c r="F578" s="18">
        <f t="shared" si="92"/>
        <v>0</v>
      </c>
      <c r="G578" s="18">
        <f t="shared" si="93"/>
        <v>822.15000000000009</v>
      </c>
      <c r="H578" s="22">
        <v>38.080000000000005</v>
      </c>
      <c r="I578" s="18">
        <f t="shared" si="94"/>
        <v>0</v>
      </c>
      <c r="J578" s="18">
        <f t="shared" si="95"/>
        <v>38.080000000000005</v>
      </c>
      <c r="K578" s="22">
        <v>4.4799999999999995</v>
      </c>
      <c r="L578" s="18">
        <f t="shared" si="96"/>
        <v>0</v>
      </c>
      <c r="M578" s="18">
        <f t="shared" si="97"/>
        <v>4.4799999999999995</v>
      </c>
      <c r="N578" s="15">
        <f t="shared" si="98"/>
        <v>864.71000000000015</v>
      </c>
      <c r="O578" s="15">
        <f t="shared" ref="O578:O641" si="100">+N578-P578</f>
        <v>0</v>
      </c>
      <c r="P578" s="15">
        <f t="shared" ref="P578:P641" si="101">+IF(N578&gt;D578,N578-D578,0)</f>
        <v>864.71000000000015</v>
      </c>
      <c r="Q578" s="5">
        <f t="shared" ref="Q578:Q641" si="102">+IF(P578=0,P578,P578/N578)</f>
        <v>1</v>
      </c>
    </row>
    <row r="579" spans="1:17" x14ac:dyDescent="0.25">
      <c r="A579" s="7">
        <v>46290.041666666664</v>
      </c>
      <c r="B579" s="22">
        <v>0</v>
      </c>
      <c r="C579" s="22">
        <v>0</v>
      </c>
      <c r="D579" s="18">
        <f t="shared" si="99"/>
        <v>0</v>
      </c>
      <c r="E579" s="22">
        <v>56.7</v>
      </c>
      <c r="F579" s="18">
        <f t="shared" ref="F579:F642" si="103">+E579-G579</f>
        <v>0</v>
      </c>
      <c r="G579" s="18">
        <f t="shared" ref="G579:G642" si="104">+E579*Q579</f>
        <v>56.7</v>
      </c>
      <c r="H579" s="22">
        <v>38.32</v>
      </c>
      <c r="I579" s="18">
        <f t="shared" ref="I579:I642" si="105">+H579-J579</f>
        <v>0</v>
      </c>
      <c r="J579" s="18">
        <f t="shared" ref="J579:J642" si="106">+H579*Q579</f>
        <v>38.32</v>
      </c>
      <c r="K579" s="22">
        <v>4.96</v>
      </c>
      <c r="L579" s="18">
        <f t="shared" ref="L579:L642" si="107">+K579-M579</f>
        <v>0</v>
      </c>
      <c r="M579" s="18">
        <f t="shared" ref="M579:M642" si="108">+K579*Q579</f>
        <v>4.96</v>
      </c>
      <c r="N579" s="15">
        <f t="shared" ref="N579:N642" si="109">+E579+H579+K579</f>
        <v>99.98</v>
      </c>
      <c r="O579" s="15">
        <f t="shared" si="100"/>
        <v>0</v>
      </c>
      <c r="P579" s="15">
        <f t="shared" si="101"/>
        <v>99.98</v>
      </c>
      <c r="Q579" s="5">
        <f t="shared" si="102"/>
        <v>1</v>
      </c>
    </row>
    <row r="580" spans="1:17" x14ac:dyDescent="0.25">
      <c r="A580" s="7">
        <v>46290.083333333336</v>
      </c>
      <c r="B580" s="22">
        <v>0</v>
      </c>
      <c r="C580" s="22">
        <v>0</v>
      </c>
      <c r="D580" s="18">
        <f t="shared" si="99"/>
        <v>0</v>
      </c>
      <c r="E580" s="22">
        <v>875.7</v>
      </c>
      <c r="F580" s="18">
        <f t="shared" si="103"/>
        <v>0</v>
      </c>
      <c r="G580" s="18">
        <f t="shared" si="104"/>
        <v>875.7</v>
      </c>
      <c r="H580" s="22">
        <v>38.92</v>
      </c>
      <c r="I580" s="18">
        <f t="shared" si="105"/>
        <v>0</v>
      </c>
      <c r="J580" s="18">
        <f t="shared" si="106"/>
        <v>38.92</v>
      </c>
      <c r="K580" s="22">
        <v>4.84</v>
      </c>
      <c r="L580" s="18">
        <f t="shared" si="107"/>
        <v>0</v>
      </c>
      <c r="M580" s="18">
        <f t="shared" si="108"/>
        <v>4.84</v>
      </c>
      <c r="N580" s="15">
        <f t="shared" si="109"/>
        <v>919.46</v>
      </c>
      <c r="O580" s="15">
        <f t="shared" si="100"/>
        <v>0</v>
      </c>
      <c r="P580" s="15">
        <f t="shared" si="101"/>
        <v>919.46</v>
      </c>
      <c r="Q580" s="5">
        <f t="shared" si="102"/>
        <v>1</v>
      </c>
    </row>
    <row r="581" spans="1:17" x14ac:dyDescent="0.25">
      <c r="A581" s="7">
        <v>46290.125</v>
      </c>
      <c r="B581" s="22">
        <v>0</v>
      </c>
      <c r="C581" s="22">
        <v>0</v>
      </c>
      <c r="D581" s="18">
        <f t="shared" si="99"/>
        <v>0</v>
      </c>
      <c r="E581" s="22">
        <v>667.8</v>
      </c>
      <c r="F581" s="18">
        <f t="shared" si="103"/>
        <v>0</v>
      </c>
      <c r="G581" s="18">
        <f t="shared" si="104"/>
        <v>667.8</v>
      </c>
      <c r="H581" s="22">
        <v>38.68</v>
      </c>
      <c r="I581" s="18">
        <f t="shared" si="105"/>
        <v>0</v>
      </c>
      <c r="J581" s="18">
        <f t="shared" si="106"/>
        <v>38.68</v>
      </c>
      <c r="K581" s="22">
        <v>4.84</v>
      </c>
      <c r="L581" s="18">
        <f t="shared" si="107"/>
        <v>0</v>
      </c>
      <c r="M581" s="18">
        <f t="shared" si="108"/>
        <v>4.84</v>
      </c>
      <c r="N581" s="15">
        <f t="shared" si="109"/>
        <v>711.31999999999994</v>
      </c>
      <c r="O581" s="15">
        <f t="shared" si="100"/>
        <v>0</v>
      </c>
      <c r="P581" s="15">
        <f t="shared" si="101"/>
        <v>711.31999999999994</v>
      </c>
      <c r="Q581" s="5">
        <f t="shared" si="102"/>
        <v>1</v>
      </c>
    </row>
    <row r="582" spans="1:17" x14ac:dyDescent="0.25">
      <c r="A582" s="7">
        <v>46290.166666666664</v>
      </c>
      <c r="B582" s="22">
        <v>0</v>
      </c>
      <c r="C582" s="22">
        <v>0</v>
      </c>
      <c r="D582" s="18">
        <f t="shared" si="99"/>
        <v>0</v>
      </c>
      <c r="E582" s="22">
        <v>882</v>
      </c>
      <c r="F582" s="18">
        <f t="shared" si="103"/>
        <v>0</v>
      </c>
      <c r="G582" s="18">
        <f t="shared" si="104"/>
        <v>882</v>
      </c>
      <c r="H582" s="22">
        <v>39.04</v>
      </c>
      <c r="I582" s="18">
        <f t="shared" si="105"/>
        <v>0</v>
      </c>
      <c r="J582" s="18">
        <f t="shared" si="106"/>
        <v>39.04</v>
      </c>
      <c r="K582" s="22">
        <v>4.84</v>
      </c>
      <c r="L582" s="18">
        <f t="shared" si="107"/>
        <v>0</v>
      </c>
      <c r="M582" s="18">
        <f t="shared" si="108"/>
        <v>4.84</v>
      </c>
      <c r="N582" s="15">
        <f t="shared" si="109"/>
        <v>925.88</v>
      </c>
      <c r="O582" s="15">
        <f t="shared" si="100"/>
        <v>0</v>
      </c>
      <c r="P582" s="15">
        <f t="shared" si="101"/>
        <v>925.88</v>
      </c>
      <c r="Q582" s="5">
        <f t="shared" si="102"/>
        <v>1</v>
      </c>
    </row>
    <row r="583" spans="1:17" x14ac:dyDescent="0.25">
      <c r="A583" s="7">
        <v>46290.208333333336</v>
      </c>
      <c r="B583" s="22">
        <v>0</v>
      </c>
      <c r="C583" s="22">
        <v>0</v>
      </c>
      <c r="D583" s="18">
        <f t="shared" si="99"/>
        <v>0</v>
      </c>
      <c r="E583" s="22">
        <v>837.9</v>
      </c>
      <c r="F583" s="18">
        <f t="shared" si="103"/>
        <v>0</v>
      </c>
      <c r="G583" s="18">
        <f t="shared" si="104"/>
        <v>837.9</v>
      </c>
      <c r="H583" s="22">
        <v>42.64</v>
      </c>
      <c r="I583" s="18">
        <f t="shared" si="105"/>
        <v>0</v>
      </c>
      <c r="J583" s="18">
        <f t="shared" si="106"/>
        <v>42.64</v>
      </c>
      <c r="K583" s="22">
        <v>5.2</v>
      </c>
      <c r="L583" s="18">
        <f t="shared" si="107"/>
        <v>0</v>
      </c>
      <c r="M583" s="18">
        <f t="shared" si="108"/>
        <v>5.2</v>
      </c>
      <c r="N583" s="15">
        <f t="shared" si="109"/>
        <v>885.74</v>
      </c>
      <c r="O583" s="15">
        <f t="shared" si="100"/>
        <v>0</v>
      </c>
      <c r="P583" s="15">
        <f t="shared" si="101"/>
        <v>885.74</v>
      </c>
      <c r="Q583" s="5">
        <f t="shared" si="102"/>
        <v>1</v>
      </c>
    </row>
    <row r="584" spans="1:17" x14ac:dyDescent="0.25">
      <c r="A584" s="7">
        <v>46290.25</v>
      </c>
      <c r="B584" s="22">
        <v>6.3</v>
      </c>
      <c r="C584" s="22">
        <v>0</v>
      </c>
      <c r="D584" s="18">
        <f t="shared" si="99"/>
        <v>6.3</v>
      </c>
      <c r="E584" s="22">
        <v>28.35</v>
      </c>
      <c r="F584" s="18">
        <f t="shared" si="103"/>
        <v>1.9256603773584899</v>
      </c>
      <c r="G584" s="18">
        <f t="shared" si="104"/>
        <v>26.424339622641511</v>
      </c>
      <c r="H584" s="22">
        <v>58</v>
      </c>
      <c r="I584" s="18">
        <f t="shared" si="105"/>
        <v>3.9396226415094304</v>
      </c>
      <c r="J584" s="18">
        <f t="shared" si="106"/>
        <v>54.06037735849057</v>
      </c>
      <c r="K584" s="22">
        <v>6.4</v>
      </c>
      <c r="L584" s="18">
        <f t="shared" si="107"/>
        <v>0.43471698113207502</v>
      </c>
      <c r="M584" s="18">
        <f t="shared" si="108"/>
        <v>5.9652830188679253</v>
      </c>
      <c r="N584" s="15">
        <f t="shared" si="109"/>
        <v>92.75</v>
      </c>
      <c r="O584" s="15">
        <f t="shared" si="100"/>
        <v>6.2999999999999972</v>
      </c>
      <c r="P584" s="15">
        <f t="shared" si="101"/>
        <v>86.45</v>
      </c>
      <c r="Q584" s="5">
        <f t="shared" si="102"/>
        <v>0.93207547169811322</v>
      </c>
    </row>
    <row r="585" spans="1:17" x14ac:dyDescent="0.25">
      <c r="A585" s="7">
        <v>46290.291666666664</v>
      </c>
      <c r="B585" s="22">
        <v>321.29999999999995</v>
      </c>
      <c r="C585" s="22">
        <v>0</v>
      </c>
      <c r="D585" s="18">
        <f t="shared" si="99"/>
        <v>321.29999999999995</v>
      </c>
      <c r="E585" s="22">
        <v>0</v>
      </c>
      <c r="F585" s="18">
        <f t="shared" si="103"/>
        <v>0</v>
      </c>
      <c r="G585" s="18">
        <f t="shared" si="104"/>
        <v>0</v>
      </c>
      <c r="H585" s="22">
        <v>54.28</v>
      </c>
      <c r="I585" s="18">
        <f t="shared" si="105"/>
        <v>54.28</v>
      </c>
      <c r="J585" s="18">
        <f t="shared" si="106"/>
        <v>0</v>
      </c>
      <c r="K585" s="22">
        <v>3.04</v>
      </c>
      <c r="L585" s="18">
        <f t="shared" si="107"/>
        <v>3.04</v>
      </c>
      <c r="M585" s="18">
        <f t="shared" si="108"/>
        <v>0</v>
      </c>
      <c r="N585" s="15">
        <f t="shared" si="109"/>
        <v>57.32</v>
      </c>
      <c r="O585" s="15">
        <f t="shared" si="100"/>
        <v>57.32</v>
      </c>
      <c r="P585" s="15">
        <f t="shared" si="101"/>
        <v>0</v>
      </c>
      <c r="Q585" s="5">
        <f t="shared" si="102"/>
        <v>0</v>
      </c>
    </row>
    <row r="586" spans="1:17" x14ac:dyDescent="0.25">
      <c r="A586" s="7">
        <v>46290.333333333336</v>
      </c>
      <c r="B586" s="22">
        <v>648.9</v>
      </c>
      <c r="C586" s="22">
        <v>0</v>
      </c>
      <c r="D586" s="18">
        <f t="shared" si="99"/>
        <v>648.9</v>
      </c>
      <c r="E586" s="22">
        <v>0</v>
      </c>
      <c r="F586" s="18">
        <f t="shared" si="103"/>
        <v>0</v>
      </c>
      <c r="G586" s="18">
        <f t="shared" si="104"/>
        <v>0</v>
      </c>
      <c r="H586" s="22">
        <v>153.88</v>
      </c>
      <c r="I586" s="18">
        <f t="shared" si="105"/>
        <v>153.88</v>
      </c>
      <c r="J586" s="18">
        <f t="shared" si="106"/>
        <v>0</v>
      </c>
      <c r="K586" s="22">
        <v>9.2799999999999994</v>
      </c>
      <c r="L586" s="18">
        <f t="shared" si="107"/>
        <v>9.2799999999999994</v>
      </c>
      <c r="M586" s="18">
        <f t="shared" si="108"/>
        <v>0</v>
      </c>
      <c r="N586" s="15">
        <f t="shared" si="109"/>
        <v>163.16</v>
      </c>
      <c r="O586" s="15">
        <f t="shared" si="100"/>
        <v>163.16</v>
      </c>
      <c r="P586" s="15">
        <f t="shared" si="101"/>
        <v>0</v>
      </c>
      <c r="Q586" s="5">
        <f t="shared" si="102"/>
        <v>0</v>
      </c>
    </row>
    <row r="587" spans="1:17" x14ac:dyDescent="0.25">
      <c r="A587" s="7">
        <v>46290.375</v>
      </c>
      <c r="B587" s="22">
        <v>1206.45</v>
      </c>
      <c r="C587" s="22">
        <v>0</v>
      </c>
      <c r="D587" s="18">
        <f t="shared" si="99"/>
        <v>1206.45</v>
      </c>
      <c r="E587" s="22">
        <v>0</v>
      </c>
      <c r="F587" s="18">
        <f t="shared" si="103"/>
        <v>0</v>
      </c>
      <c r="G587" s="18">
        <f t="shared" si="104"/>
        <v>0</v>
      </c>
      <c r="H587" s="22">
        <v>128.56</v>
      </c>
      <c r="I587" s="18">
        <f t="shared" si="105"/>
        <v>128.56</v>
      </c>
      <c r="J587" s="18">
        <f t="shared" si="106"/>
        <v>0</v>
      </c>
      <c r="K587" s="22">
        <v>56.68</v>
      </c>
      <c r="L587" s="18">
        <f t="shared" si="107"/>
        <v>56.68</v>
      </c>
      <c r="M587" s="18">
        <f t="shared" si="108"/>
        <v>0</v>
      </c>
      <c r="N587" s="15">
        <f t="shared" si="109"/>
        <v>185.24</v>
      </c>
      <c r="O587" s="15">
        <f t="shared" si="100"/>
        <v>185.24</v>
      </c>
      <c r="P587" s="15">
        <f t="shared" si="101"/>
        <v>0</v>
      </c>
      <c r="Q587" s="5">
        <f t="shared" si="102"/>
        <v>0</v>
      </c>
    </row>
    <row r="588" spans="1:17" x14ac:dyDescent="0.25">
      <c r="A588" s="7">
        <v>46290.416666666664</v>
      </c>
      <c r="B588" s="22">
        <v>1842.75</v>
      </c>
      <c r="C588" s="22">
        <v>4.2</v>
      </c>
      <c r="D588" s="18">
        <f t="shared" si="99"/>
        <v>1846.95</v>
      </c>
      <c r="E588" s="22">
        <v>0</v>
      </c>
      <c r="F588" s="18">
        <f t="shared" si="103"/>
        <v>0</v>
      </c>
      <c r="G588" s="18">
        <f t="shared" si="104"/>
        <v>0</v>
      </c>
      <c r="H588" s="22">
        <v>40</v>
      </c>
      <c r="I588" s="18">
        <f t="shared" si="105"/>
        <v>40</v>
      </c>
      <c r="J588" s="18">
        <f t="shared" si="106"/>
        <v>0</v>
      </c>
      <c r="K588" s="22">
        <v>22</v>
      </c>
      <c r="L588" s="18">
        <f t="shared" si="107"/>
        <v>22</v>
      </c>
      <c r="M588" s="18">
        <f t="shared" si="108"/>
        <v>0</v>
      </c>
      <c r="N588" s="15">
        <f t="shared" si="109"/>
        <v>62</v>
      </c>
      <c r="O588" s="15">
        <f t="shared" si="100"/>
        <v>62</v>
      </c>
      <c r="P588" s="15">
        <f t="shared" si="101"/>
        <v>0</v>
      </c>
      <c r="Q588" s="5">
        <f t="shared" si="102"/>
        <v>0</v>
      </c>
    </row>
    <row r="589" spans="1:17" x14ac:dyDescent="0.25">
      <c r="A589" s="7">
        <v>46290.458333333336</v>
      </c>
      <c r="B589" s="22">
        <v>2167.1999999999998</v>
      </c>
      <c r="C589" s="22">
        <v>13.32</v>
      </c>
      <c r="D589" s="18">
        <f t="shared" si="99"/>
        <v>2180.52</v>
      </c>
      <c r="E589" s="22">
        <v>0</v>
      </c>
      <c r="F589" s="18">
        <f t="shared" si="103"/>
        <v>0</v>
      </c>
      <c r="G589" s="18">
        <f t="shared" si="104"/>
        <v>0</v>
      </c>
      <c r="H589" s="22">
        <v>21.28</v>
      </c>
      <c r="I589" s="18">
        <f t="shared" si="105"/>
        <v>21.28</v>
      </c>
      <c r="J589" s="18">
        <f t="shared" si="106"/>
        <v>0</v>
      </c>
      <c r="K589" s="22">
        <v>20.32</v>
      </c>
      <c r="L589" s="18">
        <f t="shared" si="107"/>
        <v>20.32</v>
      </c>
      <c r="M589" s="18">
        <f t="shared" si="108"/>
        <v>0</v>
      </c>
      <c r="N589" s="15">
        <f t="shared" si="109"/>
        <v>41.6</v>
      </c>
      <c r="O589" s="15">
        <f t="shared" si="100"/>
        <v>41.6</v>
      </c>
      <c r="P589" s="15">
        <f t="shared" si="101"/>
        <v>0</v>
      </c>
      <c r="Q589" s="5">
        <f t="shared" si="102"/>
        <v>0</v>
      </c>
    </row>
    <row r="590" spans="1:17" x14ac:dyDescent="0.25">
      <c r="A590" s="7">
        <v>46290.5</v>
      </c>
      <c r="B590" s="22">
        <v>2740.5</v>
      </c>
      <c r="C590" s="22">
        <v>22.2</v>
      </c>
      <c r="D590" s="18">
        <f t="shared" si="99"/>
        <v>2762.7</v>
      </c>
      <c r="E590" s="22">
        <v>0</v>
      </c>
      <c r="F590" s="18">
        <f t="shared" si="103"/>
        <v>0</v>
      </c>
      <c r="G590" s="18">
        <f t="shared" si="104"/>
        <v>0</v>
      </c>
      <c r="H590" s="22">
        <v>8.3199999999999985</v>
      </c>
      <c r="I590" s="18">
        <f t="shared" si="105"/>
        <v>8.3199999999999985</v>
      </c>
      <c r="J590" s="18">
        <f t="shared" si="106"/>
        <v>0</v>
      </c>
      <c r="K590" s="22">
        <v>20.080000000000002</v>
      </c>
      <c r="L590" s="18">
        <f t="shared" si="107"/>
        <v>20.080000000000002</v>
      </c>
      <c r="M590" s="18">
        <f t="shared" si="108"/>
        <v>0</v>
      </c>
      <c r="N590" s="15">
        <f t="shared" si="109"/>
        <v>28.4</v>
      </c>
      <c r="O590" s="15">
        <f t="shared" si="100"/>
        <v>28.4</v>
      </c>
      <c r="P590" s="15">
        <f t="shared" si="101"/>
        <v>0</v>
      </c>
      <c r="Q590" s="5">
        <f t="shared" si="102"/>
        <v>0</v>
      </c>
    </row>
    <row r="591" spans="1:17" x14ac:dyDescent="0.25">
      <c r="A591" s="7">
        <v>46290.541666666664</v>
      </c>
      <c r="B591" s="22">
        <v>2740.5</v>
      </c>
      <c r="C591" s="22">
        <v>28.68</v>
      </c>
      <c r="D591" s="18">
        <f t="shared" si="99"/>
        <v>2769.18</v>
      </c>
      <c r="E591" s="22">
        <v>0</v>
      </c>
      <c r="F591" s="18">
        <f t="shared" si="103"/>
        <v>0</v>
      </c>
      <c r="G591" s="18">
        <f t="shared" si="104"/>
        <v>0</v>
      </c>
      <c r="H591" s="22">
        <v>9.16</v>
      </c>
      <c r="I591" s="18">
        <f t="shared" si="105"/>
        <v>9.16</v>
      </c>
      <c r="J591" s="18">
        <f t="shared" si="106"/>
        <v>0</v>
      </c>
      <c r="K591" s="22">
        <v>25.24</v>
      </c>
      <c r="L591" s="18">
        <f t="shared" si="107"/>
        <v>25.24</v>
      </c>
      <c r="M591" s="18">
        <f t="shared" si="108"/>
        <v>0</v>
      </c>
      <c r="N591" s="15">
        <f t="shared" si="109"/>
        <v>34.4</v>
      </c>
      <c r="O591" s="15">
        <f t="shared" si="100"/>
        <v>34.4</v>
      </c>
      <c r="P591" s="15">
        <f t="shared" si="101"/>
        <v>0</v>
      </c>
      <c r="Q591" s="5">
        <f t="shared" si="102"/>
        <v>0</v>
      </c>
    </row>
    <row r="592" spans="1:17" x14ac:dyDescent="0.25">
      <c r="A592" s="7">
        <v>46290.583333333336</v>
      </c>
      <c r="B592" s="22">
        <v>1701</v>
      </c>
      <c r="C592" s="22">
        <v>1.2</v>
      </c>
      <c r="D592" s="18">
        <f t="shared" si="99"/>
        <v>1702.2</v>
      </c>
      <c r="E592" s="22">
        <v>0</v>
      </c>
      <c r="F592" s="18">
        <f t="shared" si="103"/>
        <v>0</v>
      </c>
      <c r="G592" s="18">
        <f t="shared" si="104"/>
        <v>0</v>
      </c>
      <c r="H592" s="22">
        <v>53.56</v>
      </c>
      <c r="I592" s="18">
        <f t="shared" si="105"/>
        <v>53.56</v>
      </c>
      <c r="J592" s="18">
        <f t="shared" si="106"/>
        <v>0</v>
      </c>
      <c r="K592" s="22">
        <v>16.48</v>
      </c>
      <c r="L592" s="18">
        <f t="shared" si="107"/>
        <v>16.48</v>
      </c>
      <c r="M592" s="18">
        <f t="shared" si="108"/>
        <v>0</v>
      </c>
      <c r="N592" s="15">
        <f t="shared" si="109"/>
        <v>70.040000000000006</v>
      </c>
      <c r="O592" s="15">
        <f t="shared" si="100"/>
        <v>70.040000000000006</v>
      </c>
      <c r="P592" s="15">
        <f t="shared" si="101"/>
        <v>0</v>
      </c>
      <c r="Q592" s="5">
        <f t="shared" si="102"/>
        <v>0</v>
      </c>
    </row>
    <row r="593" spans="1:17" x14ac:dyDescent="0.25">
      <c r="A593" s="7">
        <v>46290.625</v>
      </c>
      <c r="B593" s="22">
        <v>1184.3999999999999</v>
      </c>
      <c r="C593" s="22">
        <v>0</v>
      </c>
      <c r="D593" s="18">
        <f t="shared" si="99"/>
        <v>1184.3999999999999</v>
      </c>
      <c r="E593" s="22">
        <v>0</v>
      </c>
      <c r="F593" s="18">
        <f t="shared" si="103"/>
        <v>0</v>
      </c>
      <c r="G593" s="18">
        <f t="shared" si="104"/>
        <v>0</v>
      </c>
      <c r="H593" s="22">
        <v>109.36</v>
      </c>
      <c r="I593" s="18">
        <f t="shared" si="105"/>
        <v>109.36</v>
      </c>
      <c r="J593" s="18">
        <f t="shared" si="106"/>
        <v>0</v>
      </c>
      <c r="K593" s="22">
        <v>21.28</v>
      </c>
      <c r="L593" s="18">
        <f t="shared" si="107"/>
        <v>21.28</v>
      </c>
      <c r="M593" s="18">
        <f t="shared" si="108"/>
        <v>0</v>
      </c>
      <c r="N593" s="15">
        <f t="shared" si="109"/>
        <v>130.63999999999999</v>
      </c>
      <c r="O593" s="15">
        <f t="shared" si="100"/>
        <v>130.63999999999999</v>
      </c>
      <c r="P593" s="15">
        <f t="shared" si="101"/>
        <v>0</v>
      </c>
      <c r="Q593" s="5">
        <f t="shared" si="102"/>
        <v>0</v>
      </c>
    </row>
    <row r="594" spans="1:17" x14ac:dyDescent="0.25">
      <c r="A594" s="7">
        <v>46290.666666666664</v>
      </c>
      <c r="B594" s="22">
        <v>737.1</v>
      </c>
      <c r="C594" s="22">
        <v>0</v>
      </c>
      <c r="D594" s="18">
        <f t="shared" si="99"/>
        <v>737.1</v>
      </c>
      <c r="E594" s="22">
        <v>0</v>
      </c>
      <c r="F594" s="18">
        <f t="shared" si="103"/>
        <v>0</v>
      </c>
      <c r="G594" s="18">
        <f t="shared" si="104"/>
        <v>0</v>
      </c>
      <c r="H594" s="22">
        <v>144.63999999999999</v>
      </c>
      <c r="I594" s="18">
        <f t="shared" si="105"/>
        <v>144.63999999999999</v>
      </c>
      <c r="J594" s="18">
        <f t="shared" si="106"/>
        <v>0</v>
      </c>
      <c r="K594" s="22">
        <v>16.72</v>
      </c>
      <c r="L594" s="18">
        <f t="shared" si="107"/>
        <v>16.72</v>
      </c>
      <c r="M594" s="18">
        <f t="shared" si="108"/>
        <v>0</v>
      </c>
      <c r="N594" s="15">
        <f t="shared" si="109"/>
        <v>161.35999999999999</v>
      </c>
      <c r="O594" s="15">
        <f t="shared" si="100"/>
        <v>161.35999999999999</v>
      </c>
      <c r="P594" s="15">
        <f t="shared" si="101"/>
        <v>0</v>
      </c>
      <c r="Q594" s="5">
        <f t="shared" si="102"/>
        <v>0</v>
      </c>
    </row>
    <row r="595" spans="1:17" x14ac:dyDescent="0.25">
      <c r="A595" s="7">
        <v>46290.708333333336</v>
      </c>
      <c r="B595" s="22">
        <v>6.3</v>
      </c>
      <c r="C595" s="22">
        <v>0</v>
      </c>
      <c r="D595" s="18">
        <f t="shared" si="99"/>
        <v>6.3</v>
      </c>
      <c r="E595" s="22">
        <v>337.05</v>
      </c>
      <c r="F595" s="18">
        <f t="shared" si="103"/>
        <v>4.6235675294333305</v>
      </c>
      <c r="G595" s="18">
        <f t="shared" si="104"/>
        <v>332.42643247056668</v>
      </c>
      <c r="H595" s="22">
        <v>106</v>
      </c>
      <c r="I595" s="18">
        <f t="shared" si="105"/>
        <v>1.4540814660137329</v>
      </c>
      <c r="J595" s="18">
        <f t="shared" si="106"/>
        <v>104.54591853398627</v>
      </c>
      <c r="K595" s="22">
        <v>16.209</v>
      </c>
      <c r="L595" s="18">
        <f t="shared" si="107"/>
        <v>0.22235100455298706</v>
      </c>
      <c r="M595" s="18">
        <f t="shared" si="108"/>
        <v>15.986648995447013</v>
      </c>
      <c r="N595" s="15">
        <f t="shared" si="109"/>
        <v>459.25900000000001</v>
      </c>
      <c r="O595" s="15">
        <f t="shared" si="100"/>
        <v>6.3000000000000114</v>
      </c>
      <c r="P595" s="15">
        <f t="shared" si="101"/>
        <v>452.959</v>
      </c>
      <c r="Q595" s="5">
        <f t="shared" si="102"/>
        <v>0.98628225032062511</v>
      </c>
    </row>
    <row r="596" spans="1:17" x14ac:dyDescent="0.25">
      <c r="A596" s="7">
        <v>46290.75</v>
      </c>
      <c r="B596" s="22">
        <v>22.05</v>
      </c>
      <c r="C596" s="22">
        <v>0</v>
      </c>
      <c r="D596" s="18">
        <f t="shared" si="99"/>
        <v>22.05</v>
      </c>
      <c r="E596" s="22">
        <v>22.05</v>
      </c>
      <c r="F596" s="18">
        <f t="shared" si="103"/>
        <v>4.3826506697434588</v>
      </c>
      <c r="G596" s="18">
        <f t="shared" si="104"/>
        <v>17.667349330256542</v>
      </c>
      <c r="H596" s="22">
        <v>78.52000000000001</v>
      </c>
      <c r="I596" s="18">
        <f t="shared" si="105"/>
        <v>15.606609096973081</v>
      </c>
      <c r="J596" s="18">
        <f t="shared" si="106"/>
        <v>62.913390903026929</v>
      </c>
      <c r="K596" s="22">
        <v>10.368</v>
      </c>
      <c r="L596" s="18">
        <f t="shared" si="107"/>
        <v>2.0607402332834557</v>
      </c>
      <c r="M596" s="18">
        <f t="shared" si="108"/>
        <v>8.3072597667165446</v>
      </c>
      <c r="N596" s="15">
        <f t="shared" si="109"/>
        <v>110.938</v>
      </c>
      <c r="O596" s="15">
        <f t="shared" si="100"/>
        <v>22.049999999999997</v>
      </c>
      <c r="P596" s="15">
        <f t="shared" si="101"/>
        <v>88.888000000000005</v>
      </c>
      <c r="Q596" s="5">
        <f t="shared" si="102"/>
        <v>0.80124033243793835</v>
      </c>
    </row>
    <row r="597" spans="1:17" x14ac:dyDescent="0.25">
      <c r="A597" s="7">
        <v>46290.791666666664</v>
      </c>
      <c r="B597" s="22">
        <v>0</v>
      </c>
      <c r="C597" s="22">
        <v>0</v>
      </c>
      <c r="D597" s="18">
        <f t="shared" si="99"/>
        <v>0</v>
      </c>
      <c r="E597" s="22">
        <v>100.8</v>
      </c>
      <c r="F597" s="18">
        <f t="shared" si="103"/>
        <v>0</v>
      </c>
      <c r="G597" s="18">
        <f t="shared" si="104"/>
        <v>100.8</v>
      </c>
      <c r="H597" s="22">
        <v>53.080000000000005</v>
      </c>
      <c r="I597" s="18">
        <f t="shared" si="105"/>
        <v>0</v>
      </c>
      <c r="J597" s="18">
        <f t="shared" si="106"/>
        <v>53.080000000000005</v>
      </c>
      <c r="K597" s="22">
        <v>3.9189999999999996</v>
      </c>
      <c r="L597" s="18">
        <f t="shared" si="107"/>
        <v>0</v>
      </c>
      <c r="M597" s="18">
        <f t="shared" si="108"/>
        <v>3.9189999999999996</v>
      </c>
      <c r="N597" s="15">
        <f t="shared" si="109"/>
        <v>157.79900000000001</v>
      </c>
      <c r="O597" s="15">
        <f t="shared" si="100"/>
        <v>0</v>
      </c>
      <c r="P597" s="15">
        <f t="shared" si="101"/>
        <v>157.79900000000001</v>
      </c>
      <c r="Q597" s="5">
        <f t="shared" si="102"/>
        <v>1</v>
      </c>
    </row>
    <row r="598" spans="1:17" x14ac:dyDescent="0.25">
      <c r="A598" s="7">
        <v>46290.833333333336</v>
      </c>
      <c r="B598" s="22">
        <v>0</v>
      </c>
      <c r="C598" s="22">
        <v>0</v>
      </c>
      <c r="D598" s="18">
        <f t="shared" si="99"/>
        <v>0</v>
      </c>
      <c r="E598" s="22">
        <v>935.55</v>
      </c>
      <c r="F598" s="18">
        <f t="shared" si="103"/>
        <v>0</v>
      </c>
      <c r="G598" s="18">
        <f t="shared" si="104"/>
        <v>935.55</v>
      </c>
      <c r="H598" s="22">
        <v>49.480000000000004</v>
      </c>
      <c r="I598" s="18">
        <f t="shared" si="105"/>
        <v>0</v>
      </c>
      <c r="J598" s="18">
        <f t="shared" si="106"/>
        <v>49.480000000000004</v>
      </c>
      <c r="K598" s="22">
        <v>3.1890000000000001</v>
      </c>
      <c r="L598" s="18">
        <f t="shared" si="107"/>
        <v>0</v>
      </c>
      <c r="M598" s="18">
        <f t="shared" si="108"/>
        <v>3.1890000000000001</v>
      </c>
      <c r="N598" s="15">
        <f t="shared" si="109"/>
        <v>988.21899999999994</v>
      </c>
      <c r="O598" s="15">
        <f t="shared" si="100"/>
        <v>0</v>
      </c>
      <c r="P598" s="15">
        <f t="shared" si="101"/>
        <v>988.21899999999994</v>
      </c>
      <c r="Q598" s="5">
        <f t="shared" si="102"/>
        <v>1</v>
      </c>
    </row>
    <row r="599" spans="1:17" x14ac:dyDescent="0.25">
      <c r="A599" s="7">
        <v>46290.875</v>
      </c>
      <c r="B599" s="22">
        <v>0</v>
      </c>
      <c r="C599" s="22">
        <v>0</v>
      </c>
      <c r="D599" s="18">
        <f t="shared" si="99"/>
        <v>0</v>
      </c>
      <c r="E599" s="22">
        <v>891.44999999999993</v>
      </c>
      <c r="F599" s="18">
        <f t="shared" si="103"/>
        <v>0</v>
      </c>
      <c r="G599" s="18">
        <f t="shared" si="104"/>
        <v>891.44999999999993</v>
      </c>
      <c r="H599" s="22">
        <v>49.12</v>
      </c>
      <c r="I599" s="18">
        <f t="shared" si="105"/>
        <v>0</v>
      </c>
      <c r="J599" s="18">
        <f t="shared" si="106"/>
        <v>49.12</v>
      </c>
      <c r="K599" s="22">
        <v>3.31</v>
      </c>
      <c r="L599" s="18">
        <f t="shared" si="107"/>
        <v>0</v>
      </c>
      <c r="M599" s="18">
        <f t="shared" si="108"/>
        <v>3.31</v>
      </c>
      <c r="N599" s="15">
        <f t="shared" si="109"/>
        <v>943.87999999999988</v>
      </c>
      <c r="O599" s="15">
        <f t="shared" si="100"/>
        <v>0</v>
      </c>
      <c r="P599" s="15">
        <f t="shared" si="101"/>
        <v>943.87999999999988</v>
      </c>
      <c r="Q599" s="5">
        <f t="shared" si="102"/>
        <v>1</v>
      </c>
    </row>
    <row r="600" spans="1:17" x14ac:dyDescent="0.25">
      <c r="A600" s="7">
        <v>46290.916666666664</v>
      </c>
      <c r="B600" s="22">
        <v>0</v>
      </c>
      <c r="C600" s="22">
        <v>0</v>
      </c>
      <c r="D600" s="18">
        <f t="shared" si="99"/>
        <v>0</v>
      </c>
      <c r="E600" s="22">
        <v>888.3</v>
      </c>
      <c r="F600" s="18">
        <f t="shared" si="103"/>
        <v>0</v>
      </c>
      <c r="G600" s="18">
        <f t="shared" si="104"/>
        <v>888.3</v>
      </c>
      <c r="H600" s="22">
        <v>37.36</v>
      </c>
      <c r="I600" s="18">
        <f t="shared" si="105"/>
        <v>0</v>
      </c>
      <c r="J600" s="18">
        <f t="shared" si="106"/>
        <v>37.36</v>
      </c>
      <c r="K600" s="22">
        <v>3.16</v>
      </c>
      <c r="L600" s="18">
        <f t="shared" si="107"/>
        <v>0</v>
      </c>
      <c r="M600" s="18">
        <f t="shared" si="108"/>
        <v>3.16</v>
      </c>
      <c r="N600" s="15">
        <f t="shared" si="109"/>
        <v>928.81999999999994</v>
      </c>
      <c r="O600" s="15">
        <f t="shared" si="100"/>
        <v>0</v>
      </c>
      <c r="P600" s="15">
        <f t="shared" si="101"/>
        <v>928.81999999999994</v>
      </c>
      <c r="Q600" s="5">
        <f t="shared" si="102"/>
        <v>1</v>
      </c>
    </row>
    <row r="601" spans="1:17" x14ac:dyDescent="0.25">
      <c r="A601" s="7">
        <v>46290.958333333336</v>
      </c>
      <c r="B601" s="22">
        <v>0</v>
      </c>
      <c r="C601" s="22">
        <v>0</v>
      </c>
      <c r="D601" s="18">
        <f t="shared" si="99"/>
        <v>0</v>
      </c>
      <c r="E601" s="22">
        <v>916.65</v>
      </c>
      <c r="F601" s="18">
        <f t="shared" si="103"/>
        <v>0</v>
      </c>
      <c r="G601" s="18">
        <f t="shared" si="104"/>
        <v>916.65</v>
      </c>
      <c r="H601" s="22">
        <v>40</v>
      </c>
      <c r="I601" s="18">
        <f t="shared" si="105"/>
        <v>0</v>
      </c>
      <c r="J601" s="18">
        <f t="shared" si="106"/>
        <v>40</v>
      </c>
      <c r="K601" s="22">
        <v>3.04</v>
      </c>
      <c r="L601" s="18">
        <f t="shared" si="107"/>
        <v>0</v>
      </c>
      <c r="M601" s="18">
        <f t="shared" si="108"/>
        <v>3.04</v>
      </c>
      <c r="N601" s="15">
        <f t="shared" si="109"/>
        <v>959.68999999999994</v>
      </c>
      <c r="O601" s="15">
        <f t="shared" si="100"/>
        <v>0</v>
      </c>
      <c r="P601" s="15">
        <f t="shared" si="101"/>
        <v>959.68999999999994</v>
      </c>
      <c r="Q601" s="5">
        <f t="shared" si="102"/>
        <v>1</v>
      </c>
    </row>
    <row r="602" spans="1:17" x14ac:dyDescent="0.25">
      <c r="A602" s="7">
        <v>46291</v>
      </c>
      <c r="B602" s="22">
        <v>0</v>
      </c>
      <c r="C602" s="22">
        <v>0</v>
      </c>
      <c r="D602" s="18">
        <f t="shared" si="99"/>
        <v>0</v>
      </c>
      <c r="E602" s="22">
        <v>837.9</v>
      </c>
      <c r="F602" s="18">
        <f t="shared" si="103"/>
        <v>0</v>
      </c>
      <c r="G602" s="18">
        <f t="shared" si="104"/>
        <v>837.9</v>
      </c>
      <c r="H602" s="22">
        <v>37.24</v>
      </c>
      <c r="I602" s="18">
        <f t="shared" si="105"/>
        <v>0</v>
      </c>
      <c r="J602" s="18">
        <f t="shared" si="106"/>
        <v>37.24</v>
      </c>
      <c r="K602" s="22">
        <v>3.28</v>
      </c>
      <c r="L602" s="18">
        <f t="shared" si="107"/>
        <v>0</v>
      </c>
      <c r="M602" s="18">
        <f t="shared" si="108"/>
        <v>3.28</v>
      </c>
      <c r="N602" s="15">
        <f t="shared" si="109"/>
        <v>878.42</v>
      </c>
      <c r="O602" s="15">
        <f t="shared" si="100"/>
        <v>0</v>
      </c>
      <c r="P602" s="15">
        <f t="shared" si="101"/>
        <v>878.42</v>
      </c>
      <c r="Q602" s="5">
        <f t="shared" si="102"/>
        <v>1</v>
      </c>
    </row>
    <row r="603" spans="1:17" x14ac:dyDescent="0.25">
      <c r="A603" s="7">
        <v>46291.041666666664</v>
      </c>
      <c r="B603" s="22">
        <v>0</v>
      </c>
      <c r="C603" s="22">
        <v>0</v>
      </c>
      <c r="D603" s="18">
        <f t="shared" si="99"/>
        <v>0</v>
      </c>
      <c r="E603" s="22">
        <v>44.1</v>
      </c>
      <c r="F603" s="18">
        <f t="shared" si="103"/>
        <v>0</v>
      </c>
      <c r="G603" s="18">
        <f t="shared" si="104"/>
        <v>44.1</v>
      </c>
      <c r="H603" s="22">
        <v>44.44</v>
      </c>
      <c r="I603" s="18">
        <f t="shared" si="105"/>
        <v>0</v>
      </c>
      <c r="J603" s="18">
        <f t="shared" si="106"/>
        <v>44.44</v>
      </c>
      <c r="K603" s="22">
        <v>2.92</v>
      </c>
      <c r="L603" s="18">
        <f t="shared" si="107"/>
        <v>0</v>
      </c>
      <c r="M603" s="18">
        <f t="shared" si="108"/>
        <v>2.92</v>
      </c>
      <c r="N603" s="15">
        <f t="shared" si="109"/>
        <v>91.46</v>
      </c>
      <c r="O603" s="15">
        <f t="shared" si="100"/>
        <v>0</v>
      </c>
      <c r="P603" s="15">
        <f t="shared" si="101"/>
        <v>91.46</v>
      </c>
      <c r="Q603" s="5">
        <f t="shared" si="102"/>
        <v>1</v>
      </c>
    </row>
    <row r="604" spans="1:17" x14ac:dyDescent="0.25">
      <c r="A604" s="7">
        <v>46291.083333333336</v>
      </c>
      <c r="B604" s="22">
        <v>0</v>
      </c>
      <c r="C604" s="22">
        <v>0</v>
      </c>
      <c r="D604" s="18">
        <f t="shared" si="99"/>
        <v>0</v>
      </c>
      <c r="E604" s="22">
        <v>878.85</v>
      </c>
      <c r="F604" s="18">
        <f t="shared" si="103"/>
        <v>0</v>
      </c>
      <c r="G604" s="18">
        <f t="shared" si="104"/>
        <v>878.85</v>
      </c>
      <c r="H604" s="22">
        <v>43.24</v>
      </c>
      <c r="I604" s="18">
        <f t="shared" si="105"/>
        <v>0</v>
      </c>
      <c r="J604" s="18">
        <f t="shared" si="106"/>
        <v>43.24</v>
      </c>
      <c r="K604" s="22">
        <v>4.4799999999999995</v>
      </c>
      <c r="L604" s="18">
        <f t="shared" si="107"/>
        <v>0</v>
      </c>
      <c r="M604" s="18">
        <f t="shared" si="108"/>
        <v>4.4799999999999995</v>
      </c>
      <c r="N604" s="15">
        <f t="shared" si="109"/>
        <v>926.57</v>
      </c>
      <c r="O604" s="15">
        <f t="shared" si="100"/>
        <v>0</v>
      </c>
      <c r="P604" s="15">
        <f t="shared" si="101"/>
        <v>926.57</v>
      </c>
      <c r="Q604" s="5">
        <f t="shared" si="102"/>
        <v>1</v>
      </c>
    </row>
    <row r="605" spans="1:17" x14ac:dyDescent="0.25">
      <c r="A605" s="7">
        <v>46291.125</v>
      </c>
      <c r="B605" s="22">
        <v>0</v>
      </c>
      <c r="C605" s="22">
        <v>0</v>
      </c>
      <c r="D605" s="18">
        <f t="shared" si="99"/>
        <v>0</v>
      </c>
      <c r="E605" s="22">
        <v>897.75</v>
      </c>
      <c r="F605" s="18">
        <f t="shared" si="103"/>
        <v>0</v>
      </c>
      <c r="G605" s="18">
        <f t="shared" si="104"/>
        <v>897.75</v>
      </c>
      <c r="H605" s="22">
        <v>38.559999999999995</v>
      </c>
      <c r="I605" s="18">
        <f t="shared" si="105"/>
        <v>0</v>
      </c>
      <c r="J605" s="18">
        <f t="shared" si="106"/>
        <v>38.559999999999995</v>
      </c>
      <c r="K605" s="22">
        <v>4.84</v>
      </c>
      <c r="L605" s="18">
        <f t="shared" si="107"/>
        <v>0</v>
      </c>
      <c r="M605" s="18">
        <f t="shared" si="108"/>
        <v>4.84</v>
      </c>
      <c r="N605" s="15">
        <f t="shared" si="109"/>
        <v>941.15</v>
      </c>
      <c r="O605" s="15">
        <f t="shared" si="100"/>
        <v>0</v>
      </c>
      <c r="P605" s="15">
        <f t="shared" si="101"/>
        <v>941.15</v>
      </c>
      <c r="Q605" s="5">
        <f t="shared" si="102"/>
        <v>1</v>
      </c>
    </row>
    <row r="606" spans="1:17" x14ac:dyDescent="0.25">
      <c r="A606" s="7">
        <v>46291.166666666664</v>
      </c>
      <c r="B606" s="22">
        <v>0</v>
      </c>
      <c r="C606" s="22">
        <v>0</v>
      </c>
      <c r="D606" s="18">
        <f t="shared" si="99"/>
        <v>0</v>
      </c>
      <c r="E606" s="22">
        <v>904.05000000000007</v>
      </c>
      <c r="F606" s="18">
        <f t="shared" si="103"/>
        <v>0</v>
      </c>
      <c r="G606" s="18">
        <f t="shared" si="104"/>
        <v>904.05000000000007</v>
      </c>
      <c r="H606" s="22">
        <v>36.76</v>
      </c>
      <c r="I606" s="18">
        <f t="shared" si="105"/>
        <v>0</v>
      </c>
      <c r="J606" s="18">
        <f t="shared" si="106"/>
        <v>36.76</v>
      </c>
      <c r="K606" s="22">
        <v>4.96</v>
      </c>
      <c r="L606" s="18">
        <f t="shared" si="107"/>
        <v>0</v>
      </c>
      <c r="M606" s="18">
        <f t="shared" si="108"/>
        <v>4.96</v>
      </c>
      <c r="N606" s="15">
        <f t="shared" si="109"/>
        <v>945.7700000000001</v>
      </c>
      <c r="O606" s="15">
        <f t="shared" si="100"/>
        <v>0</v>
      </c>
      <c r="P606" s="15">
        <f t="shared" si="101"/>
        <v>945.7700000000001</v>
      </c>
      <c r="Q606" s="5">
        <f t="shared" si="102"/>
        <v>1</v>
      </c>
    </row>
    <row r="607" spans="1:17" x14ac:dyDescent="0.25">
      <c r="A607" s="7">
        <v>46291.208333333336</v>
      </c>
      <c r="B607" s="22">
        <v>0</v>
      </c>
      <c r="C607" s="22">
        <v>0</v>
      </c>
      <c r="D607" s="18">
        <f t="shared" si="99"/>
        <v>0</v>
      </c>
      <c r="E607" s="22">
        <v>793.8</v>
      </c>
      <c r="F607" s="18">
        <f t="shared" si="103"/>
        <v>0</v>
      </c>
      <c r="G607" s="18">
        <f t="shared" si="104"/>
        <v>793.8</v>
      </c>
      <c r="H607" s="22">
        <v>41.32</v>
      </c>
      <c r="I607" s="18">
        <f t="shared" si="105"/>
        <v>0</v>
      </c>
      <c r="J607" s="18">
        <f t="shared" si="106"/>
        <v>41.32</v>
      </c>
      <c r="K607" s="22">
        <v>4.7200000000000006</v>
      </c>
      <c r="L607" s="18">
        <f t="shared" si="107"/>
        <v>0</v>
      </c>
      <c r="M607" s="18">
        <f t="shared" si="108"/>
        <v>4.7200000000000006</v>
      </c>
      <c r="N607" s="15">
        <f t="shared" si="109"/>
        <v>839.84</v>
      </c>
      <c r="O607" s="15">
        <f t="shared" si="100"/>
        <v>0</v>
      </c>
      <c r="P607" s="15">
        <f t="shared" si="101"/>
        <v>839.84</v>
      </c>
      <c r="Q607" s="5">
        <f t="shared" si="102"/>
        <v>1</v>
      </c>
    </row>
    <row r="608" spans="1:17" x14ac:dyDescent="0.25">
      <c r="A608" s="7">
        <v>46291.25</v>
      </c>
      <c r="B608" s="22">
        <v>6.3</v>
      </c>
      <c r="C608" s="22">
        <v>0</v>
      </c>
      <c r="D608" s="18">
        <f t="shared" si="99"/>
        <v>6.3</v>
      </c>
      <c r="E608" s="22">
        <v>25.2</v>
      </c>
      <c r="F608" s="18">
        <f t="shared" si="103"/>
        <v>2.3062173155142354</v>
      </c>
      <c r="G608" s="18">
        <f t="shared" si="104"/>
        <v>22.893782684485764</v>
      </c>
      <c r="H608" s="22">
        <v>37.96</v>
      </c>
      <c r="I608" s="18">
        <f t="shared" si="105"/>
        <v>3.4739686228936648</v>
      </c>
      <c r="J608" s="18">
        <f t="shared" si="106"/>
        <v>34.486031377106336</v>
      </c>
      <c r="K608" s="22">
        <v>5.68</v>
      </c>
      <c r="L608" s="18">
        <f t="shared" si="107"/>
        <v>0.51981406159209698</v>
      </c>
      <c r="M608" s="18">
        <f t="shared" si="108"/>
        <v>5.1601859384079027</v>
      </c>
      <c r="N608" s="15">
        <f t="shared" si="109"/>
        <v>68.84</v>
      </c>
      <c r="O608" s="15">
        <f t="shared" si="100"/>
        <v>6.2999999999999972</v>
      </c>
      <c r="P608" s="15">
        <f t="shared" si="101"/>
        <v>62.540000000000006</v>
      </c>
      <c r="Q608" s="5">
        <f t="shared" si="102"/>
        <v>0.90848343986054625</v>
      </c>
    </row>
    <row r="609" spans="1:17" x14ac:dyDescent="0.25">
      <c r="A609" s="7">
        <v>46291.291666666664</v>
      </c>
      <c r="B609" s="22">
        <v>355.95</v>
      </c>
      <c r="C609" s="22">
        <v>0.12000000000000001</v>
      </c>
      <c r="D609" s="18">
        <f t="shared" si="99"/>
        <v>356.07</v>
      </c>
      <c r="E609" s="22">
        <v>0</v>
      </c>
      <c r="F609" s="18">
        <f t="shared" si="103"/>
        <v>0</v>
      </c>
      <c r="G609" s="18">
        <f t="shared" si="104"/>
        <v>0</v>
      </c>
      <c r="H609" s="22">
        <v>40.96</v>
      </c>
      <c r="I609" s="18">
        <f t="shared" si="105"/>
        <v>40.96</v>
      </c>
      <c r="J609" s="18">
        <f t="shared" si="106"/>
        <v>0</v>
      </c>
      <c r="K609" s="22">
        <v>3.16</v>
      </c>
      <c r="L609" s="18">
        <f t="shared" si="107"/>
        <v>3.16</v>
      </c>
      <c r="M609" s="18">
        <f t="shared" si="108"/>
        <v>0</v>
      </c>
      <c r="N609" s="15">
        <f t="shared" si="109"/>
        <v>44.120000000000005</v>
      </c>
      <c r="O609" s="15">
        <f t="shared" si="100"/>
        <v>44.120000000000005</v>
      </c>
      <c r="P609" s="15">
        <f t="shared" si="101"/>
        <v>0</v>
      </c>
      <c r="Q609" s="5">
        <f t="shared" si="102"/>
        <v>0</v>
      </c>
    </row>
    <row r="610" spans="1:17" x14ac:dyDescent="0.25">
      <c r="A610" s="7">
        <v>46291.333333333336</v>
      </c>
      <c r="B610" s="22">
        <v>667.8</v>
      </c>
      <c r="C610" s="22">
        <v>0</v>
      </c>
      <c r="D610" s="18">
        <f t="shared" si="99"/>
        <v>667.8</v>
      </c>
      <c r="E610" s="22">
        <v>0</v>
      </c>
      <c r="F610" s="18">
        <f t="shared" si="103"/>
        <v>0</v>
      </c>
      <c r="G610" s="18">
        <f t="shared" si="104"/>
        <v>0</v>
      </c>
      <c r="H610" s="22">
        <v>162.64000000000001</v>
      </c>
      <c r="I610" s="18">
        <f t="shared" si="105"/>
        <v>162.64000000000001</v>
      </c>
      <c r="J610" s="18">
        <f t="shared" si="106"/>
        <v>0</v>
      </c>
      <c r="K610" s="22">
        <v>19.36</v>
      </c>
      <c r="L610" s="18">
        <f t="shared" si="107"/>
        <v>19.36</v>
      </c>
      <c r="M610" s="18">
        <f t="shared" si="108"/>
        <v>0</v>
      </c>
      <c r="N610" s="15">
        <f t="shared" si="109"/>
        <v>182</v>
      </c>
      <c r="O610" s="15">
        <f t="shared" si="100"/>
        <v>182</v>
      </c>
      <c r="P610" s="15">
        <f t="shared" si="101"/>
        <v>0</v>
      </c>
      <c r="Q610" s="5">
        <f t="shared" si="102"/>
        <v>0</v>
      </c>
    </row>
    <row r="611" spans="1:17" x14ac:dyDescent="0.25">
      <c r="A611" s="7">
        <v>46291.375</v>
      </c>
      <c r="B611" s="22">
        <v>1237.95</v>
      </c>
      <c r="C611" s="22">
        <v>0.12000000000000001</v>
      </c>
      <c r="D611" s="18">
        <f t="shared" si="99"/>
        <v>1238.07</v>
      </c>
      <c r="E611" s="22">
        <v>0</v>
      </c>
      <c r="F611" s="18">
        <f t="shared" si="103"/>
        <v>0</v>
      </c>
      <c r="G611" s="18">
        <f t="shared" si="104"/>
        <v>0</v>
      </c>
      <c r="H611" s="22">
        <v>104.80000000000001</v>
      </c>
      <c r="I611" s="18">
        <f t="shared" si="105"/>
        <v>104.80000000000001</v>
      </c>
      <c r="J611" s="18">
        <f t="shared" si="106"/>
        <v>0</v>
      </c>
      <c r="K611" s="22">
        <v>79.36</v>
      </c>
      <c r="L611" s="18">
        <f t="shared" si="107"/>
        <v>79.36</v>
      </c>
      <c r="M611" s="18">
        <f t="shared" si="108"/>
        <v>0</v>
      </c>
      <c r="N611" s="15">
        <f t="shared" si="109"/>
        <v>184.16000000000003</v>
      </c>
      <c r="O611" s="15">
        <f t="shared" si="100"/>
        <v>184.16000000000003</v>
      </c>
      <c r="P611" s="15">
        <f t="shared" si="101"/>
        <v>0</v>
      </c>
      <c r="Q611" s="5">
        <f t="shared" si="102"/>
        <v>0</v>
      </c>
    </row>
    <row r="612" spans="1:17" x14ac:dyDescent="0.25">
      <c r="A612" s="7">
        <v>46291.416666666664</v>
      </c>
      <c r="B612" s="22">
        <v>2116.8000000000002</v>
      </c>
      <c r="C612" s="22">
        <v>1.4400000000000002</v>
      </c>
      <c r="D612" s="18">
        <f t="shared" si="99"/>
        <v>2118.2400000000002</v>
      </c>
      <c r="E612" s="22">
        <v>0</v>
      </c>
      <c r="F612" s="18">
        <f t="shared" si="103"/>
        <v>0</v>
      </c>
      <c r="G612" s="18">
        <f t="shared" si="104"/>
        <v>0</v>
      </c>
      <c r="H612" s="22">
        <v>56.32</v>
      </c>
      <c r="I612" s="18">
        <f t="shared" si="105"/>
        <v>56.32</v>
      </c>
      <c r="J612" s="18">
        <f t="shared" si="106"/>
        <v>0</v>
      </c>
      <c r="K612" s="22">
        <v>49.480000000000004</v>
      </c>
      <c r="L612" s="18">
        <f t="shared" si="107"/>
        <v>49.480000000000004</v>
      </c>
      <c r="M612" s="18">
        <f t="shared" si="108"/>
        <v>0</v>
      </c>
      <c r="N612" s="15">
        <f t="shared" si="109"/>
        <v>105.80000000000001</v>
      </c>
      <c r="O612" s="15">
        <f t="shared" si="100"/>
        <v>105.80000000000001</v>
      </c>
      <c r="P612" s="15">
        <f t="shared" si="101"/>
        <v>0</v>
      </c>
      <c r="Q612" s="5">
        <f t="shared" si="102"/>
        <v>0</v>
      </c>
    </row>
    <row r="613" spans="1:17" x14ac:dyDescent="0.25">
      <c r="A613" s="7">
        <v>46291.458333333336</v>
      </c>
      <c r="B613" s="22">
        <v>1710.45</v>
      </c>
      <c r="C613" s="22">
        <v>4.2</v>
      </c>
      <c r="D613" s="18">
        <f t="shared" si="99"/>
        <v>1714.65</v>
      </c>
      <c r="E613" s="22">
        <v>0</v>
      </c>
      <c r="F613" s="18">
        <f t="shared" si="103"/>
        <v>0</v>
      </c>
      <c r="G613" s="18">
        <f t="shared" si="104"/>
        <v>0</v>
      </c>
      <c r="H613" s="22">
        <v>58.24</v>
      </c>
      <c r="I613" s="18">
        <f t="shared" si="105"/>
        <v>58.24</v>
      </c>
      <c r="J613" s="18">
        <f t="shared" si="106"/>
        <v>0</v>
      </c>
      <c r="K613" s="22">
        <v>55.96</v>
      </c>
      <c r="L613" s="18">
        <f t="shared" si="107"/>
        <v>55.96</v>
      </c>
      <c r="M613" s="18">
        <f t="shared" si="108"/>
        <v>0</v>
      </c>
      <c r="N613" s="15">
        <f t="shared" si="109"/>
        <v>114.2</v>
      </c>
      <c r="O613" s="15">
        <f t="shared" si="100"/>
        <v>114.2</v>
      </c>
      <c r="P613" s="15">
        <f t="shared" si="101"/>
        <v>0</v>
      </c>
      <c r="Q613" s="5">
        <f t="shared" si="102"/>
        <v>0</v>
      </c>
    </row>
    <row r="614" spans="1:17" x14ac:dyDescent="0.25">
      <c r="A614" s="7">
        <v>46291.5</v>
      </c>
      <c r="B614" s="22">
        <v>1373.3999999999999</v>
      </c>
      <c r="C614" s="22">
        <v>30.360000000000003</v>
      </c>
      <c r="D614" s="18">
        <f t="shared" si="99"/>
        <v>1403.7599999999998</v>
      </c>
      <c r="E614" s="22">
        <v>0</v>
      </c>
      <c r="F614" s="18">
        <f t="shared" si="103"/>
        <v>0</v>
      </c>
      <c r="G614" s="18">
        <f t="shared" si="104"/>
        <v>0</v>
      </c>
      <c r="H614" s="22">
        <v>55.599999999999994</v>
      </c>
      <c r="I614" s="18">
        <f t="shared" si="105"/>
        <v>55.599999999999994</v>
      </c>
      <c r="J614" s="18">
        <f t="shared" si="106"/>
        <v>0</v>
      </c>
      <c r="K614" s="22">
        <v>71.8</v>
      </c>
      <c r="L614" s="18">
        <f t="shared" si="107"/>
        <v>71.8</v>
      </c>
      <c r="M614" s="18">
        <f t="shared" si="108"/>
        <v>0</v>
      </c>
      <c r="N614" s="15">
        <f t="shared" si="109"/>
        <v>127.39999999999999</v>
      </c>
      <c r="O614" s="15">
        <f t="shared" si="100"/>
        <v>127.39999999999999</v>
      </c>
      <c r="P614" s="15">
        <f t="shared" si="101"/>
        <v>0</v>
      </c>
      <c r="Q614" s="5">
        <f t="shared" si="102"/>
        <v>0</v>
      </c>
    </row>
    <row r="615" spans="1:17" x14ac:dyDescent="0.25">
      <c r="A615" s="7">
        <v>46291.541666666664</v>
      </c>
      <c r="B615" s="22">
        <v>2520</v>
      </c>
      <c r="C615" s="22">
        <v>42.84</v>
      </c>
      <c r="D615" s="18">
        <f t="shared" si="99"/>
        <v>2562.84</v>
      </c>
      <c r="E615" s="22">
        <v>0</v>
      </c>
      <c r="F615" s="18">
        <f t="shared" si="103"/>
        <v>0</v>
      </c>
      <c r="G615" s="18">
        <f t="shared" si="104"/>
        <v>0</v>
      </c>
      <c r="H615" s="22">
        <v>6.7600000000000007</v>
      </c>
      <c r="I615" s="18">
        <f t="shared" si="105"/>
        <v>6.7600000000000007</v>
      </c>
      <c r="J615" s="18">
        <f t="shared" si="106"/>
        <v>0</v>
      </c>
      <c r="K615" s="22">
        <v>56.08</v>
      </c>
      <c r="L615" s="18">
        <f t="shared" si="107"/>
        <v>56.08</v>
      </c>
      <c r="M615" s="18">
        <f t="shared" si="108"/>
        <v>0</v>
      </c>
      <c r="N615" s="15">
        <f t="shared" si="109"/>
        <v>62.839999999999996</v>
      </c>
      <c r="O615" s="15">
        <f t="shared" si="100"/>
        <v>62.839999999999996</v>
      </c>
      <c r="P615" s="15">
        <f t="shared" si="101"/>
        <v>0</v>
      </c>
      <c r="Q615" s="5">
        <f t="shared" si="102"/>
        <v>0</v>
      </c>
    </row>
    <row r="616" spans="1:17" x14ac:dyDescent="0.25">
      <c r="A616" s="7">
        <v>46291.583333333336</v>
      </c>
      <c r="B616" s="22">
        <v>1666.35</v>
      </c>
      <c r="C616" s="22">
        <v>30.12</v>
      </c>
      <c r="D616" s="18">
        <f t="shared" si="99"/>
        <v>1696.4699999999998</v>
      </c>
      <c r="E616" s="22">
        <v>0</v>
      </c>
      <c r="F616" s="18">
        <f t="shared" si="103"/>
        <v>0</v>
      </c>
      <c r="G616" s="18">
        <f t="shared" si="104"/>
        <v>0</v>
      </c>
      <c r="H616" s="22">
        <v>9.76</v>
      </c>
      <c r="I616" s="18">
        <f t="shared" si="105"/>
        <v>9.76</v>
      </c>
      <c r="J616" s="18">
        <f t="shared" si="106"/>
        <v>0</v>
      </c>
      <c r="K616" s="22">
        <v>25.84</v>
      </c>
      <c r="L616" s="18">
        <f t="shared" si="107"/>
        <v>25.84</v>
      </c>
      <c r="M616" s="18">
        <f t="shared" si="108"/>
        <v>0</v>
      </c>
      <c r="N616" s="15">
        <f t="shared" si="109"/>
        <v>35.6</v>
      </c>
      <c r="O616" s="15">
        <f t="shared" si="100"/>
        <v>35.6</v>
      </c>
      <c r="P616" s="15">
        <f t="shared" si="101"/>
        <v>0</v>
      </c>
      <c r="Q616" s="5">
        <f t="shared" si="102"/>
        <v>0</v>
      </c>
    </row>
    <row r="617" spans="1:17" x14ac:dyDescent="0.25">
      <c r="A617" s="7">
        <v>46291.625</v>
      </c>
      <c r="B617" s="22">
        <v>1231.6499999999999</v>
      </c>
      <c r="C617" s="22">
        <v>4.92</v>
      </c>
      <c r="D617" s="18">
        <f t="shared" si="99"/>
        <v>1236.57</v>
      </c>
      <c r="E617" s="22">
        <v>0</v>
      </c>
      <c r="F617" s="18">
        <f t="shared" si="103"/>
        <v>0</v>
      </c>
      <c r="G617" s="18">
        <f t="shared" si="104"/>
        <v>0</v>
      </c>
      <c r="H617" s="22">
        <v>43.72</v>
      </c>
      <c r="I617" s="18">
        <f t="shared" si="105"/>
        <v>43.72</v>
      </c>
      <c r="J617" s="18">
        <f t="shared" si="106"/>
        <v>0</v>
      </c>
      <c r="K617" s="22">
        <v>33.160000000000004</v>
      </c>
      <c r="L617" s="18">
        <f t="shared" si="107"/>
        <v>33.160000000000004</v>
      </c>
      <c r="M617" s="18">
        <f t="shared" si="108"/>
        <v>0</v>
      </c>
      <c r="N617" s="15">
        <f t="shared" si="109"/>
        <v>76.88</v>
      </c>
      <c r="O617" s="15">
        <f t="shared" si="100"/>
        <v>76.88</v>
      </c>
      <c r="P617" s="15">
        <f t="shared" si="101"/>
        <v>0</v>
      </c>
      <c r="Q617" s="5">
        <f t="shared" si="102"/>
        <v>0</v>
      </c>
    </row>
    <row r="618" spans="1:17" x14ac:dyDescent="0.25">
      <c r="A618" s="7">
        <v>46291.666666666664</v>
      </c>
      <c r="B618" s="22">
        <v>69.3</v>
      </c>
      <c r="C618" s="22">
        <v>0</v>
      </c>
      <c r="D618" s="18">
        <f t="shared" si="99"/>
        <v>69.3</v>
      </c>
      <c r="E618" s="22">
        <v>220.5</v>
      </c>
      <c r="F618" s="18">
        <f t="shared" si="103"/>
        <v>43.383822610868208</v>
      </c>
      <c r="G618" s="18">
        <f t="shared" si="104"/>
        <v>177.11617738913179</v>
      </c>
      <c r="H618" s="22">
        <v>86.32</v>
      </c>
      <c r="I618" s="18">
        <f t="shared" si="105"/>
        <v>16.983635227982518</v>
      </c>
      <c r="J618" s="18">
        <f t="shared" si="106"/>
        <v>69.336364772017475</v>
      </c>
      <c r="K618" s="22">
        <v>45.400000000000006</v>
      </c>
      <c r="L618" s="18">
        <f t="shared" si="107"/>
        <v>8.9325421611492857</v>
      </c>
      <c r="M618" s="18">
        <f t="shared" si="108"/>
        <v>36.46745783885072</v>
      </c>
      <c r="N618" s="15">
        <f t="shared" si="109"/>
        <v>352.22</v>
      </c>
      <c r="O618" s="15">
        <f t="shared" si="100"/>
        <v>69.300000000000011</v>
      </c>
      <c r="P618" s="15">
        <f t="shared" si="101"/>
        <v>282.92</v>
      </c>
      <c r="Q618" s="5">
        <f t="shared" si="102"/>
        <v>0.80324797001873827</v>
      </c>
    </row>
    <row r="619" spans="1:17" x14ac:dyDescent="0.25">
      <c r="A619" s="7">
        <v>46291.708333333336</v>
      </c>
      <c r="B619" s="22">
        <v>3.15</v>
      </c>
      <c r="C619" s="22">
        <v>0</v>
      </c>
      <c r="D619" s="18">
        <f t="shared" si="99"/>
        <v>3.15</v>
      </c>
      <c r="E619" s="22">
        <v>355.95</v>
      </c>
      <c r="F619" s="18">
        <f t="shared" si="103"/>
        <v>2.376052410186162</v>
      </c>
      <c r="G619" s="18">
        <f t="shared" si="104"/>
        <v>353.57394758981383</v>
      </c>
      <c r="H619" s="22">
        <v>67</v>
      </c>
      <c r="I619" s="18">
        <f t="shared" si="105"/>
        <v>0.44724121781844417</v>
      </c>
      <c r="J619" s="18">
        <f t="shared" si="106"/>
        <v>66.552758782181556</v>
      </c>
      <c r="K619" s="22">
        <v>48.942999999999998</v>
      </c>
      <c r="L619" s="18">
        <f t="shared" si="107"/>
        <v>0.32670637199534269</v>
      </c>
      <c r="M619" s="18">
        <f t="shared" si="108"/>
        <v>48.616293628004655</v>
      </c>
      <c r="N619" s="15">
        <f t="shared" si="109"/>
        <v>471.89299999999997</v>
      </c>
      <c r="O619" s="15">
        <f t="shared" si="100"/>
        <v>3.1499999999999773</v>
      </c>
      <c r="P619" s="15">
        <f t="shared" si="101"/>
        <v>468.74299999999999</v>
      </c>
      <c r="Q619" s="5">
        <f t="shared" si="102"/>
        <v>0.99332475794300834</v>
      </c>
    </row>
    <row r="620" spans="1:17" x14ac:dyDescent="0.25">
      <c r="A620" s="7">
        <v>46291.75</v>
      </c>
      <c r="B620" s="22">
        <v>0</v>
      </c>
      <c r="C620" s="22">
        <v>0</v>
      </c>
      <c r="D620" s="18">
        <f t="shared" si="99"/>
        <v>0</v>
      </c>
      <c r="E620" s="22">
        <v>274.05</v>
      </c>
      <c r="F620" s="18">
        <f t="shared" si="103"/>
        <v>0</v>
      </c>
      <c r="G620" s="18">
        <f t="shared" si="104"/>
        <v>274.05</v>
      </c>
      <c r="H620" s="22">
        <v>52.48</v>
      </c>
      <c r="I620" s="18">
        <f t="shared" si="105"/>
        <v>0</v>
      </c>
      <c r="J620" s="18">
        <f t="shared" si="106"/>
        <v>52.48</v>
      </c>
      <c r="K620" s="22">
        <v>15.235999999999999</v>
      </c>
      <c r="L620" s="18">
        <f t="shared" si="107"/>
        <v>0</v>
      </c>
      <c r="M620" s="18">
        <f t="shared" si="108"/>
        <v>15.235999999999999</v>
      </c>
      <c r="N620" s="15">
        <f t="shared" si="109"/>
        <v>341.76600000000002</v>
      </c>
      <c r="O620" s="15">
        <f t="shared" si="100"/>
        <v>0</v>
      </c>
      <c r="P620" s="15">
        <f t="shared" si="101"/>
        <v>341.76600000000002</v>
      </c>
      <c r="Q620" s="5">
        <f t="shared" si="102"/>
        <v>1</v>
      </c>
    </row>
    <row r="621" spans="1:17" x14ac:dyDescent="0.25">
      <c r="A621" s="7">
        <v>46291.791666666664</v>
      </c>
      <c r="B621" s="22">
        <v>0</v>
      </c>
      <c r="C621" s="22">
        <v>0</v>
      </c>
      <c r="D621" s="18">
        <f t="shared" si="99"/>
        <v>0</v>
      </c>
      <c r="E621" s="22">
        <v>47.25</v>
      </c>
      <c r="F621" s="18">
        <f t="shared" si="103"/>
        <v>0</v>
      </c>
      <c r="G621" s="18">
        <f t="shared" si="104"/>
        <v>47.25</v>
      </c>
      <c r="H621" s="22">
        <v>43.36</v>
      </c>
      <c r="I621" s="18">
        <f t="shared" si="105"/>
        <v>0</v>
      </c>
      <c r="J621" s="18">
        <f t="shared" si="106"/>
        <v>43.36</v>
      </c>
      <c r="K621" s="22">
        <v>30.568000000000001</v>
      </c>
      <c r="L621" s="18">
        <f t="shared" si="107"/>
        <v>0</v>
      </c>
      <c r="M621" s="18">
        <f t="shared" si="108"/>
        <v>30.568000000000001</v>
      </c>
      <c r="N621" s="15">
        <f t="shared" si="109"/>
        <v>121.178</v>
      </c>
      <c r="O621" s="15">
        <f t="shared" si="100"/>
        <v>0</v>
      </c>
      <c r="P621" s="15">
        <f t="shared" si="101"/>
        <v>121.178</v>
      </c>
      <c r="Q621" s="5">
        <f t="shared" si="102"/>
        <v>1</v>
      </c>
    </row>
    <row r="622" spans="1:17" x14ac:dyDescent="0.25">
      <c r="A622" s="7">
        <v>46291.833333333336</v>
      </c>
      <c r="B622" s="22">
        <v>0</v>
      </c>
      <c r="C622" s="22">
        <v>0</v>
      </c>
      <c r="D622" s="18">
        <f t="shared" si="99"/>
        <v>0</v>
      </c>
      <c r="E622" s="22">
        <v>661.5</v>
      </c>
      <c r="F622" s="18">
        <f t="shared" si="103"/>
        <v>0</v>
      </c>
      <c r="G622" s="18">
        <f t="shared" si="104"/>
        <v>661.5</v>
      </c>
      <c r="H622" s="22">
        <v>37.36</v>
      </c>
      <c r="I622" s="18">
        <f t="shared" si="105"/>
        <v>0</v>
      </c>
      <c r="J622" s="18">
        <f t="shared" si="106"/>
        <v>37.36</v>
      </c>
      <c r="K622" s="22">
        <v>21.198</v>
      </c>
      <c r="L622" s="18">
        <f t="shared" si="107"/>
        <v>0</v>
      </c>
      <c r="M622" s="18">
        <f t="shared" si="108"/>
        <v>21.198</v>
      </c>
      <c r="N622" s="15">
        <f t="shared" si="109"/>
        <v>720.05799999999999</v>
      </c>
      <c r="O622" s="15">
        <f t="shared" si="100"/>
        <v>0</v>
      </c>
      <c r="P622" s="15">
        <f t="shared" si="101"/>
        <v>720.05799999999999</v>
      </c>
      <c r="Q622" s="5">
        <f t="shared" si="102"/>
        <v>1</v>
      </c>
    </row>
    <row r="623" spans="1:17" x14ac:dyDescent="0.25">
      <c r="A623" s="7">
        <v>46291.875</v>
      </c>
      <c r="B623" s="22">
        <v>0</v>
      </c>
      <c r="C623" s="22">
        <v>0</v>
      </c>
      <c r="D623" s="18">
        <f t="shared" si="99"/>
        <v>0</v>
      </c>
      <c r="E623" s="22">
        <v>847.35</v>
      </c>
      <c r="F623" s="18">
        <f t="shared" si="103"/>
        <v>0</v>
      </c>
      <c r="G623" s="18">
        <f t="shared" si="104"/>
        <v>847.35</v>
      </c>
      <c r="H623" s="22">
        <v>35.92</v>
      </c>
      <c r="I623" s="18">
        <f t="shared" si="105"/>
        <v>0</v>
      </c>
      <c r="J623" s="18">
        <f t="shared" si="106"/>
        <v>35.92</v>
      </c>
      <c r="K623" s="22">
        <v>8.0560000000000009</v>
      </c>
      <c r="L623" s="18">
        <f t="shared" si="107"/>
        <v>0</v>
      </c>
      <c r="M623" s="18">
        <f t="shared" si="108"/>
        <v>8.0560000000000009</v>
      </c>
      <c r="N623" s="15">
        <f t="shared" si="109"/>
        <v>891.32600000000002</v>
      </c>
      <c r="O623" s="15">
        <f t="shared" si="100"/>
        <v>0</v>
      </c>
      <c r="P623" s="15">
        <f t="shared" si="101"/>
        <v>891.32600000000002</v>
      </c>
      <c r="Q623" s="5">
        <f t="shared" si="102"/>
        <v>1</v>
      </c>
    </row>
    <row r="624" spans="1:17" x14ac:dyDescent="0.25">
      <c r="A624" s="7">
        <v>46291.916666666664</v>
      </c>
      <c r="B624" s="22">
        <v>0</v>
      </c>
      <c r="C624" s="22">
        <v>0</v>
      </c>
      <c r="D624" s="18">
        <f t="shared" si="99"/>
        <v>0</v>
      </c>
      <c r="E624" s="22">
        <v>844.19999999999993</v>
      </c>
      <c r="F624" s="18">
        <f t="shared" si="103"/>
        <v>0</v>
      </c>
      <c r="G624" s="18">
        <f t="shared" si="104"/>
        <v>844.19999999999993</v>
      </c>
      <c r="H624" s="22">
        <v>35.799999999999997</v>
      </c>
      <c r="I624" s="18">
        <f t="shared" si="105"/>
        <v>0</v>
      </c>
      <c r="J624" s="18">
        <f t="shared" si="106"/>
        <v>35.799999999999997</v>
      </c>
      <c r="K624" s="22">
        <v>3.04</v>
      </c>
      <c r="L624" s="18">
        <f t="shared" si="107"/>
        <v>0</v>
      </c>
      <c r="M624" s="18">
        <f t="shared" si="108"/>
        <v>3.04</v>
      </c>
      <c r="N624" s="15">
        <f t="shared" si="109"/>
        <v>883.03999999999985</v>
      </c>
      <c r="O624" s="15">
        <f t="shared" si="100"/>
        <v>0</v>
      </c>
      <c r="P624" s="15">
        <f t="shared" si="101"/>
        <v>883.03999999999985</v>
      </c>
      <c r="Q624" s="5">
        <f t="shared" si="102"/>
        <v>1</v>
      </c>
    </row>
    <row r="625" spans="1:17" x14ac:dyDescent="0.25">
      <c r="A625" s="7">
        <v>46291.958333333336</v>
      </c>
      <c r="B625" s="22">
        <v>0</v>
      </c>
      <c r="C625" s="22">
        <v>0</v>
      </c>
      <c r="D625" s="18">
        <f t="shared" si="99"/>
        <v>0</v>
      </c>
      <c r="E625" s="22">
        <v>863.1</v>
      </c>
      <c r="F625" s="18">
        <f t="shared" si="103"/>
        <v>0</v>
      </c>
      <c r="G625" s="18">
        <f t="shared" si="104"/>
        <v>863.1</v>
      </c>
      <c r="H625" s="22">
        <v>37.96</v>
      </c>
      <c r="I625" s="18">
        <f t="shared" si="105"/>
        <v>0</v>
      </c>
      <c r="J625" s="18">
        <f t="shared" si="106"/>
        <v>37.96</v>
      </c>
      <c r="K625" s="22">
        <v>3.28</v>
      </c>
      <c r="L625" s="18">
        <f t="shared" si="107"/>
        <v>0</v>
      </c>
      <c r="M625" s="18">
        <f t="shared" si="108"/>
        <v>3.28</v>
      </c>
      <c r="N625" s="15">
        <f t="shared" si="109"/>
        <v>904.34</v>
      </c>
      <c r="O625" s="15">
        <f t="shared" si="100"/>
        <v>0</v>
      </c>
      <c r="P625" s="15">
        <f t="shared" si="101"/>
        <v>904.34</v>
      </c>
      <c r="Q625" s="5">
        <f t="shared" si="102"/>
        <v>1</v>
      </c>
    </row>
    <row r="626" spans="1:17" x14ac:dyDescent="0.25">
      <c r="A626" s="7">
        <v>46292</v>
      </c>
      <c r="B626" s="22">
        <v>0</v>
      </c>
      <c r="C626" s="22">
        <v>0</v>
      </c>
      <c r="D626" s="18">
        <f t="shared" si="99"/>
        <v>0</v>
      </c>
      <c r="E626" s="22">
        <v>796.95</v>
      </c>
      <c r="F626" s="18">
        <f t="shared" si="103"/>
        <v>0</v>
      </c>
      <c r="G626" s="18">
        <f t="shared" si="104"/>
        <v>796.95</v>
      </c>
      <c r="H626" s="22">
        <v>37</v>
      </c>
      <c r="I626" s="18">
        <f t="shared" si="105"/>
        <v>0</v>
      </c>
      <c r="J626" s="18">
        <f t="shared" si="106"/>
        <v>37</v>
      </c>
      <c r="K626" s="22">
        <v>3.4</v>
      </c>
      <c r="L626" s="18">
        <f t="shared" si="107"/>
        <v>0</v>
      </c>
      <c r="M626" s="18">
        <f t="shared" si="108"/>
        <v>3.4</v>
      </c>
      <c r="N626" s="15">
        <f t="shared" si="109"/>
        <v>837.35</v>
      </c>
      <c r="O626" s="15">
        <f t="shared" si="100"/>
        <v>0</v>
      </c>
      <c r="P626" s="15">
        <f t="shared" si="101"/>
        <v>837.35</v>
      </c>
      <c r="Q626" s="5">
        <f t="shared" si="102"/>
        <v>1</v>
      </c>
    </row>
    <row r="627" spans="1:17" x14ac:dyDescent="0.25">
      <c r="A627" s="7">
        <v>46292.041666666664</v>
      </c>
      <c r="B627" s="22">
        <v>0</v>
      </c>
      <c r="C627" s="22">
        <v>0</v>
      </c>
      <c r="D627" s="18">
        <f t="shared" si="99"/>
        <v>0</v>
      </c>
      <c r="E627" s="22">
        <v>44.1</v>
      </c>
      <c r="F627" s="18">
        <f t="shared" si="103"/>
        <v>0</v>
      </c>
      <c r="G627" s="18">
        <f t="shared" si="104"/>
        <v>44.1</v>
      </c>
      <c r="H627" s="22">
        <v>35.200000000000003</v>
      </c>
      <c r="I627" s="18">
        <f t="shared" si="105"/>
        <v>0</v>
      </c>
      <c r="J627" s="18">
        <f t="shared" si="106"/>
        <v>35.200000000000003</v>
      </c>
      <c r="K627" s="22">
        <v>3.16</v>
      </c>
      <c r="L627" s="18">
        <f t="shared" si="107"/>
        <v>0</v>
      </c>
      <c r="M627" s="18">
        <f t="shared" si="108"/>
        <v>3.16</v>
      </c>
      <c r="N627" s="15">
        <f t="shared" si="109"/>
        <v>82.460000000000008</v>
      </c>
      <c r="O627" s="15">
        <f t="shared" si="100"/>
        <v>0</v>
      </c>
      <c r="P627" s="15">
        <f t="shared" si="101"/>
        <v>82.460000000000008</v>
      </c>
      <c r="Q627" s="5">
        <f t="shared" si="102"/>
        <v>1</v>
      </c>
    </row>
    <row r="628" spans="1:17" x14ac:dyDescent="0.25">
      <c r="A628" s="7">
        <v>46292.083333333336</v>
      </c>
      <c r="B628" s="22">
        <v>0</v>
      </c>
      <c r="C628" s="22">
        <v>0</v>
      </c>
      <c r="D628" s="18">
        <f t="shared" si="99"/>
        <v>0</v>
      </c>
      <c r="E628" s="22">
        <v>592.19999999999993</v>
      </c>
      <c r="F628" s="18">
        <f t="shared" si="103"/>
        <v>0</v>
      </c>
      <c r="G628" s="18">
        <f t="shared" si="104"/>
        <v>592.19999999999993</v>
      </c>
      <c r="H628" s="22">
        <v>37.119999999999997</v>
      </c>
      <c r="I628" s="18">
        <f t="shared" si="105"/>
        <v>0</v>
      </c>
      <c r="J628" s="18">
        <f t="shared" si="106"/>
        <v>37.119999999999997</v>
      </c>
      <c r="K628" s="22">
        <v>3.04</v>
      </c>
      <c r="L628" s="18">
        <f t="shared" si="107"/>
        <v>0</v>
      </c>
      <c r="M628" s="18">
        <f t="shared" si="108"/>
        <v>3.04</v>
      </c>
      <c r="N628" s="15">
        <f t="shared" si="109"/>
        <v>632.3599999999999</v>
      </c>
      <c r="O628" s="15">
        <f t="shared" si="100"/>
        <v>0</v>
      </c>
      <c r="P628" s="15">
        <f t="shared" si="101"/>
        <v>632.3599999999999</v>
      </c>
      <c r="Q628" s="5">
        <f t="shared" si="102"/>
        <v>1</v>
      </c>
    </row>
    <row r="629" spans="1:17" x14ac:dyDescent="0.25">
      <c r="A629" s="7">
        <v>46292.125</v>
      </c>
      <c r="B629" s="22">
        <v>0</v>
      </c>
      <c r="C629" s="22">
        <v>0</v>
      </c>
      <c r="D629" s="18">
        <f t="shared" si="99"/>
        <v>0</v>
      </c>
      <c r="E629" s="22">
        <v>922.95</v>
      </c>
      <c r="F629" s="18">
        <f t="shared" si="103"/>
        <v>0</v>
      </c>
      <c r="G629" s="18">
        <f t="shared" si="104"/>
        <v>922.95</v>
      </c>
      <c r="H629" s="22">
        <v>37.6</v>
      </c>
      <c r="I629" s="18">
        <f t="shared" si="105"/>
        <v>0</v>
      </c>
      <c r="J629" s="18">
        <f t="shared" si="106"/>
        <v>37.6</v>
      </c>
      <c r="K629" s="22">
        <v>3.16</v>
      </c>
      <c r="L629" s="18">
        <f t="shared" si="107"/>
        <v>0</v>
      </c>
      <c r="M629" s="18">
        <f t="shared" si="108"/>
        <v>3.16</v>
      </c>
      <c r="N629" s="15">
        <f t="shared" si="109"/>
        <v>963.71</v>
      </c>
      <c r="O629" s="15">
        <f t="shared" si="100"/>
        <v>0</v>
      </c>
      <c r="P629" s="15">
        <f t="shared" si="101"/>
        <v>963.71</v>
      </c>
      <c r="Q629" s="5">
        <f t="shared" si="102"/>
        <v>1</v>
      </c>
    </row>
    <row r="630" spans="1:17" x14ac:dyDescent="0.25">
      <c r="A630" s="7">
        <v>46292.166666666664</v>
      </c>
      <c r="B630" s="22">
        <v>0</v>
      </c>
      <c r="C630" s="22">
        <v>0</v>
      </c>
      <c r="D630" s="18">
        <f t="shared" si="99"/>
        <v>0</v>
      </c>
      <c r="E630" s="22">
        <v>875.7</v>
      </c>
      <c r="F630" s="18">
        <f t="shared" si="103"/>
        <v>0</v>
      </c>
      <c r="G630" s="18">
        <f t="shared" si="104"/>
        <v>875.7</v>
      </c>
      <c r="H630" s="22">
        <v>36.04</v>
      </c>
      <c r="I630" s="18">
        <f t="shared" si="105"/>
        <v>0</v>
      </c>
      <c r="J630" s="18">
        <f t="shared" si="106"/>
        <v>36.04</v>
      </c>
      <c r="K630" s="22">
        <v>3.4</v>
      </c>
      <c r="L630" s="18">
        <f t="shared" si="107"/>
        <v>0</v>
      </c>
      <c r="M630" s="18">
        <f t="shared" si="108"/>
        <v>3.4</v>
      </c>
      <c r="N630" s="15">
        <f t="shared" si="109"/>
        <v>915.14</v>
      </c>
      <c r="O630" s="15">
        <f t="shared" si="100"/>
        <v>0</v>
      </c>
      <c r="P630" s="15">
        <f t="shared" si="101"/>
        <v>915.14</v>
      </c>
      <c r="Q630" s="5">
        <f t="shared" si="102"/>
        <v>1</v>
      </c>
    </row>
    <row r="631" spans="1:17" x14ac:dyDescent="0.25">
      <c r="A631" s="7">
        <v>46292.208333333336</v>
      </c>
      <c r="B631" s="22">
        <v>0</v>
      </c>
      <c r="C631" s="22">
        <v>0</v>
      </c>
      <c r="D631" s="18">
        <f t="shared" si="99"/>
        <v>0</v>
      </c>
      <c r="E631" s="22">
        <v>825.30000000000007</v>
      </c>
      <c r="F631" s="18">
        <f t="shared" si="103"/>
        <v>0</v>
      </c>
      <c r="G631" s="18">
        <f t="shared" si="104"/>
        <v>825.30000000000007</v>
      </c>
      <c r="H631" s="22">
        <v>41.08</v>
      </c>
      <c r="I631" s="18">
        <f t="shared" si="105"/>
        <v>0</v>
      </c>
      <c r="J631" s="18">
        <f t="shared" si="106"/>
        <v>41.08</v>
      </c>
      <c r="K631" s="22">
        <v>4.5999999999999996</v>
      </c>
      <c r="L631" s="18">
        <f t="shared" si="107"/>
        <v>0</v>
      </c>
      <c r="M631" s="18">
        <f t="shared" si="108"/>
        <v>4.5999999999999996</v>
      </c>
      <c r="N631" s="15">
        <f t="shared" si="109"/>
        <v>870.98000000000013</v>
      </c>
      <c r="O631" s="15">
        <f t="shared" si="100"/>
        <v>0</v>
      </c>
      <c r="P631" s="15">
        <f t="shared" si="101"/>
        <v>870.98000000000013</v>
      </c>
      <c r="Q631" s="5">
        <f t="shared" si="102"/>
        <v>1</v>
      </c>
    </row>
    <row r="632" spans="1:17" x14ac:dyDescent="0.25">
      <c r="A632" s="7">
        <v>46292.25</v>
      </c>
      <c r="B632" s="22">
        <v>6.3</v>
      </c>
      <c r="C632" s="22">
        <v>0</v>
      </c>
      <c r="D632" s="18">
        <f t="shared" si="99"/>
        <v>6.3</v>
      </c>
      <c r="E632" s="22">
        <v>28.35</v>
      </c>
      <c r="F632" s="18">
        <f t="shared" si="103"/>
        <v>2.4086985839514483</v>
      </c>
      <c r="G632" s="18">
        <f t="shared" si="104"/>
        <v>25.941301416048553</v>
      </c>
      <c r="H632" s="22">
        <v>35.44</v>
      </c>
      <c r="I632" s="18">
        <f t="shared" si="105"/>
        <v>3.0110856372218464</v>
      </c>
      <c r="J632" s="18">
        <f t="shared" si="106"/>
        <v>32.428914362778151</v>
      </c>
      <c r="K632" s="22">
        <v>10.36</v>
      </c>
      <c r="L632" s="18">
        <f t="shared" si="107"/>
        <v>0.88021577882670243</v>
      </c>
      <c r="M632" s="18">
        <f t="shared" si="108"/>
        <v>9.479784221173297</v>
      </c>
      <c r="N632" s="15">
        <f t="shared" si="109"/>
        <v>74.150000000000006</v>
      </c>
      <c r="O632" s="15">
        <f t="shared" si="100"/>
        <v>6.2999999999999972</v>
      </c>
      <c r="P632" s="15">
        <f t="shared" si="101"/>
        <v>67.850000000000009</v>
      </c>
      <c r="Q632" s="5">
        <f t="shared" si="102"/>
        <v>0.91503708698583952</v>
      </c>
    </row>
    <row r="633" spans="1:17" x14ac:dyDescent="0.25">
      <c r="A633" s="7">
        <v>46292.291666666664</v>
      </c>
      <c r="B633" s="22">
        <v>283.5</v>
      </c>
      <c r="C633" s="22">
        <v>2.04</v>
      </c>
      <c r="D633" s="18">
        <f t="shared" si="99"/>
        <v>285.54000000000002</v>
      </c>
      <c r="E633" s="22">
        <v>0</v>
      </c>
      <c r="F633" s="18">
        <f t="shared" si="103"/>
        <v>0</v>
      </c>
      <c r="G633" s="18">
        <f t="shared" si="104"/>
        <v>0</v>
      </c>
      <c r="H633" s="22">
        <v>16.36</v>
      </c>
      <c r="I633" s="18">
        <f t="shared" si="105"/>
        <v>16.36</v>
      </c>
      <c r="J633" s="18">
        <f t="shared" si="106"/>
        <v>0</v>
      </c>
      <c r="K633" s="22">
        <v>8.3199999999999985</v>
      </c>
      <c r="L633" s="18">
        <f t="shared" si="107"/>
        <v>8.3199999999999985</v>
      </c>
      <c r="M633" s="18">
        <f t="shared" si="108"/>
        <v>0</v>
      </c>
      <c r="N633" s="15">
        <f t="shared" si="109"/>
        <v>24.68</v>
      </c>
      <c r="O633" s="15">
        <f t="shared" si="100"/>
        <v>24.68</v>
      </c>
      <c r="P633" s="15">
        <f t="shared" si="101"/>
        <v>0</v>
      </c>
      <c r="Q633" s="5">
        <f t="shared" si="102"/>
        <v>0</v>
      </c>
    </row>
    <row r="634" spans="1:17" x14ac:dyDescent="0.25">
      <c r="A634" s="7">
        <v>46292.333333333336</v>
      </c>
      <c r="B634" s="22">
        <v>765.44999999999993</v>
      </c>
      <c r="C634" s="22">
        <v>0.84000000000000008</v>
      </c>
      <c r="D634" s="18">
        <f t="shared" si="99"/>
        <v>766.29</v>
      </c>
      <c r="E634" s="22">
        <v>0</v>
      </c>
      <c r="F634" s="18">
        <f t="shared" si="103"/>
        <v>0</v>
      </c>
      <c r="G634" s="18">
        <f t="shared" si="104"/>
        <v>0</v>
      </c>
      <c r="H634" s="22">
        <v>61.36</v>
      </c>
      <c r="I634" s="18">
        <f t="shared" si="105"/>
        <v>61.36</v>
      </c>
      <c r="J634" s="18">
        <f t="shared" si="106"/>
        <v>0</v>
      </c>
      <c r="K634" s="22">
        <v>16.36</v>
      </c>
      <c r="L634" s="18">
        <f t="shared" si="107"/>
        <v>16.36</v>
      </c>
      <c r="M634" s="18">
        <f t="shared" si="108"/>
        <v>0</v>
      </c>
      <c r="N634" s="15">
        <f t="shared" si="109"/>
        <v>77.72</v>
      </c>
      <c r="O634" s="15">
        <f t="shared" si="100"/>
        <v>77.72</v>
      </c>
      <c r="P634" s="15">
        <f t="shared" si="101"/>
        <v>0</v>
      </c>
      <c r="Q634" s="5">
        <f t="shared" si="102"/>
        <v>0</v>
      </c>
    </row>
    <row r="635" spans="1:17" x14ac:dyDescent="0.25">
      <c r="A635" s="7">
        <v>46292.375</v>
      </c>
      <c r="B635" s="22">
        <v>1845.9</v>
      </c>
      <c r="C635" s="22">
        <v>49.68</v>
      </c>
      <c r="D635" s="18">
        <f t="shared" si="99"/>
        <v>1895.5800000000002</v>
      </c>
      <c r="E635" s="22">
        <v>0</v>
      </c>
      <c r="F635" s="18">
        <f t="shared" si="103"/>
        <v>0</v>
      </c>
      <c r="G635" s="18">
        <f t="shared" si="104"/>
        <v>0</v>
      </c>
      <c r="H635" s="22">
        <v>8.68</v>
      </c>
      <c r="I635" s="18">
        <f t="shared" si="105"/>
        <v>8.68</v>
      </c>
      <c r="J635" s="18">
        <f t="shared" si="106"/>
        <v>0</v>
      </c>
      <c r="K635" s="22">
        <v>51.04</v>
      </c>
      <c r="L635" s="18">
        <f t="shared" si="107"/>
        <v>51.04</v>
      </c>
      <c r="M635" s="18">
        <f t="shared" si="108"/>
        <v>0</v>
      </c>
      <c r="N635" s="15">
        <f t="shared" si="109"/>
        <v>59.72</v>
      </c>
      <c r="O635" s="15">
        <f t="shared" si="100"/>
        <v>59.72</v>
      </c>
      <c r="P635" s="15">
        <f t="shared" si="101"/>
        <v>0</v>
      </c>
      <c r="Q635" s="5">
        <f t="shared" si="102"/>
        <v>0</v>
      </c>
    </row>
    <row r="636" spans="1:17" x14ac:dyDescent="0.25">
      <c r="A636" s="7">
        <v>46292.416666666664</v>
      </c>
      <c r="B636" s="22">
        <v>2340.4500000000003</v>
      </c>
      <c r="C636" s="22">
        <v>101.28</v>
      </c>
      <c r="D636" s="18">
        <f t="shared" si="99"/>
        <v>2441.7300000000005</v>
      </c>
      <c r="E636" s="22">
        <v>0</v>
      </c>
      <c r="F636" s="18">
        <f t="shared" si="103"/>
        <v>0</v>
      </c>
      <c r="G636" s="18">
        <f t="shared" si="104"/>
        <v>0</v>
      </c>
      <c r="H636" s="22">
        <v>2.44</v>
      </c>
      <c r="I636" s="18">
        <f t="shared" si="105"/>
        <v>2.44</v>
      </c>
      <c r="J636" s="18">
        <f t="shared" si="106"/>
        <v>0</v>
      </c>
      <c r="K636" s="22">
        <v>51.76</v>
      </c>
      <c r="L636" s="18">
        <f t="shared" si="107"/>
        <v>51.76</v>
      </c>
      <c r="M636" s="18">
        <f t="shared" si="108"/>
        <v>0</v>
      </c>
      <c r="N636" s="15">
        <f t="shared" si="109"/>
        <v>54.199999999999996</v>
      </c>
      <c r="O636" s="15">
        <f t="shared" si="100"/>
        <v>54.199999999999996</v>
      </c>
      <c r="P636" s="15">
        <f t="shared" si="101"/>
        <v>0</v>
      </c>
      <c r="Q636" s="5">
        <f t="shared" si="102"/>
        <v>0</v>
      </c>
    </row>
    <row r="637" spans="1:17" x14ac:dyDescent="0.25">
      <c r="A637" s="7">
        <v>46292.458333333336</v>
      </c>
      <c r="B637" s="22">
        <v>2683.8</v>
      </c>
      <c r="C637" s="22">
        <v>109.32000000000001</v>
      </c>
      <c r="D637" s="18">
        <f t="shared" si="99"/>
        <v>2793.1200000000003</v>
      </c>
      <c r="E637" s="22">
        <v>0</v>
      </c>
      <c r="F637" s="18">
        <f t="shared" si="103"/>
        <v>0</v>
      </c>
      <c r="G637" s="18">
        <f t="shared" si="104"/>
        <v>0</v>
      </c>
      <c r="H637" s="22">
        <v>1.1199999999999999</v>
      </c>
      <c r="I637" s="18">
        <f t="shared" si="105"/>
        <v>1.1199999999999999</v>
      </c>
      <c r="J637" s="18">
        <f t="shared" si="106"/>
        <v>0</v>
      </c>
      <c r="K637" s="22">
        <v>50.92</v>
      </c>
      <c r="L637" s="18">
        <f t="shared" si="107"/>
        <v>50.92</v>
      </c>
      <c r="M637" s="18">
        <f t="shared" si="108"/>
        <v>0</v>
      </c>
      <c r="N637" s="15">
        <f t="shared" si="109"/>
        <v>52.04</v>
      </c>
      <c r="O637" s="15">
        <f t="shared" si="100"/>
        <v>52.04</v>
      </c>
      <c r="P637" s="15">
        <f t="shared" si="101"/>
        <v>0</v>
      </c>
      <c r="Q637" s="5">
        <f t="shared" si="102"/>
        <v>0</v>
      </c>
    </row>
    <row r="638" spans="1:17" x14ac:dyDescent="0.25">
      <c r="A638" s="7">
        <v>46292.5</v>
      </c>
      <c r="B638" s="22">
        <v>2800.35</v>
      </c>
      <c r="C638" s="22">
        <v>125.16</v>
      </c>
      <c r="D638" s="18">
        <f t="shared" si="99"/>
        <v>2925.5099999999998</v>
      </c>
      <c r="E638" s="22">
        <v>0</v>
      </c>
      <c r="F638" s="18">
        <f t="shared" si="103"/>
        <v>0</v>
      </c>
      <c r="G638" s="18">
        <f t="shared" si="104"/>
        <v>0</v>
      </c>
      <c r="H638" s="22">
        <v>1.1199999999999999</v>
      </c>
      <c r="I638" s="18">
        <f t="shared" si="105"/>
        <v>1.1199999999999999</v>
      </c>
      <c r="J638" s="18">
        <f t="shared" si="106"/>
        <v>0</v>
      </c>
      <c r="K638" s="22">
        <v>61.96</v>
      </c>
      <c r="L638" s="18">
        <f t="shared" si="107"/>
        <v>61.96</v>
      </c>
      <c r="M638" s="18">
        <f t="shared" si="108"/>
        <v>0</v>
      </c>
      <c r="N638" s="15">
        <f t="shared" si="109"/>
        <v>63.08</v>
      </c>
      <c r="O638" s="15">
        <f t="shared" si="100"/>
        <v>63.08</v>
      </c>
      <c r="P638" s="15">
        <f t="shared" si="101"/>
        <v>0</v>
      </c>
      <c r="Q638" s="5">
        <f t="shared" si="102"/>
        <v>0</v>
      </c>
    </row>
    <row r="639" spans="1:17" x14ac:dyDescent="0.25">
      <c r="A639" s="7">
        <v>46292.541666666664</v>
      </c>
      <c r="B639" s="22">
        <v>2545.1999999999998</v>
      </c>
      <c r="C639" s="22">
        <v>94.44</v>
      </c>
      <c r="D639" s="18">
        <f t="shared" si="99"/>
        <v>2639.64</v>
      </c>
      <c r="E639" s="22">
        <v>0</v>
      </c>
      <c r="F639" s="18">
        <f t="shared" si="103"/>
        <v>0</v>
      </c>
      <c r="G639" s="18">
        <f t="shared" si="104"/>
        <v>0</v>
      </c>
      <c r="H639" s="22">
        <v>1.1199999999999999</v>
      </c>
      <c r="I639" s="18">
        <f t="shared" si="105"/>
        <v>1.1199999999999999</v>
      </c>
      <c r="J639" s="18">
        <f t="shared" si="106"/>
        <v>0</v>
      </c>
      <c r="K639" s="22">
        <v>55.84</v>
      </c>
      <c r="L639" s="18">
        <f t="shared" si="107"/>
        <v>55.84</v>
      </c>
      <c r="M639" s="18">
        <f t="shared" si="108"/>
        <v>0</v>
      </c>
      <c r="N639" s="15">
        <f t="shared" si="109"/>
        <v>56.96</v>
      </c>
      <c r="O639" s="15">
        <f t="shared" si="100"/>
        <v>56.96</v>
      </c>
      <c r="P639" s="15">
        <f t="shared" si="101"/>
        <v>0</v>
      </c>
      <c r="Q639" s="5">
        <f t="shared" si="102"/>
        <v>0</v>
      </c>
    </row>
    <row r="640" spans="1:17" x14ac:dyDescent="0.25">
      <c r="A640" s="7">
        <v>46292.583333333336</v>
      </c>
      <c r="B640" s="22">
        <v>2101.0499999999997</v>
      </c>
      <c r="C640" s="22">
        <v>49.92</v>
      </c>
      <c r="D640" s="18">
        <f t="shared" si="99"/>
        <v>2150.9699999999998</v>
      </c>
      <c r="E640" s="22">
        <v>0</v>
      </c>
      <c r="F640" s="18">
        <f t="shared" si="103"/>
        <v>0</v>
      </c>
      <c r="G640" s="18">
        <f t="shared" si="104"/>
        <v>0</v>
      </c>
      <c r="H640" s="22">
        <v>8.56</v>
      </c>
      <c r="I640" s="18">
        <f t="shared" si="105"/>
        <v>8.56</v>
      </c>
      <c r="J640" s="18">
        <f t="shared" si="106"/>
        <v>0</v>
      </c>
      <c r="K640" s="22">
        <v>46.96</v>
      </c>
      <c r="L640" s="18">
        <f t="shared" si="107"/>
        <v>46.96</v>
      </c>
      <c r="M640" s="18">
        <f t="shared" si="108"/>
        <v>0</v>
      </c>
      <c r="N640" s="15">
        <f t="shared" si="109"/>
        <v>55.52</v>
      </c>
      <c r="O640" s="15">
        <f t="shared" si="100"/>
        <v>55.52</v>
      </c>
      <c r="P640" s="15">
        <f t="shared" si="101"/>
        <v>0</v>
      </c>
      <c r="Q640" s="5">
        <f t="shared" si="102"/>
        <v>0</v>
      </c>
    </row>
    <row r="641" spans="1:17" x14ac:dyDescent="0.25">
      <c r="A641" s="7">
        <v>46292.625</v>
      </c>
      <c r="B641" s="22">
        <v>1146.6000000000001</v>
      </c>
      <c r="C641" s="22">
        <v>26.64</v>
      </c>
      <c r="D641" s="18">
        <f t="shared" si="99"/>
        <v>1173.2400000000002</v>
      </c>
      <c r="E641" s="22">
        <v>0</v>
      </c>
      <c r="F641" s="18">
        <f t="shared" si="103"/>
        <v>0</v>
      </c>
      <c r="G641" s="18">
        <f t="shared" si="104"/>
        <v>0</v>
      </c>
      <c r="H641" s="22">
        <v>12.64</v>
      </c>
      <c r="I641" s="18">
        <f t="shared" si="105"/>
        <v>12.64</v>
      </c>
      <c r="J641" s="18">
        <f t="shared" si="106"/>
        <v>0</v>
      </c>
      <c r="K641" s="22">
        <v>32.559999999999995</v>
      </c>
      <c r="L641" s="18">
        <f t="shared" si="107"/>
        <v>32.559999999999995</v>
      </c>
      <c r="M641" s="18">
        <f t="shared" si="108"/>
        <v>0</v>
      </c>
      <c r="N641" s="15">
        <f t="shared" si="109"/>
        <v>45.199999999999996</v>
      </c>
      <c r="O641" s="15">
        <f t="shared" si="100"/>
        <v>45.199999999999996</v>
      </c>
      <c r="P641" s="15">
        <f t="shared" si="101"/>
        <v>0</v>
      </c>
      <c r="Q641" s="5">
        <f t="shared" si="102"/>
        <v>0</v>
      </c>
    </row>
    <row r="642" spans="1:17" x14ac:dyDescent="0.25">
      <c r="A642" s="7">
        <v>46292.666666666664</v>
      </c>
      <c r="B642" s="22">
        <v>866.25</v>
      </c>
      <c r="C642" s="22">
        <v>9.6</v>
      </c>
      <c r="D642" s="18">
        <f t="shared" ref="D642:D705" si="110">+B642+C642</f>
        <v>875.85</v>
      </c>
      <c r="E642" s="22">
        <v>0</v>
      </c>
      <c r="F642" s="18">
        <f t="shared" si="103"/>
        <v>0</v>
      </c>
      <c r="G642" s="18">
        <f t="shared" si="104"/>
        <v>0</v>
      </c>
      <c r="H642" s="22">
        <v>15.76</v>
      </c>
      <c r="I642" s="18">
        <f t="shared" si="105"/>
        <v>15.76</v>
      </c>
      <c r="J642" s="18">
        <f t="shared" si="106"/>
        <v>0</v>
      </c>
      <c r="K642" s="22">
        <v>65.92</v>
      </c>
      <c r="L642" s="18">
        <f t="shared" si="107"/>
        <v>65.92</v>
      </c>
      <c r="M642" s="18">
        <f t="shared" si="108"/>
        <v>0</v>
      </c>
      <c r="N642" s="15">
        <f t="shared" si="109"/>
        <v>81.680000000000007</v>
      </c>
      <c r="O642" s="15">
        <f t="shared" ref="O642:O705" si="111">+N642-P642</f>
        <v>81.680000000000007</v>
      </c>
      <c r="P642" s="15">
        <f t="shared" ref="P642:P705" si="112">+IF(N642&gt;D642,N642-D642,0)</f>
        <v>0</v>
      </c>
      <c r="Q642" s="5">
        <f t="shared" ref="Q642:Q705" si="113">+IF(P642=0,P642,P642/N642)</f>
        <v>0</v>
      </c>
    </row>
    <row r="643" spans="1:17" x14ac:dyDescent="0.25">
      <c r="A643" s="7">
        <v>46292.708333333336</v>
      </c>
      <c r="B643" s="22">
        <v>302.39999999999998</v>
      </c>
      <c r="C643" s="22">
        <v>0</v>
      </c>
      <c r="D643" s="18">
        <f t="shared" si="110"/>
        <v>302.39999999999998</v>
      </c>
      <c r="E643" s="22">
        <v>0</v>
      </c>
      <c r="F643" s="18">
        <f t="shared" ref="F643:F706" si="114">+E643-G643</f>
        <v>0</v>
      </c>
      <c r="G643" s="18">
        <f t="shared" ref="G643:G706" si="115">+E643*Q643</f>
        <v>0</v>
      </c>
      <c r="H643" s="22">
        <v>54.16</v>
      </c>
      <c r="I643" s="18">
        <f t="shared" ref="I643:I706" si="116">+H643-J643</f>
        <v>54.16</v>
      </c>
      <c r="J643" s="18">
        <f t="shared" ref="J643:J706" si="117">+H643*Q643</f>
        <v>0</v>
      </c>
      <c r="K643" s="22">
        <v>21.198</v>
      </c>
      <c r="L643" s="18">
        <f t="shared" ref="L643:L706" si="118">+K643-M643</f>
        <v>21.198</v>
      </c>
      <c r="M643" s="18">
        <f t="shared" ref="M643:M706" si="119">+K643*Q643</f>
        <v>0</v>
      </c>
      <c r="N643" s="15">
        <f t="shared" ref="N643:N706" si="120">+E643+H643+K643</f>
        <v>75.358000000000004</v>
      </c>
      <c r="O643" s="15">
        <f t="shared" si="111"/>
        <v>75.358000000000004</v>
      </c>
      <c r="P643" s="15">
        <f t="shared" si="112"/>
        <v>0</v>
      </c>
      <c r="Q643" s="5">
        <f t="shared" si="113"/>
        <v>0</v>
      </c>
    </row>
    <row r="644" spans="1:17" x14ac:dyDescent="0.25">
      <c r="A644" s="7">
        <v>46292.75</v>
      </c>
      <c r="B644" s="22">
        <v>9.4499999999999993</v>
      </c>
      <c r="C644" s="22">
        <v>0</v>
      </c>
      <c r="D644" s="18">
        <f t="shared" si="110"/>
        <v>9.4499999999999993</v>
      </c>
      <c r="E644" s="22">
        <v>100.8</v>
      </c>
      <c r="F644" s="18">
        <f t="shared" si="114"/>
        <v>5.730235691856052</v>
      </c>
      <c r="G644" s="18">
        <f t="shared" si="115"/>
        <v>95.069764308143945</v>
      </c>
      <c r="H644" s="22">
        <v>41.68</v>
      </c>
      <c r="I644" s="18">
        <f t="shared" si="116"/>
        <v>2.3694069805214326</v>
      </c>
      <c r="J644" s="18">
        <f t="shared" si="117"/>
        <v>39.310593019478567</v>
      </c>
      <c r="K644" s="22">
        <v>23.754000000000001</v>
      </c>
      <c r="L644" s="18">
        <f t="shared" si="118"/>
        <v>1.3503573276225076</v>
      </c>
      <c r="M644" s="18">
        <f t="shared" si="119"/>
        <v>22.403642672377494</v>
      </c>
      <c r="N644" s="15">
        <f t="shared" si="120"/>
        <v>166.23399999999998</v>
      </c>
      <c r="O644" s="15">
        <f t="shared" si="111"/>
        <v>9.4499999999999886</v>
      </c>
      <c r="P644" s="15">
        <f t="shared" si="112"/>
        <v>156.78399999999999</v>
      </c>
      <c r="Q644" s="5">
        <f t="shared" si="113"/>
        <v>0.94315242369190422</v>
      </c>
    </row>
    <row r="645" spans="1:17" x14ac:dyDescent="0.25">
      <c r="A645" s="7">
        <v>46292.791666666664</v>
      </c>
      <c r="B645" s="22">
        <v>0</v>
      </c>
      <c r="C645" s="22">
        <v>0</v>
      </c>
      <c r="D645" s="18">
        <f t="shared" si="110"/>
        <v>0</v>
      </c>
      <c r="E645" s="22">
        <v>148.04999999999998</v>
      </c>
      <c r="F645" s="18">
        <f t="shared" si="114"/>
        <v>0</v>
      </c>
      <c r="G645" s="18">
        <f t="shared" si="115"/>
        <v>148.04999999999998</v>
      </c>
      <c r="H645" s="22">
        <v>44.2</v>
      </c>
      <c r="I645" s="18">
        <f t="shared" si="116"/>
        <v>0</v>
      </c>
      <c r="J645" s="18">
        <f t="shared" si="117"/>
        <v>44.2</v>
      </c>
      <c r="K645" s="22">
        <v>2.9450000000000003</v>
      </c>
      <c r="L645" s="18">
        <f t="shared" si="118"/>
        <v>0</v>
      </c>
      <c r="M645" s="18">
        <f t="shared" si="119"/>
        <v>2.9450000000000003</v>
      </c>
      <c r="N645" s="15">
        <f t="shared" si="120"/>
        <v>195.19499999999999</v>
      </c>
      <c r="O645" s="15">
        <f t="shared" si="111"/>
        <v>0</v>
      </c>
      <c r="P645" s="15">
        <f t="shared" si="112"/>
        <v>195.19499999999999</v>
      </c>
      <c r="Q645" s="5">
        <f t="shared" si="113"/>
        <v>1</v>
      </c>
    </row>
    <row r="646" spans="1:17" x14ac:dyDescent="0.25">
      <c r="A646" s="7">
        <v>46292.833333333336</v>
      </c>
      <c r="B646" s="22">
        <v>0</v>
      </c>
      <c r="C646" s="22">
        <v>0</v>
      </c>
      <c r="D646" s="18">
        <f t="shared" si="110"/>
        <v>0</v>
      </c>
      <c r="E646" s="22">
        <v>34.65</v>
      </c>
      <c r="F646" s="18">
        <f t="shared" si="114"/>
        <v>0</v>
      </c>
      <c r="G646" s="18">
        <f t="shared" si="115"/>
        <v>34.65</v>
      </c>
      <c r="H646" s="22">
        <v>34.72</v>
      </c>
      <c r="I646" s="18">
        <f t="shared" si="116"/>
        <v>0</v>
      </c>
      <c r="J646" s="18">
        <f t="shared" si="117"/>
        <v>34.72</v>
      </c>
      <c r="K646" s="22">
        <v>3.1890000000000001</v>
      </c>
      <c r="L646" s="18">
        <f t="shared" si="118"/>
        <v>0</v>
      </c>
      <c r="M646" s="18">
        <f t="shared" si="119"/>
        <v>3.1890000000000001</v>
      </c>
      <c r="N646" s="15">
        <f t="shared" si="120"/>
        <v>72.558999999999997</v>
      </c>
      <c r="O646" s="15">
        <f t="shared" si="111"/>
        <v>0</v>
      </c>
      <c r="P646" s="15">
        <f t="shared" si="112"/>
        <v>72.558999999999997</v>
      </c>
      <c r="Q646" s="5">
        <f t="shared" si="113"/>
        <v>1</v>
      </c>
    </row>
    <row r="647" spans="1:17" x14ac:dyDescent="0.25">
      <c r="A647" s="7">
        <v>46292.875</v>
      </c>
      <c r="B647" s="22">
        <v>0</v>
      </c>
      <c r="C647" s="22">
        <v>0</v>
      </c>
      <c r="D647" s="18">
        <f t="shared" si="110"/>
        <v>0</v>
      </c>
      <c r="E647" s="22">
        <v>34.65</v>
      </c>
      <c r="F647" s="18">
        <f t="shared" si="114"/>
        <v>0</v>
      </c>
      <c r="G647" s="18">
        <f t="shared" si="115"/>
        <v>34.65</v>
      </c>
      <c r="H647" s="22">
        <v>34.119999999999997</v>
      </c>
      <c r="I647" s="18">
        <f t="shared" si="116"/>
        <v>0</v>
      </c>
      <c r="J647" s="18">
        <f t="shared" si="117"/>
        <v>34.119999999999997</v>
      </c>
      <c r="K647" s="22">
        <v>3.7970000000000002</v>
      </c>
      <c r="L647" s="18">
        <f t="shared" si="118"/>
        <v>0</v>
      </c>
      <c r="M647" s="18">
        <f t="shared" si="119"/>
        <v>3.7970000000000002</v>
      </c>
      <c r="N647" s="15">
        <f t="shared" si="120"/>
        <v>72.566999999999993</v>
      </c>
      <c r="O647" s="15">
        <f t="shared" si="111"/>
        <v>0</v>
      </c>
      <c r="P647" s="15">
        <f t="shared" si="112"/>
        <v>72.566999999999993</v>
      </c>
      <c r="Q647" s="5">
        <f t="shared" si="113"/>
        <v>1</v>
      </c>
    </row>
    <row r="648" spans="1:17" x14ac:dyDescent="0.25">
      <c r="A648" s="7">
        <v>46292.916666666664</v>
      </c>
      <c r="B648" s="22">
        <v>0</v>
      </c>
      <c r="C648" s="22">
        <v>0</v>
      </c>
      <c r="D648" s="18">
        <f t="shared" si="110"/>
        <v>0</v>
      </c>
      <c r="E648" s="22">
        <v>34.65</v>
      </c>
      <c r="F648" s="18">
        <f t="shared" si="114"/>
        <v>0</v>
      </c>
      <c r="G648" s="18">
        <f t="shared" si="115"/>
        <v>34.65</v>
      </c>
      <c r="H648" s="22">
        <v>35.32</v>
      </c>
      <c r="I648" s="18">
        <f t="shared" si="116"/>
        <v>0</v>
      </c>
      <c r="J648" s="18">
        <f t="shared" si="117"/>
        <v>35.32</v>
      </c>
      <c r="K648" s="22">
        <v>3.28</v>
      </c>
      <c r="L648" s="18">
        <f t="shared" si="118"/>
        <v>0</v>
      </c>
      <c r="M648" s="18">
        <f t="shared" si="119"/>
        <v>3.28</v>
      </c>
      <c r="N648" s="15">
        <f t="shared" si="120"/>
        <v>73.25</v>
      </c>
      <c r="O648" s="15">
        <f t="shared" si="111"/>
        <v>0</v>
      </c>
      <c r="P648" s="15">
        <f t="shared" si="112"/>
        <v>73.25</v>
      </c>
      <c r="Q648" s="5">
        <f t="shared" si="113"/>
        <v>1</v>
      </c>
    </row>
    <row r="649" spans="1:17" x14ac:dyDescent="0.25">
      <c r="A649" s="7">
        <v>46292.958333333336</v>
      </c>
      <c r="B649" s="22">
        <v>0</v>
      </c>
      <c r="C649" s="22">
        <v>0</v>
      </c>
      <c r="D649" s="18">
        <f t="shared" si="110"/>
        <v>0</v>
      </c>
      <c r="E649" s="22">
        <v>37.799999999999997</v>
      </c>
      <c r="F649" s="18">
        <f t="shared" si="114"/>
        <v>0</v>
      </c>
      <c r="G649" s="18">
        <f t="shared" si="115"/>
        <v>37.799999999999997</v>
      </c>
      <c r="H649" s="22">
        <v>34.24</v>
      </c>
      <c r="I649" s="18">
        <f t="shared" si="116"/>
        <v>0</v>
      </c>
      <c r="J649" s="18">
        <f t="shared" si="117"/>
        <v>34.24</v>
      </c>
      <c r="K649" s="22">
        <v>3.16</v>
      </c>
      <c r="L649" s="18">
        <f t="shared" si="118"/>
        <v>0</v>
      </c>
      <c r="M649" s="18">
        <f t="shared" si="119"/>
        <v>3.16</v>
      </c>
      <c r="N649" s="15">
        <f t="shared" si="120"/>
        <v>75.199999999999989</v>
      </c>
      <c r="O649" s="15">
        <f t="shared" si="111"/>
        <v>0</v>
      </c>
      <c r="P649" s="15">
        <f t="shared" si="112"/>
        <v>75.199999999999989</v>
      </c>
      <c r="Q649" s="5">
        <f t="shared" si="113"/>
        <v>1</v>
      </c>
    </row>
    <row r="650" spans="1:17" x14ac:dyDescent="0.25">
      <c r="A650" s="7">
        <v>46293</v>
      </c>
      <c r="B650" s="22">
        <v>0</v>
      </c>
      <c r="C650" s="22">
        <v>0</v>
      </c>
      <c r="D650" s="18">
        <f t="shared" si="110"/>
        <v>0</v>
      </c>
      <c r="E650" s="22">
        <v>34.65</v>
      </c>
      <c r="F650" s="18">
        <f t="shared" si="114"/>
        <v>0</v>
      </c>
      <c r="G650" s="18">
        <f t="shared" si="115"/>
        <v>34.65</v>
      </c>
      <c r="H650" s="22">
        <v>30.64</v>
      </c>
      <c r="I650" s="18">
        <f t="shared" si="116"/>
        <v>0</v>
      </c>
      <c r="J650" s="18">
        <f t="shared" si="117"/>
        <v>30.64</v>
      </c>
      <c r="K650" s="22">
        <v>3.28</v>
      </c>
      <c r="L650" s="18">
        <f t="shared" si="118"/>
        <v>0</v>
      </c>
      <c r="M650" s="18">
        <f t="shared" si="119"/>
        <v>3.28</v>
      </c>
      <c r="N650" s="15">
        <f t="shared" si="120"/>
        <v>68.569999999999993</v>
      </c>
      <c r="O650" s="15">
        <f t="shared" si="111"/>
        <v>0</v>
      </c>
      <c r="P650" s="15">
        <f t="shared" si="112"/>
        <v>68.569999999999993</v>
      </c>
      <c r="Q650" s="5">
        <f t="shared" si="113"/>
        <v>1</v>
      </c>
    </row>
    <row r="651" spans="1:17" x14ac:dyDescent="0.25">
      <c r="A651" s="7">
        <v>46293.041666666664</v>
      </c>
      <c r="B651" s="22">
        <v>0</v>
      </c>
      <c r="C651" s="22">
        <v>0</v>
      </c>
      <c r="D651" s="18">
        <f t="shared" si="110"/>
        <v>0</v>
      </c>
      <c r="E651" s="22">
        <v>34.65</v>
      </c>
      <c r="F651" s="18">
        <f t="shared" si="114"/>
        <v>0</v>
      </c>
      <c r="G651" s="18">
        <f t="shared" si="115"/>
        <v>34.65</v>
      </c>
      <c r="H651" s="22">
        <v>35.56</v>
      </c>
      <c r="I651" s="18">
        <f t="shared" si="116"/>
        <v>0</v>
      </c>
      <c r="J651" s="18">
        <f t="shared" si="117"/>
        <v>35.56</v>
      </c>
      <c r="K651" s="22">
        <v>3.28</v>
      </c>
      <c r="L651" s="18">
        <f t="shared" si="118"/>
        <v>0</v>
      </c>
      <c r="M651" s="18">
        <f t="shared" si="119"/>
        <v>3.28</v>
      </c>
      <c r="N651" s="15">
        <f t="shared" si="120"/>
        <v>73.490000000000009</v>
      </c>
      <c r="O651" s="15">
        <f t="shared" si="111"/>
        <v>0</v>
      </c>
      <c r="P651" s="15">
        <f t="shared" si="112"/>
        <v>73.490000000000009</v>
      </c>
      <c r="Q651" s="5">
        <f t="shared" si="113"/>
        <v>1</v>
      </c>
    </row>
    <row r="652" spans="1:17" x14ac:dyDescent="0.25">
      <c r="A652" s="7">
        <v>46293.083333333336</v>
      </c>
      <c r="B652" s="22">
        <v>0</v>
      </c>
      <c r="C652" s="22">
        <v>0</v>
      </c>
      <c r="D652" s="18">
        <f t="shared" si="110"/>
        <v>0</v>
      </c>
      <c r="E652" s="22">
        <v>34.65</v>
      </c>
      <c r="F652" s="18">
        <f t="shared" si="114"/>
        <v>0</v>
      </c>
      <c r="G652" s="18">
        <f t="shared" si="115"/>
        <v>34.65</v>
      </c>
      <c r="H652" s="22">
        <v>36.28</v>
      </c>
      <c r="I652" s="18">
        <f t="shared" si="116"/>
        <v>0</v>
      </c>
      <c r="J652" s="18">
        <f t="shared" si="117"/>
        <v>36.28</v>
      </c>
      <c r="K652" s="22">
        <v>4.3600000000000003</v>
      </c>
      <c r="L652" s="18">
        <f t="shared" si="118"/>
        <v>0</v>
      </c>
      <c r="M652" s="18">
        <f t="shared" si="119"/>
        <v>4.3600000000000003</v>
      </c>
      <c r="N652" s="15">
        <f t="shared" si="120"/>
        <v>75.290000000000006</v>
      </c>
      <c r="O652" s="15">
        <f t="shared" si="111"/>
        <v>0</v>
      </c>
      <c r="P652" s="15">
        <f t="shared" si="112"/>
        <v>75.290000000000006</v>
      </c>
      <c r="Q652" s="5">
        <f t="shared" si="113"/>
        <v>1</v>
      </c>
    </row>
    <row r="653" spans="1:17" x14ac:dyDescent="0.25">
      <c r="A653" s="7">
        <v>46293.125</v>
      </c>
      <c r="B653" s="22">
        <v>0</v>
      </c>
      <c r="C653" s="22">
        <v>0</v>
      </c>
      <c r="D653" s="18">
        <f t="shared" si="110"/>
        <v>0</v>
      </c>
      <c r="E653" s="22">
        <v>37.799999999999997</v>
      </c>
      <c r="F653" s="18">
        <f t="shared" si="114"/>
        <v>0</v>
      </c>
      <c r="G653" s="18">
        <f t="shared" si="115"/>
        <v>37.799999999999997</v>
      </c>
      <c r="H653" s="22">
        <v>33.4</v>
      </c>
      <c r="I653" s="18">
        <f t="shared" si="116"/>
        <v>0</v>
      </c>
      <c r="J653" s="18">
        <f t="shared" si="117"/>
        <v>33.4</v>
      </c>
      <c r="K653" s="22">
        <v>3.04</v>
      </c>
      <c r="L653" s="18">
        <f t="shared" si="118"/>
        <v>0</v>
      </c>
      <c r="M653" s="18">
        <f t="shared" si="119"/>
        <v>3.04</v>
      </c>
      <c r="N653" s="15">
        <f t="shared" si="120"/>
        <v>74.239999999999995</v>
      </c>
      <c r="O653" s="15">
        <f t="shared" si="111"/>
        <v>0</v>
      </c>
      <c r="P653" s="15">
        <f t="shared" si="112"/>
        <v>74.239999999999995</v>
      </c>
      <c r="Q653" s="5">
        <f t="shared" si="113"/>
        <v>1</v>
      </c>
    </row>
    <row r="654" spans="1:17" x14ac:dyDescent="0.25">
      <c r="A654" s="7">
        <v>46293.166666666664</v>
      </c>
      <c r="B654" s="22">
        <v>0</v>
      </c>
      <c r="C654" s="22">
        <v>0</v>
      </c>
      <c r="D654" s="18">
        <f t="shared" si="110"/>
        <v>0</v>
      </c>
      <c r="E654" s="22">
        <v>34.65</v>
      </c>
      <c r="F654" s="18">
        <f t="shared" si="114"/>
        <v>0</v>
      </c>
      <c r="G654" s="18">
        <f t="shared" si="115"/>
        <v>34.65</v>
      </c>
      <c r="H654" s="22">
        <v>32.800000000000004</v>
      </c>
      <c r="I654" s="18">
        <f t="shared" si="116"/>
        <v>0</v>
      </c>
      <c r="J654" s="18">
        <f t="shared" si="117"/>
        <v>32.800000000000004</v>
      </c>
      <c r="K654" s="22">
        <v>3.28</v>
      </c>
      <c r="L654" s="18">
        <f t="shared" si="118"/>
        <v>0</v>
      </c>
      <c r="M654" s="18">
        <f t="shared" si="119"/>
        <v>3.28</v>
      </c>
      <c r="N654" s="15">
        <f t="shared" si="120"/>
        <v>70.73</v>
      </c>
      <c r="O654" s="15">
        <f t="shared" si="111"/>
        <v>0</v>
      </c>
      <c r="P654" s="15">
        <f t="shared" si="112"/>
        <v>70.73</v>
      </c>
      <c r="Q654" s="5">
        <f t="shared" si="113"/>
        <v>1</v>
      </c>
    </row>
    <row r="655" spans="1:17" x14ac:dyDescent="0.25">
      <c r="A655" s="7">
        <v>46293.208333333336</v>
      </c>
      <c r="B655" s="22">
        <v>0</v>
      </c>
      <c r="C655" s="22">
        <v>0</v>
      </c>
      <c r="D655" s="18">
        <f t="shared" si="110"/>
        <v>0</v>
      </c>
      <c r="E655" s="22">
        <v>37.799999999999997</v>
      </c>
      <c r="F655" s="18">
        <f t="shared" si="114"/>
        <v>0</v>
      </c>
      <c r="G655" s="18">
        <f t="shared" si="115"/>
        <v>37.799999999999997</v>
      </c>
      <c r="H655" s="22">
        <v>49.84</v>
      </c>
      <c r="I655" s="18">
        <f t="shared" si="116"/>
        <v>0</v>
      </c>
      <c r="J655" s="18">
        <f t="shared" si="117"/>
        <v>49.84</v>
      </c>
      <c r="K655" s="22">
        <v>3.04</v>
      </c>
      <c r="L655" s="18">
        <f t="shared" si="118"/>
        <v>0</v>
      </c>
      <c r="M655" s="18">
        <f t="shared" si="119"/>
        <v>3.04</v>
      </c>
      <c r="N655" s="15">
        <f t="shared" si="120"/>
        <v>90.68</v>
      </c>
      <c r="O655" s="15">
        <f t="shared" si="111"/>
        <v>0</v>
      </c>
      <c r="P655" s="15">
        <f t="shared" si="112"/>
        <v>90.68</v>
      </c>
      <c r="Q655" s="5">
        <f t="shared" si="113"/>
        <v>1</v>
      </c>
    </row>
    <row r="656" spans="1:17" x14ac:dyDescent="0.25">
      <c r="A656" s="7">
        <v>46293.25</v>
      </c>
      <c r="B656" s="22">
        <v>9.4499999999999993</v>
      </c>
      <c r="C656" s="22">
        <v>0</v>
      </c>
      <c r="D656" s="18">
        <f t="shared" si="110"/>
        <v>9.4499999999999993</v>
      </c>
      <c r="E656" s="22">
        <v>28.35</v>
      </c>
      <c r="F656" s="18">
        <f t="shared" si="114"/>
        <v>3.595591195812645</v>
      </c>
      <c r="G656" s="18">
        <f t="shared" si="115"/>
        <v>24.754408804187356</v>
      </c>
      <c r="H656" s="22">
        <v>42.160000000000004</v>
      </c>
      <c r="I656" s="18">
        <f t="shared" si="116"/>
        <v>5.347094349751714</v>
      </c>
      <c r="J656" s="18">
        <f t="shared" si="117"/>
        <v>36.81290565024829</v>
      </c>
      <c r="K656" s="22">
        <v>4</v>
      </c>
      <c r="L656" s="18">
        <f t="shared" si="118"/>
        <v>0.50731445443564649</v>
      </c>
      <c r="M656" s="18">
        <f t="shared" si="119"/>
        <v>3.4926855455643535</v>
      </c>
      <c r="N656" s="15">
        <f t="shared" si="120"/>
        <v>74.510000000000005</v>
      </c>
      <c r="O656" s="15">
        <f t="shared" si="111"/>
        <v>9.4500000000000028</v>
      </c>
      <c r="P656" s="15">
        <f t="shared" si="112"/>
        <v>65.06</v>
      </c>
      <c r="Q656" s="5">
        <f t="shared" si="113"/>
        <v>0.87317138639108838</v>
      </c>
    </row>
    <row r="657" spans="1:17" x14ac:dyDescent="0.25">
      <c r="A657" s="7">
        <v>46293.291666666664</v>
      </c>
      <c r="B657" s="22">
        <v>393.75</v>
      </c>
      <c r="C657" s="22">
        <v>0.96000000000000008</v>
      </c>
      <c r="D657" s="18">
        <f t="shared" si="110"/>
        <v>394.71</v>
      </c>
      <c r="E657" s="22">
        <v>0</v>
      </c>
      <c r="F657" s="18">
        <f t="shared" si="114"/>
        <v>0</v>
      </c>
      <c r="G657" s="18">
        <f t="shared" si="115"/>
        <v>0</v>
      </c>
      <c r="H657" s="22">
        <v>33.520000000000003</v>
      </c>
      <c r="I657" s="18">
        <f t="shared" si="116"/>
        <v>33.520000000000003</v>
      </c>
      <c r="J657" s="18">
        <f t="shared" si="117"/>
        <v>0</v>
      </c>
      <c r="K657" s="22">
        <v>16.72</v>
      </c>
      <c r="L657" s="18">
        <f t="shared" si="118"/>
        <v>16.72</v>
      </c>
      <c r="M657" s="18">
        <f t="shared" si="119"/>
        <v>0</v>
      </c>
      <c r="N657" s="15">
        <f t="shared" si="120"/>
        <v>50.24</v>
      </c>
      <c r="O657" s="15">
        <f t="shared" si="111"/>
        <v>50.24</v>
      </c>
      <c r="P657" s="15">
        <f t="shared" si="112"/>
        <v>0</v>
      </c>
      <c r="Q657" s="5">
        <f t="shared" si="113"/>
        <v>0</v>
      </c>
    </row>
    <row r="658" spans="1:17" x14ac:dyDescent="0.25">
      <c r="A658" s="7">
        <v>46293.333333333336</v>
      </c>
      <c r="B658" s="22">
        <v>696.15000000000009</v>
      </c>
      <c r="C658" s="22">
        <v>0</v>
      </c>
      <c r="D658" s="18">
        <f t="shared" si="110"/>
        <v>696.15000000000009</v>
      </c>
      <c r="E658" s="22">
        <v>6.3</v>
      </c>
      <c r="F658" s="18">
        <f t="shared" si="114"/>
        <v>6.3</v>
      </c>
      <c r="G658" s="18">
        <f t="shared" si="115"/>
        <v>0</v>
      </c>
      <c r="H658" s="22">
        <v>139.96</v>
      </c>
      <c r="I658" s="18">
        <f t="shared" si="116"/>
        <v>139.96</v>
      </c>
      <c r="J658" s="18">
        <f t="shared" si="117"/>
        <v>0</v>
      </c>
      <c r="K658" s="22">
        <v>17.2</v>
      </c>
      <c r="L658" s="18">
        <f t="shared" si="118"/>
        <v>17.2</v>
      </c>
      <c r="M658" s="18">
        <f t="shared" si="119"/>
        <v>0</v>
      </c>
      <c r="N658" s="15">
        <f t="shared" si="120"/>
        <v>163.46</v>
      </c>
      <c r="O658" s="15">
        <f t="shared" si="111"/>
        <v>163.46</v>
      </c>
      <c r="P658" s="15">
        <f t="shared" si="112"/>
        <v>0</v>
      </c>
      <c r="Q658" s="5">
        <f t="shared" si="113"/>
        <v>0</v>
      </c>
    </row>
    <row r="659" spans="1:17" x14ac:dyDescent="0.25">
      <c r="A659" s="7">
        <v>46293.375</v>
      </c>
      <c r="B659" s="22">
        <v>1436.3999999999999</v>
      </c>
      <c r="C659" s="22">
        <v>0.6</v>
      </c>
      <c r="D659" s="18">
        <f t="shared" si="110"/>
        <v>1436.9999999999998</v>
      </c>
      <c r="E659" s="22">
        <v>0</v>
      </c>
      <c r="F659" s="18">
        <f t="shared" si="114"/>
        <v>0</v>
      </c>
      <c r="G659" s="18">
        <f t="shared" si="115"/>
        <v>0</v>
      </c>
      <c r="H659" s="22">
        <v>58.24</v>
      </c>
      <c r="I659" s="18">
        <f t="shared" si="116"/>
        <v>58.24</v>
      </c>
      <c r="J659" s="18">
        <f t="shared" si="117"/>
        <v>0</v>
      </c>
      <c r="K659" s="22">
        <v>48.160000000000004</v>
      </c>
      <c r="L659" s="18">
        <f t="shared" si="118"/>
        <v>48.160000000000004</v>
      </c>
      <c r="M659" s="18">
        <f t="shared" si="119"/>
        <v>0</v>
      </c>
      <c r="N659" s="15">
        <f t="shared" si="120"/>
        <v>106.4</v>
      </c>
      <c r="O659" s="15">
        <f t="shared" si="111"/>
        <v>106.4</v>
      </c>
      <c r="P659" s="15">
        <f t="shared" si="112"/>
        <v>0</v>
      </c>
      <c r="Q659" s="5">
        <f t="shared" si="113"/>
        <v>0</v>
      </c>
    </row>
    <row r="660" spans="1:17" x14ac:dyDescent="0.25">
      <c r="A660" s="7">
        <v>46293.416666666664</v>
      </c>
      <c r="B660" s="22">
        <v>674.1</v>
      </c>
      <c r="C660" s="22">
        <v>0.12000000000000001</v>
      </c>
      <c r="D660" s="18">
        <f t="shared" si="110"/>
        <v>674.22</v>
      </c>
      <c r="E660" s="22">
        <v>0</v>
      </c>
      <c r="F660" s="18">
        <f t="shared" si="114"/>
        <v>0</v>
      </c>
      <c r="G660" s="18">
        <f t="shared" si="115"/>
        <v>0</v>
      </c>
      <c r="H660" s="22">
        <v>91.12</v>
      </c>
      <c r="I660" s="18">
        <f t="shared" si="116"/>
        <v>91.12</v>
      </c>
      <c r="J660" s="18">
        <f t="shared" si="117"/>
        <v>0</v>
      </c>
      <c r="K660" s="22">
        <v>32.800000000000004</v>
      </c>
      <c r="L660" s="18">
        <f t="shared" si="118"/>
        <v>32.800000000000004</v>
      </c>
      <c r="M660" s="18">
        <f t="shared" si="119"/>
        <v>0</v>
      </c>
      <c r="N660" s="15">
        <f t="shared" si="120"/>
        <v>123.92000000000002</v>
      </c>
      <c r="O660" s="15">
        <f t="shared" si="111"/>
        <v>123.92000000000002</v>
      </c>
      <c r="P660" s="15">
        <f t="shared" si="112"/>
        <v>0</v>
      </c>
      <c r="Q660" s="5">
        <f t="shared" si="113"/>
        <v>0</v>
      </c>
    </row>
    <row r="661" spans="1:17" x14ac:dyDescent="0.25">
      <c r="A661" s="7">
        <v>46293.458333333336</v>
      </c>
      <c r="B661" s="22">
        <v>1272.5999999999999</v>
      </c>
      <c r="C661" s="22">
        <v>9.84</v>
      </c>
      <c r="D661" s="18">
        <f t="shared" si="110"/>
        <v>1282.4399999999998</v>
      </c>
      <c r="E661" s="22">
        <v>0</v>
      </c>
      <c r="F661" s="18">
        <f t="shared" si="114"/>
        <v>0</v>
      </c>
      <c r="G661" s="18">
        <f t="shared" si="115"/>
        <v>0</v>
      </c>
      <c r="H661" s="22">
        <v>54.16</v>
      </c>
      <c r="I661" s="18">
        <f t="shared" si="116"/>
        <v>54.16</v>
      </c>
      <c r="J661" s="18">
        <f t="shared" si="117"/>
        <v>0</v>
      </c>
      <c r="K661" s="22">
        <v>34.96</v>
      </c>
      <c r="L661" s="18">
        <f t="shared" si="118"/>
        <v>34.96</v>
      </c>
      <c r="M661" s="18">
        <f t="shared" si="119"/>
        <v>0</v>
      </c>
      <c r="N661" s="15">
        <f t="shared" si="120"/>
        <v>89.12</v>
      </c>
      <c r="O661" s="15">
        <f t="shared" si="111"/>
        <v>89.12</v>
      </c>
      <c r="P661" s="15">
        <f t="shared" si="112"/>
        <v>0</v>
      </c>
      <c r="Q661" s="5">
        <f t="shared" si="113"/>
        <v>0</v>
      </c>
    </row>
    <row r="662" spans="1:17" x14ac:dyDescent="0.25">
      <c r="A662" s="7">
        <v>46293.5</v>
      </c>
      <c r="B662" s="22">
        <v>1886.85</v>
      </c>
      <c r="C662" s="22">
        <v>9</v>
      </c>
      <c r="D662" s="18">
        <f t="shared" si="110"/>
        <v>1895.85</v>
      </c>
      <c r="E662" s="22">
        <v>0</v>
      </c>
      <c r="F662" s="18">
        <f t="shared" si="114"/>
        <v>0</v>
      </c>
      <c r="G662" s="18">
        <f t="shared" si="115"/>
        <v>0</v>
      </c>
      <c r="H662" s="22">
        <v>65.08</v>
      </c>
      <c r="I662" s="18">
        <f t="shared" si="116"/>
        <v>65.08</v>
      </c>
      <c r="J662" s="18">
        <f t="shared" si="117"/>
        <v>0</v>
      </c>
      <c r="K662" s="22">
        <v>34.72</v>
      </c>
      <c r="L662" s="18">
        <f t="shared" si="118"/>
        <v>34.72</v>
      </c>
      <c r="M662" s="18">
        <f t="shared" si="119"/>
        <v>0</v>
      </c>
      <c r="N662" s="15">
        <f t="shared" si="120"/>
        <v>99.8</v>
      </c>
      <c r="O662" s="15">
        <f t="shared" si="111"/>
        <v>99.8</v>
      </c>
      <c r="P662" s="15">
        <f t="shared" si="112"/>
        <v>0</v>
      </c>
      <c r="Q662" s="5">
        <f t="shared" si="113"/>
        <v>0</v>
      </c>
    </row>
    <row r="663" spans="1:17" x14ac:dyDescent="0.25">
      <c r="A663" s="7">
        <v>46293.541666666664</v>
      </c>
      <c r="B663" s="22">
        <v>1319.85</v>
      </c>
      <c r="C663" s="22">
        <v>4.32</v>
      </c>
      <c r="D663" s="18">
        <f t="shared" si="110"/>
        <v>1324.1699999999998</v>
      </c>
      <c r="E663" s="22">
        <v>3.15</v>
      </c>
      <c r="F663" s="18">
        <f t="shared" si="114"/>
        <v>3.15</v>
      </c>
      <c r="G663" s="18">
        <f t="shared" si="115"/>
        <v>0</v>
      </c>
      <c r="H663" s="22">
        <v>110.56</v>
      </c>
      <c r="I663" s="18">
        <f t="shared" si="116"/>
        <v>110.56</v>
      </c>
      <c r="J663" s="18">
        <f t="shared" si="117"/>
        <v>0</v>
      </c>
      <c r="K663" s="22">
        <v>29.080000000000002</v>
      </c>
      <c r="L663" s="18">
        <f t="shared" si="118"/>
        <v>29.080000000000002</v>
      </c>
      <c r="M663" s="18">
        <f t="shared" si="119"/>
        <v>0</v>
      </c>
      <c r="N663" s="15">
        <f t="shared" si="120"/>
        <v>142.79000000000002</v>
      </c>
      <c r="O663" s="15">
        <f t="shared" si="111"/>
        <v>142.79000000000002</v>
      </c>
      <c r="P663" s="15">
        <f t="shared" si="112"/>
        <v>0</v>
      </c>
      <c r="Q663" s="5">
        <f t="shared" si="113"/>
        <v>0</v>
      </c>
    </row>
    <row r="664" spans="1:17" x14ac:dyDescent="0.25">
      <c r="A664" s="7">
        <v>46293.583333333336</v>
      </c>
      <c r="B664" s="22">
        <v>844.19999999999993</v>
      </c>
      <c r="C664" s="22">
        <v>0.96000000000000008</v>
      </c>
      <c r="D664" s="18">
        <f t="shared" si="110"/>
        <v>845.16</v>
      </c>
      <c r="E664" s="22">
        <v>22.05</v>
      </c>
      <c r="F664" s="18">
        <f t="shared" si="114"/>
        <v>22.05</v>
      </c>
      <c r="G664" s="18">
        <f t="shared" si="115"/>
        <v>0</v>
      </c>
      <c r="H664" s="22">
        <v>118.72000000000001</v>
      </c>
      <c r="I664" s="18">
        <f t="shared" si="116"/>
        <v>118.72000000000001</v>
      </c>
      <c r="J664" s="18">
        <f t="shared" si="117"/>
        <v>0</v>
      </c>
      <c r="K664" s="22">
        <v>29.2</v>
      </c>
      <c r="L664" s="18">
        <f t="shared" si="118"/>
        <v>29.2</v>
      </c>
      <c r="M664" s="18">
        <f t="shared" si="119"/>
        <v>0</v>
      </c>
      <c r="N664" s="15">
        <f t="shared" si="120"/>
        <v>169.97</v>
      </c>
      <c r="O664" s="15">
        <f t="shared" si="111"/>
        <v>169.97</v>
      </c>
      <c r="P664" s="15">
        <f t="shared" si="112"/>
        <v>0</v>
      </c>
      <c r="Q664" s="5">
        <f t="shared" si="113"/>
        <v>0</v>
      </c>
    </row>
    <row r="665" spans="1:17" x14ac:dyDescent="0.25">
      <c r="A665" s="7">
        <v>46293.625</v>
      </c>
      <c r="B665" s="22">
        <v>560.69999999999993</v>
      </c>
      <c r="C665" s="22">
        <v>0</v>
      </c>
      <c r="D665" s="18">
        <f t="shared" si="110"/>
        <v>560.69999999999993</v>
      </c>
      <c r="E665" s="22">
        <v>81.900000000000006</v>
      </c>
      <c r="F665" s="18">
        <f t="shared" si="114"/>
        <v>81.900000000000006</v>
      </c>
      <c r="G665" s="18">
        <f t="shared" si="115"/>
        <v>0</v>
      </c>
      <c r="H665" s="22">
        <v>119.8</v>
      </c>
      <c r="I665" s="18">
        <f t="shared" si="116"/>
        <v>119.8</v>
      </c>
      <c r="J665" s="18">
        <f t="shared" si="117"/>
        <v>0</v>
      </c>
      <c r="K665" s="22">
        <v>39.28</v>
      </c>
      <c r="L665" s="18">
        <f t="shared" si="118"/>
        <v>39.28</v>
      </c>
      <c r="M665" s="18">
        <f t="shared" si="119"/>
        <v>0</v>
      </c>
      <c r="N665" s="15">
        <f t="shared" si="120"/>
        <v>240.98</v>
      </c>
      <c r="O665" s="15">
        <f t="shared" si="111"/>
        <v>240.98</v>
      </c>
      <c r="P665" s="15">
        <f t="shared" si="112"/>
        <v>0</v>
      </c>
      <c r="Q665" s="5">
        <f t="shared" si="113"/>
        <v>0</v>
      </c>
    </row>
    <row r="666" spans="1:17" x14ac:dyDescent="0.25">
      <c r="A666" s="7">
        <v>46293.666666666664</v>
      </c>
      <c r="B666" s="22">
        <v>286.65000000000003</v>
      </c>
      <c r="C666" s="22">
        <v>0</v>
      </c>
      <c r="D666" s="18">
        <f t="shared" si="110"/>
        <v>286.65000000000003</v>
      </c>
      <c r="E666" s="22">
        <v>40.950000000000003</v>
      </c>
      <c r="F666" s="18">
        <f t="shared" si="114"/>
        <v>40.950000000000003</v>
      </c>
      <c r="G666" s="18">
        <f t="shared" si="115"/>
        <v>0</v>
      </c>
      <c r="H666" s="22">
        <v>148.60000000000002</v>
      </c>
      <c r="I666" s="18">
        <f t="shared" si="116"/>
        <v>148.60000000000002</v>
      </c>
      <c r="J666" s="18">
        <f t="shared" si="117"/>
        <v>0</v>
      </c>
      <c r="K666" s="22">
        <v>26.68</v>
      </c>
      <c r="L666" s="18">
        <f t="shared" si="118"/>
        <v>26.68</v>
      </c>
      <c r="M666" s="18">
        <f t="shared" si="119"/>
        <v>0</v>
      </c>
      <c r="N666" s="15">
        <f t="shared" si="120"/>
        <v>216.23000000000002</v>
      </c>
      <c r="O666" s="15">
        <f t="shared" si="111"/>
        <v>216.23000000000002</v>
      </c>
      <c r="P666" s="15">
        <f t="shared" si="112"/>
        <v>0</v>
      </c>
      <c r="Q666" s="5">
        <f t="shared" si="113"/>
        <v>0</v>
      </c>
    </row>
    <row r="667" spans="1:17" x14ac:dyDescent="0.25">
      <c r="A667" s="7">
        <v>46293.708333333336</v>
      </c>
      <c r="B667" s="22">
        <v>0</v>
      </c>
      <c r="C667" s="22">
        <v>0</v>
      </c>
      <c r="D667" s="18">
        <f t="shared" si="110"/>
        <v>0</v>
      </c>
      <c r="E667" s="22">
        <v>762.3</v>
      </c>
      <c r="F667" s="18">
        <f t="shared" si="114"/>
        <v>0</v>
      </c>
      <c r="G667" s="18">
        <f t="shared" si="115"/>
        <v>762.3</v>
      </c>
      <c r="H667" s="22">
        <v>94</v>
      </c>
      <c r="I667" s="18">
        <f t="shared" si="116"/>
        <v>0</v>
      </c>
      <c r="J667" s="18">
        <f t="shared" si="117"/>
        <v>94</v>
      </c>
      <c r="K667" s="22">
        <v>16.695999999999998</v>
      </c>
      <c r="L667" s="18">
        <f t="shared" si="118"/>
        <v>0</v>
      </c>
      <c r="M667" s="18">
        <f t="shared" si="119"/>
        <v>16.695999999999998</v>
      </c>
      <c r="N667" s="15">
        <f t="shared" si="120"/>
        <v>872.99599999999998</v>
      </c>
      <c r="O667" s="15">
        <f t="shared" si="111"/>
        <v>0</v>
      </c>
      <c r="P667" s="15">
        <f t="shared" si="112"/>
        <v>872.99599999999998</v>
      </c>
      <c r="Q667" s="5">
        <f t="shared" si="113"/>
        <v>1</v>
      </c>
    </row>
    <row r="668" spans="1:17" x14ac:dyDescent="0.25">
      <c r="A668" s="7">
        <v>46293.75</v>
      </c>
      <c r="B668" s="22">
        <v>0</v>
      </c>
      <c r="C668" s="22">
        <v>0</v>
      </c>
      <c r="D668" s="18">
        <f t="shared" si="110"/>
        <v>0</v>
      </c>
      <c r="E668" s="22">
        <v>261.45</v>
      </c>
      <c r="F668" s="18">
        <f t="shared" si="114"/>
        <v>0</v>
      </c>
      <c r="G668" s="18">
        <f t="shared" si="115"/>
        <v>261.45</v>
      </c>
      <c r="H668" s="22">
        <v>57.88</v>
      </c>
      <c r="I668" s="18">
        <f t="shared" si="116"/>
        <v>0</v>
      </c>
      <c r="J668" s="18">
        <f t="shared" si="117"/>
        <v>57.88</v>
      </c>
      <c r="K668" s="22">
        <v>31.419999999999998</v>
      </c>
      <c r="L668" s="18">
        <f t="shared" si="118"/>
        <v>0</v>
      </c>
      <c r="M668" s="18">
        <f t="shared" si="119"/>
        <v>31.419999999999998</v>
      </c>
      <c r="N668" s="15">
        <f t="shared" si="120"/>
        <v>350.75</v>
      </c>
      <c r="O668" s="15">
        <f t="shared" si="111"/>
        <v>0</v>
      </c>
      <c r="P668" s="15">
        <f t="shared" si="112"/>
        <v>350.75</v>
      </c>
      <c r="Q668" s="5">
        <f t="shared" si="113"/>
        <v>1</v>
      </c>
    </row>
    <row r="669" spans="1:17" x14ac:dyDescent="0.25">
      <c r="A669" s="7">
        <v>46293.791666666664</v>
      </c>
      <c r="B669" s="22">
        <v>0</v>
      </c>
      <c r="C669" s="22">
        <v>0</v>
      </c>
      <c r="D669" s="18">
        <f t="shared" si="110"/>
        <v>0</v>
      </c>
      <c r="E669" s="22">
        <v>122.85</v>
      </c>
      <c r="F669" s="18">
        <f t="shared" si="114"/>
        <v>0</v>
      </c>
      <c r="G669" s="18">
        <f t="shared" si="115"/>
        <v>122.85</v>
      </c>
      <c r="H669" s="22">
        <v>42.76</v>
      </c>
      <c r="I669" s="18">
        <f t="shared" si="116"/>
        <v>0</v>
      </c>
      <c r="J669" s="18">
        <f t="shared" si="117"/>
        <v>42.76</v>
      </c>
      <c r="K669" s="22">
        <v>26.065999999999999</v>
      </c>
      <c r="L669" s="18">
        <f t="shared" si="118"/>
        <v>0</v>
      </c>
      <c r="M669" s="18">
        <f t="shared" si="119"/>
        <v>26.065999999999999</v>
      </c>
      <c r="N669" s="15">
        <f t="shared" si="120"/>
        <v>191.67599999999999</v>
      </c>
      <c r="O669" s="15">
        <f t="shared" si="111"/>
        <v>0</v>
      </c>
      <c r="P669" s="15">
        <f t="shared" si="112"/>
        <v>191.67599999999999</v>
      </c>
      <c r="Q669" s="5">
        <f t="shared" si="113"/>
        <v>1</v>
      </c>
    </row>
    <row r="670" spans="1:17" x14ac:dyDescent="0.25">
      <c r="A670" s="7">
        <v>46293.833333333336</v>
      </c>
      <c r="B670" s="22">
        <v>0</v>
      </c>
      <c r="C670" s="22">
        <v>0</v>
      </c>
      <c r="D670" s="18">
        <f t="shared" si="110"/>
        <v>0</v>
      </c>
      <c r="E670" s="22">
        <v>841.05</v>
      </c>
      <c r="F670" s="18">
        <f t="shared" si="114"/>
        <v>0</v>
      </c>
      <c r="G670" s="18">
        <f t="shared" si="115"/>
        <v>841.05</v>
      </c>
      <c r="H670" s="22">
        <v>39.4</v>
      </c>
      <c r="I670" s="18">
        <f t="shared" si="116"/>
        <v>0</v>
      </c>
      <c r="J670" s="18">
        <f t="shared" si="117"/>
        <v>39.4</v>
      </c>
      <c r="K670" s="22">
        <v>5.7439999999999998</v>
      </c>
      <c r="L670" s="18">
        <f t="shared" si="118"/>
        <v>0</v>
      </c>
      <c r="M670" s="18">
        <f t="shared" si="119"/>
        <v>5.7439999999999998</v>
      </c>
      <c r="N670" s="15">
        <f t="shared" si="120"/>
        <v>886.19399999999996</v>
      </c>
      <c r="O670" s="15">
        <f t="shared" si="111"/>
        <v>0</v>
      </c>
      <c r="P670" s="15">
        <f t="shared" si="112"/>
        <v>886.19399999999996</v>
      </c>
      <c r="Q670" s="5">
        <f t="shared" si="113"/>
        <v>1</v>
      </c>
    </row>
    <row r="671" spans="1:17" x14ac:dyDescent="0.25">
      <c r="A671" s="7">
        <v>46293.875</v>
      </c>
      <c r="B671" s="22">
        <v>0</v>
      </c>
      <c r="C671" s="22">
        <v>0</v>
      </c>
      <c r="D671" s="18">
        <f t="shared" si="110"/>
        <v>0</v>
      </c>
      <c r="E671" s="22">
        <v>837.9</v>
      </c>
      <c r="F671" s="18">
        <f t="shared" si="114"/>
        <v>0</v>
      </c>
      <c r="G671" s="18">
        <f t="shared" si="115"/>
        <v>837.9</v>
      </c>
      <c r="H671" s="22">
        <v>38.199999999999996</v>
      </c>
      <c r="I671" s="18">
        <f t="shared" si="116"/>
        <v>0</v>
      </c>
      <c r="J671" s="18">
        <f t="shared" si="117"/>
        <v>38.199999999999996</v>
      </c>
      <c r="K671" s="22">
        <v>3.31</v>
      </c>
      <c r="L671" s="18">
        <f t="shared" si="118"/>
        <v>0</v>
      </c>
      <c r="M671" s="18">
        <f t="shared" si="119"/>
        <v>3.31</v>
      </c>
      <c r="N671" s="15">
        <f t="shared" si="120"/>
        <v>879.41</v>
      </c>
      <c r="O671" s="15">
        <f t="shared" si="111"/>
        <v>0</v>
      </c>
      <c r="P671" s="15">
        <f t="shared" si="112"/>
        <v>879.41</v>
      </c>
      <c r="Q671" s="5">
        <f t="shared" si="113"/>
        <v>1</v>
      </c>
    </row>
    <row r="672" spans="1:17" x14ac:dyDescent="0.25">
      <c r="A672" s="7">
        <v>46293.916666666664</v>
      </c>
      <c r="B672" s="22">
        <v>0</v>
      </c>
      <c r="C672" s="22">
        <v>0</v>
      </c>
      <c r="D672" s="18">
        <f t="shared" si="110"/>
        <v>0</v>
      </c>
      <c r="E672" s="22">
        <v>856.8</v>
      </c>
      <c r="F672" s="18">
        <f t="shared" si="114"/>
        <v>0</v>
      </c>
      <c r="G672" s="18">
        <f t="shared" si="115"/>
        <v>856.8</v>
      </c>
      <c r="H672" s="22">
        <v>38.32</v>
      </c>
      <c r="I672" s="18">
        <f t="shared" si="116"/>
        <v>0</v>
      </c>
      <c r="J672" s="18">
        <f t="shared" si="117"/>
        <v>38.32</v>
      </c>
      <c r="K672" s="22">
        <v>3.16</v>
      </c>
      <c r="L672" s="18">
        <f t="shared" si="118"/>
        <v>0</v>
      </c>
      <c r="M672" s="18">
        <f t="shared" si="119"/>
        <v>3.16</v>
      </c>
      <c r="N672" s="15">
        <f t="shared" si="120"/>
        <v>898.28</v>
      </c>
      <c r="O672" s="15">
        <f t="shared" si="111"/>
        <v>0</v>
      </c>
      <c r="P672" s="15">
        <f t="shared" si="112"/>
        <v>898.28</v>
      </c>
      <c r="Q672" s="5">
        <f t="shared" si="113"/>
        <v>1</v>
      </c>
    </row>
    <row r="673" spans="1:17" x14ac:dyDescent="0.25">
      <c r="A673" s="7">
        <v>46293.958333333336</v>
      </c>
      <c r="B673" s="22">
        <v>0</v>
      </c>
      <c r="C673" s="22">
        <v>0</v>
      </c>
      <c r="D673" s="18">
        <f t="shared" si="110"/>
        <v>0</v>
      </c>
      <c r="E673" s="22">
        <v>781.2</v>
      </c>
      <c r="F673" s="18">
        <f t="shared" si="114"/>
        <v>0</v>
      </c>
      <c r="G673" s="18">
        <f t="shared" si="115"/>
        <v>781.2</v>
      </c>
      <c r="H673" s="22">
        <v>37</v>
      </c>
      <c r="I673" s="18">
        <f t="shared" si="116"/>
        <v>0</v>
      </c>
      <c r="J673" s="18">
        <f t="shared" si="117"/>
        <v>37</v>
      </c>
      <c r="K673" s="22">
        <v>4.3600000000000003</v>
      </c>
      <c r="L673" s="18">
        <f t="shared" si="118"/>
        <v>0</v>
      </c>
      <c r="M673" s="18">
        <f t="shared" si="119"/>
        <v>4.3600000000000003</v>
      </c>
      <c r="N673" s="15">
        <f t="shared" si="120"/>
        <v>822.56000000000006</v>
      </c>
      <c r="O673" s="15">
        <f t="shared" si="111"/>
        <v>0</v>
      </c>
      <c r="P673" s="15">
        <f t="shared" si="112"/>
        <v>822.56000000000006</v>
      </c>
      <c r="Q673" s="5">
        <f t="shared" si="113"/>
        <v>1</v>
      </c>
    </row>
    <row r="674" spans="1:17" x14ac:dyDescent="0.25">
      <c r="A674" s="7">
        <v>46294</v>
      </c>
      <c r="B674" s="22">
        <v>0</v>
      </c>
      <c r="C674" s="22">
        <v>0</v>
      </c>
      <c r="D674" s="18">
        <f t="shared" si="110"/>
        <v>0</v>
      </c>
      <c r="E674" s="22">
        <v>683.55</v>
      </c>
      <c r="F674" s="18">
        <f t="shared" si="114"/>
        <v>0</v>
      </c>
      <c r="G674" s="18">
        <f t="shared" si="115"/>
        <v>683.55</v>
      </c>
      <c r="H674" s="22">
        <v>39.28</v>
      </c>
      <c r="I674" s="18">
        <f t="shared" si="116"/>
        <v>0</v>
      </c>
      <c r="J674" s="18">
        <f t="shared" si="117"/>
        <v>39.28</v>
      </c>
      <c r="K674" s="22">
        <v>4.7200000000000006</v>
      </c>
      <c r="L674" s="18">
        <f t="shared" si="118"/>
        <v>0</v>
      </c>
      <c r="M674" s="18">
        <f t="shared" si="119"/>
        <v>4.7200000000000006</v>
      </c>
      <c r="N674" s="15">
        <f t="shared" si="120"/>
        <v>727.55</v>
      </c>
      <c r="O674" s="15">
        <f t="shared" si="111"/>
        <v>0</v>
      </c>
      <c r="P674" s="15">
        <f t="shared" si="112"/>
        <v>727.55</v>
      </c>
      <c r="Q674" s="5">
        <f t="shared" si="113"/>
        <v>1</v>
      </c>
    </row>
    <row r="675" spans="1:17" x14ac:dyDescent="0.25">
      <c r="A675" s="7">
        <v>46294.041666666664</v>
      </c>
      <c r="B675" s="22">
        <v>0</v>
      </c>
      <c r="C675" s="22">
        <v>0</v>
      </c>
      <c r="D675" s="18">
        <f t="shared" si="110"/>
        <v>0</v>
      </c>
      <c r="E675" s="22">
        <v>37.799999999999997</v>
      </c>
      <c r="F675" s="18">
        <f t="shared" si="114"/>
        <v>0</v>
      </c>
      <c r="G675" s="18">
        <f t="shared" si="115"/>
        <v>37.799999999999997</v>
      </c>
      <c r="H675" s="22">
        <v>34.96</v>
      </c>
      <c r="I675" s="18">
        <f t="shared" si="116"/>
        <v>0</v>
      </c>
      <c r="J675" s="18">
        <f t="shared" si="117"/>
        <v>34.96</v>
      </c>
      <c r="K675" s="22">
        <v>4.96</v>
      </c>
      <c r="L675" s="18">
        <f t="shared" si="118"/>
        <v>0</v>
      </c>
      <c r="M675" s="18">
        <f t="shared" si="119"/>
        <v>4.96</v>
      </c>
      <c r="N675" s="15">
        <f t="shared" si="120"/>
        <v>77.719999999999985</v>
      </c>
      <c r="O675" s="15">
        <f t="shared" si="111"/>
        <v>0</v>
      </c>
      <c r="P675" s="15">
        <f t="shared" si="112"/>
        <v>77.719999999999985</v>
      </c>
      <c r="Q675" s="5">
        <f t="shared" si="113"/>
        <v>1</v>
      </c>
    </row>
    <row r="676" spans="1:17" x14ac:dyDescent="0.25">
      <c r="A676" s="7">
        <v>46294.083333333336</v>
      </c>
      <c r="B676" s="22">
        <v>0</v>
      </c>
      <c r="C676" s="22">
        <v>0</v>
      </c>
      <c r="D676" s="18">
        <f t="shared" si="110"/>
        <v>0</v>
      </c>
      <c r="E676" s="22">
        <v>664.65</v>
      </c>
      <c r="F676" s="18">
        <f t="shared" si="114"/>
        <v>0</v>
      </c>
      <c r="G676" s="18">
        <f t="shared" si="115"/>
        <v>664.65</v>
      </c>
      <c r="H676" s="22">
        <v>33.520000000000003</v>
      </c>
      <c r="I676" s="18">
        <f t="shared" si="116"/>
        <v>0</v>
      </c>
      <c r="J676" s="18">
        <f t="shared" si="117"/>
        <v>33.520000000000003</v>
      </c>
      <c r="K676" s="22">
        <v>4.96</v>
      </c>
      <c r="L676" s="18">
        <f t="shared" si="118"/>
        <v>0</v>
      </c>
      <c r="M676" s="18">
        <f t="shared" si="119"/>
        <v>4.96</v>
      </c>
      <c r="N676" s="15">
        <f t="shared" si="120"/>
        <v>703.13</v>
      </c>
      <c r="O676" s="15">
        <f t="shared" si="111"/>
        <v>0</v>
      </c>
      <c r="P676" s="15">
        <f t="shared" si="112"/>
        <v>703.13</v>
      </c>
      <c r="Q676" s="5">
        <f t="shared" si="113"/>
        <v>1</v>
      </c>
    </row>
    <row r="677" spans="1:17" x14ac:dyDescent="0.25">
      <c r="A677" s="7">
        <v>46294.125</v>
      </c>
      <c r="B677" s="22">
        <v>0</v>
      </c>
      <c r="C677" s="22">
        <v>0</v>
      </c>
      <c r="D677" s="18">
        <f t="shared" si="110"/>
        <v>0</v>
      </c>
      <c r="E677" s="22">
        <v>667.8</v>
      </c>
      <c r="F677" s="18">
        <f t="shared" si="114"/>
        <v>0</v>
      </c>
      <c r="G677" s="18">
        <f t="shared" si="115"/>
        <v>667.8</v>
      </c>
      <c r="H677" s="22">
        <v>37.119999999999997</v>
      </c>
      <c r="I677" s="18">
        <f t="shared" si="116"/>
        <v>0</v>
      </c>
      <c r="J677" s="18">
        <f t="shared" si="117"/>
        <v>37.119999999999997</v>
      </c>
      <c r="K677" s="22">
        <v>4.96</v>
      </c>
      <c r="L677" s="18">
        <f t="shared" si="118"/>
        <v>0</v>
      </c>
      <c r="M677" s="18">
        <f t="shared" si="119"/>
        <v>4.96</v>
      </c>
      <c r="N677" s="15">
        <f t="shared" si="120"/>
        <v>709.88</v>
      </c>
      <c r="O677" s="15">
        <f t="shared" si="111"/>
        <v>0</v>
      </c>
      <c r="P677" s="15">
        <f t="shared" si="112"/>
        <v>709.88</v>
      </c>
      <c r="Q677" s="5">
        <f t="shared" si="113"/>
        <v>1</v>
      </c>
    </row>
    <row r="678" spans="1:17" x14ac:dyDescent="0.25">
      <c r="A678" s="7">
        <v>46294.166666666664</v>
      </c>
      <c r="B678" s="22">
        <v>0</v>
      </c>
      <c r="C678" s="22">
        <v>0</v>
      </c>
      <c r="D678" s="18">
        <f t="shared" si="110"/>
        <v>0</v>
      </c>
      <c r="E678" s="22">
        <v>787.5</v>
      </c>
      <c r="F678" s="18">
        <f t="shared" si="114"/>
        <v>0</v>
      </c>
      <c r="G678" s="18">
        <f t="shared" si="115"/>
        <v>787.5</v>
      </c>
      <c r="H678" s="22">
        <v>37.6</v>
      </c>
      <c r="I678" s="18">
        <f t="shared" si="116"/>
        <v>0</v>
      </c>
      <c r="J678" s="18">
        <f t="shared" si="117"/>
        <v>37.6</v>
      </c>
      <c r="K678" s="22">
        <v>4.96</v>
      </c>
      <c r="L678" s="18">
        <f t="shared" si="118"/>
        <v>0</v>
      </c>
      <c r="M678" s="18">
        <f t="shared" si="119"/>
        <v>4.96</v>
      </c>
      <c r="N678" s="15">
        <f t="shared" si="120"/>
        <v>830.06000000000006</v>
      </c>
      <c r="O678" s="15">
        <f t="shared" si="111"/>
        <v>0</v>
      </c>
      <c r="P678" s="15">
        <f t="shared" si="112"/>
        <v>830.06000000000006</v>
      </c>
      <c r="Q678" s="5">
        <f t="shared" si="113"/>
        <v>1</v>
      </c>
    </row>
    <row r="679" spans="1:17" x14ac:dyDescent="0.25">
      <c r="A679" s="7">
        <v>46294.208333333336</v>
      </c>
      <c r="B679" s="22">
        <v>0</v>
      </c>
      <c r="C679" s="22">
        <v>0</v>
      </c>
      <c r="D679" s="18">
        <f t="shared" si="110"/>
        <v>0</v>
      </c>
      <c r="E679" s="22">
        <v>790.65</v>
      </c>
      <c r="F679" s="18">
        <f t="shared" si="114"/>
        <v>0</v>
      </c>
      <c r="G679" s="18">
        <f t="shared" si="115"/>
        <v>790.65</v>
      </c>
      <c r="H679" s="22">
        <v>39.04</v>
      </c>
      <c r="I679" s="18">
        <f t="shared" si="116"/>
        <v>0</v>
      </c>
      <c r="J679" s="18">
        <f t="shared" si="117"/>
        <v>39.04</v>
      </c>
      <c r="K679" s="22">
        <v>6.04</v>
      </c>
      <c r="L679" s="18">
        <f t="shared" si="118"/>
        <v>0</v>
      </c>
      <c r="M679" s="18">
        <f t="shared" si="119"/>
        <v>6.04</v>
      </c>
      <c r="N679" s="15">
        <f t="shared" si="120"/>
        <v>835.7299999999999</v>
      </c>
      <c r="O679" s="15">
        <f t="shared" si="111"/>
        <v>0</v>
      </c>
      <c r="P679" s="15">
        <f t="shared" si="112"/>
        <v>835.7299999999999</v>
      </c>
      <c r="Q679" s="5">
        <f t="shared" si="113"/>
        <v>1</v>
      </c>
    </row>
    <row r="680" spans="1:17" x14ac:dyDescent="0.25">
      <c r="A680" s="7">
        <v>46294.25</v>
      </c>
      <c r="B680" s="22">
        <v>0</v>
      </c>
      <c r="C680" s="22">
        <v>0</v>
      </c>
      <c r="D680" s="18">
        <f t="shared" si="110"/>
        <v>0</v>
      </c>
      <c r="E680" s="22">
        <v>37.799999999999997</v>
      </c>
      <c r="F680" s="18">
        <f t="shared" si="114"/>
        <v>0</v>
      </c>
      <c r="G680" s="18">
        <f t="shared" si="115"/>
        <v>37.799999999999997</v>
      </c>
      <c r="H680" s="22">
        <v>38.800000000000004</v>
      </c>
      <c r="I680" s="18">
        <f t="shared" si="116"/>
        <v>0</v>
      </c>
      <c r="J680" s="18">
        <f t="shared" si="117"/>
        <v>38.800000000000004</v>
      </c>
      <c r="K680" s="22">
        <v>5.92</v>
      </c>
      <c r="L680" s="18">
        <f t="shared" si="118"/>
        <v>0</v>
      </c>
      <c r="M680" s="18">
        <f t="shared" si="119"/>
        <v>5.92</v>
      </c>
      <c r="N680" s="15">
        <f t="shared" si="120"/>
        <v>82.52</v>
      </c>
      <c r="O680" s="15">
        <f t="shared" si="111"/>
        <v>0</v>
      </c>
      <c r="P680" s="15">
        <f t="shared" si="112"/>
        <v>82.52</v>
      </c>
      <c r="Q680" s="5">
        <f t="shared" si="113"/>
        <v>1</v>
      </c>
    </row>
    <row r="681" spans="1:17" x14ac:dyDescent="0.25">
      <c r="A681" s="7">
        <v>46294.291666666664</v>
      </c>
      <c r="B681" s="22">
        <v>69.3</v>
      </c>
      <c r="C681" s="22">
        <v>0</v>
      </c>
      <c r="D681" s="18">
        <f t="shared" si="110"/>
        <v>69.3</v>
      </c>
      <c r="E681" s="22">
        <v>3.15</v>
      </c>
      <c r="F681" s="18">
        <f t="shared" si="114"/>
        <v>3.15</v>
      </c>
      <c r="G681" s="18">
        <f t="shared" si="115"/>
        <v>0</v>
      </c>
      <c r="H681" s="22">
        <v>59.68</v>
      </c>
      <c r="I681" s="18">
        <f t="shared" si="116"/>
        <v>59.68</v>
      </c>
      <c r="J681" s="18">
        <f t="shared" si="117"/>
        <v>0</v>
      </c>
      <c r="K681" s="22">
        <v>3.16</v>
      </c>
      <c r="L681" s="18">
        <f t="shared" si="118"/>
        <v>3.16</v>
      </c>
      <c r="M681" s="18">
        <f t="shared" si="119"/>
        <v>0</v>
      </c>
      <c r="N681" s="15">
        <f t="shared" si="120"/>
        <v>65.989999999999995</v>
      </c>
      <c r="O681" s="15">
        <f t="shared" si="111"/>
        <v>65.989999999999995</v>
      </c>
      <c r="P681" s="15">
        <f t="shared" si="112"/>
        <v>0</v>
      </c>
      <c r="Q681" s="5">
        <f t="shared" si="113"/>
        <v>0</v>
      </c>
    </row>
    <row r="682" spans="1:17" x14ac:dyDescent="0.25">
      <c r="A682" s="7">
        <v>46294.333333333336</v>
      </c>
      <c r="B682" s="22">
        <v>94.5</v>
      </c>
      <c r="C682" s="22">
        <v>0</v>
      </c>
      <c r="D682" s="18">
        <f t="shared" si="110"/>
        <v>94.5</v>
      </c>
      <c r="E682" s="22">
        <v>66.150000000000006</v>
      </c>
      <c r="F682" s="18">
        <f t="shared" si="114"/>
        <v>26.086779618578646</v>
      </c>
      <c r="G682" s="18">
        <f t="shared" si="115"/>
        <v>40.06322038142136</v>
      </c>
      <c r="H682" s="22">
        <v>148.84</v>
      </c>
      <c r="I682" s="18">
        <f t="shared" si="116"/>
        <v>58.696240036723282</v>
      </c>
      <c r="J682" s="18">
        <f t="shared" si="117"/>
        <v>90.143759963276722</v>
      </c>
      <c r="K682" s="22">
        <v>24.639999999999997</v>
      </c>
      <c r="L682" s="18">
        <f t="shared" si="118"/>
        <v>9.7169803446980758</v>
      </c>
      <c r="M682" s="18">
        <f t="shared" si="119"/>
        <v>14.923019655301921</v>
      </c>
      <c r="N682" s="15">
        <f t="shared" si="120"/>
        <v>239.63</v>
      </c>
      <c r="O682" s="15">
        <f t="shared" si="111"/>
        <v>94.5</v>
      </c>
      <c r="P682" s="15">
        <f t="shared" si="112"/>
        <v>145.13</v>
      </c>
      <c r="Q682" s="5">
        <f t="shared" si="113"/>
        <v>0.60564203146517548</v>
      </c>
    </row>
    <row r="683" spans="1:17" x14ac:dyDescent="0.25">
      <c r="A683" s="7">
        <v>46294.375</v>
      </c>
      <c r="B683" s="22">
        <v>107.1</v>
      </c>
      <c r="C683" s="22">
        <v>0</v>
      </c>
      <c r="D683" s="18">
        <f t="shared" si="110"/>
        <v>107.1</v>
      </c>
      <c r="E683" s="22">
        <v>40.950000000000003</v>
      </c>
      <c r="F683" s="18">
        <f t="shared" si="114"/>
        <v>18.229124236252545</v>
      </c>
      <c r="G683" s="18">
        <f t="shared" si="115"/>
        <v>22.720875763747458</v>
      </c>
      <c r="H683" s="22">
        <v>145.72</v>
      </c>
      <c r="I683" s="18">
        <f t="shared" si="116"/>
        <v>64.868082630200746</v>
      </c>
      <c r="J683" s="18">
        <f t="shared" si="117"/>
        <v>80.851917369799253</v>
      </c>
      <c r="K683" s="22">
        <v>53.92</v>
      </c>
      <c r="L683" s="18">
        <f t="shared" si="118"/>
        <v>24.002793133546696</v>
      </c>
      <c r="M683" s="18">
        <f t="shared" si="119"/>
        <v>29.917206866453306</v>
      </c>
      <c r="N683" s="15">
        <f t="shared" si="120"/>
        <v>240.59000000000003</v>
      </c>
      <c r="O683" s="15">
        <f t="shared" si="111"/>
        <v>107.1</v>
      </c>
      <c r="P683" s="15">
        <f t="shared" si="112"/>
        <v>133.49000000000004</v>
      </c>
      <c r="Q683" s="5">
        <f t="shared" si="113"/>
        <v>0.55484434099505386</v>
      </c>
    </row>
    <row r="684" spans="1:17" x14ac:dyDescent="0.25">
      <c r="A684" s="7">
        <v>46294.416666666664</v>
      </c>
      <c r="B684" s="22">
        <v>683.55</v>
      </c>
      <c r="C684" s="22">
        <v>0.24000000000000002</v>
      </c>
      <c r="D684" s="18">
        <f t="shared" si="110"/>
        <v>683.79</v>
      </c>
      <c r="E684" s="22">
        <v>0</v>
      </c>
      <c r="F684" s="18">
        <f t="shared" si="114"/>
        <v>0</v>
      </c>
      <c r="G684" s="18">
        <f t="shared" si="115"/>
        <v>0</v>
      </c>
      <c r="H684" s="22">
        <v>99.88</v>
      </c>
      <c r="I684" s="18">
        <f t="shared" si="116"/>
        <v>99.88</v>
      </c>
      <c r="J684" s="18">
        <f t="shared" si="117"/>
        <v>0</v>
      </c>
      <c r="K684" s="22">
        <v>39.76</v>
      </c>
      <c r="L684" s="18">
        <f t="shared" si="118"/>
        <v>39.76</v>
      </c>
      <c r="M684" s="18">
        <f t="shared" si="119"/>
        <v>0</v>
      </c>
      <c r="N684" s="15">
        <f t="shared" si="120"/>
        <v>139.63999999999999</v>
      </c>
      <c r="O684" s="15">
        <f t="shared" si="111"/>
        <v>139.63999999999999</v>
      </c>
      <c r="P684" s="15">
        <f t="shared" si="112"/>
        <v>0</v>
      </c>
      <c r="Q684" s="5">
        <f t="shared" si="113"/>
        <v>0</v>
      </c>
    </row>
    <row r="685" spans="1:17" x14ac:dyDescent="0.25">
      <c r="A685" s="7">
        <v>46294.458333333336</v>
      </c>
      <c r="B685" s="22">
        <v>560.69999999999993</v>
      </c>
      <c r="C685" s="22">
        <v>2.8800000000000003</v>
      </c>
      <c r="D685" s="18">
        <f t="shared" si="110"/>
        <v>563.57999999999993</v>
      </c>
      <c r="E685" s="22">
        <v>0</v>
      </c>
      <c r="F685" s="18">
        <f t="shared" si="114"/>
        <v>0</v>
      </c>
      <c r="G685" s="18">
        <f t="shared" si="115"/>
        <v>0</v>
      </c>
      <c r="H685" s="22">
        <v>92.08</v>
      </c>
      <c r="I685" s="18">
        <f t="shared" si="116"/>
        <v>92.08</v>
      </c>
      <c r="J685" s="18">
        <f t="shared" si="117"/>
        <v>0</v>
      </c>
      <c r="K685" s="22">
        <v>25.72</v>
      </c>
      <c r="L685" s="18">
        <f t="shared" si="118"/>
        <v>25.72</v>
      </c>
      <c r="M685" s="18">
        <f t="shared" si="119"/>
        <v>0</v>
      </c>
      <c r="N685" s="15">
        <f t="shared" si="120"/>
        <v>117.8</v>
      </c>
      <c r="O685" s="15">
        <f t="shared" si="111"/>
        <v>117.8</v>
      </c>
      <c r="P685" s="15">
        <f t="shared" si="112"/>
        <v>0</v>
      </c>
      <c r="Q685" s="5">
        <f t="shared" si="113"/>
        <v>0</v>
      </c>
    </row>
    <row r="686" spans="1:17" x14ac:dyDescent="0.25">
      <c r="A686" s="7">
        <v>46294.5</v>
      </c>
      <c r="B686" s="22">
        <v>1039.5</v>
      </c>
      <c r="C686" s="22">
        <v>0.12000000000000001</v>
      </c>
      <c r="D686" s="18">
        <f t="shared" si="110"/>
        <v>1039.6199999999999</v>
      </c>
      <c r="E686" s="22">
        <v>0</v>
      </c>
      <c r="F686" s="18">
        <f t="shared" si="114"/>
        <v>0</v>
      </c>
      <c r="G686" s="18">
        <f t="shared" si="115"/>
        <v>0</v>
      </c>
      <c r="H686" s="22">
        <v>87.52</v>
      </c>
      <c r="I686" s="18">
        <f t="shared" si="116"/>
        <v>87.52</v>
      </c>
      <c r="J686" s="18">
        <f t="shared" si="117"/>
        <v>0</v>
      </c>
      <c r="K686" s="22">
        <v>58.72</v>
      </c>
      <c r="L686" s="18">
        <f t="shared" si="118"/>
        <v>58.72</v>
      </c>
      <c r="M686" s="18">
        <f t="shared" si="119"/>
        <v>0</v>
      </c>
      <c r="N686" s="15">
        <f t="shared" si="120"/>
        <v>146.24</v>
      </c>
      <c r="O686" s="15">
        <f t="shared" si="111"/>
        <v>146.24</v>
      </c>
      <c r="P686" s="15">
        <f t="shared" si="112"/>
        <v>0</v>
      </c>
      <c r="Q686" s="5">
        <f t="shared" si="113"/>
        <v>0</v>
      </c>
    </row>
    <row r="687" spans="1:17" x14ac:dyDescent="0.25">
      <c r="A687" s="7">
        <v>46294.541666666664</v>
      </c>
      <c r="B687" s="22">
        <v>557.54999999999995</v>
      </c>
      <c r="C687" s="22">
        <v>0</v>
      </c>
      <c r="D687" s="18">
        <f t="shared" si="110"/>
        <v>557.54999999999995</v>
      </c>
      <c r="E687" s="22">
        <v>0</v>
      </c>
      <c r="F687" s="18">
        <f t="shared" si="114"/>
        <v>0</v>
      </c>
      <c r="G687" s="18">
        <f t="shared" si="115"/>
        <v>0</v>
      </c>
      <c r="H687" s="22">
        <v>114.88</v>
      </c>
      <c r="I687" s="18">
        <f t="shared" si="116"/>
        <v>114.88</v>
      </c>
      <c r="J687" s="18">
        <f t="shared" si="117"/>
        <v>0</v>
      </c>
      <c r="K687" s="22">
        <v>41.44</v>
      </c>
      <c r="L687" s="18">
        <f t="shared" si="118"/>
        <v>41.44</v>
      </c>
      <c r="M687" s="18">
        <f t="shared" si="119"/>
        <v>0</v>
      </c>
      <c r="N687" s="15">
        <f t="shared" si="120"/>
        <v>156.32</v>
      </c>
      <c r="O687" s="15">
        <f t="shared" si="111"/>
        <v>156.32</v>
      </c>
      <c r="P687" s="15">
        <f t="shared" si="112"/>
        <v>0</v>
      </c>
      <c r="Q687" s="5">
        <f t="shared" si="113"/>
        <v>0</v>
      </c>
    </row>
    <row r="688" spans="1:17" x14ac:dyDescent="0.25">
      <c r="A688" s="7">
        <v>46294.583333333336</v>
      </c>
      <c r="B688" s="22">
        <v>252</v>
      </c>
      <c r="C688" s="22">
        <v>0.72000000000000008</v>
      </c>
      <c r="D688" s="18">
        <f t="shared" si="110"/>
        <v>252.72</v>
      </c>
      <c r="E688" s="22">
        <v>15.75</v>
      </c>
      <c r="F688" s="18">
        <f t="shared" si="114"/>
        <v>15.75</v>
      </c>
      <c r="G688" s="18">
        <f t="shared" si="115"/>
        <v>0</v>
      </c>
      <c r="H688" s="22">
        <v>136.47999999999999</v>
      </c>
      <c r="I688" s="18">
        <f t="shared" si="116"/>
        <v>136.47999999999999</v>
      </c>
      <c r="J688" s="18">
        <f t="shared" si="117"/>
        <v>0</v>
      </c>
      <c r="K688" s="22">
        <v>57.28</v>
      </c>
      <c r="L688" s="18">
        <f t="shared" si="118"/>
        <v>57.28</v>
      </c>
      <c r="M688" s="18">
        <f t="shared" si="119"/>
        <v>0</v>
      </c>
      <c r="N688" s="15">
        <f t="shared" si="120"/>
        <v>209.51</v>
      </c>
      <c r="O688" s="15">
        <f t="shared" si="111"/>
        <v>209.51</v>
      </c>
      <c r="P688" s="15">
        <f t="shared" si="112"/>
        <v>0</v>
      </c>
      <c r="Q688" s="5">
        <f t="shared" si="113"/>
        <v>0</v>
      </c>
    </row>
    <row r="689" spans="1:17" x14ac:dyDescent="0.25">
      <c r="A689" s="7">
        <v>46294.625</v>
      </c>
      <c r="B689" s="22">
        <v>661.5</v>
      </c>
      <c r="C689" s="22">
        <v>0</v>
      </c>
      <c r="D689" s="18">
        <f t="shared" si="110"/>
        <v>661.5</v>
      </c>
      <c r="E689" s="22">
        <v>182.7</v>
      </c>
      <c r="F689" s="18">
        <f t="shared" si="114"/>
        <v>182.7</v>
      </c>
      <c r="G689" s="18">
        <f t="shared" si="115"/>
        <v>0</v>
      </c>
      <c r="H689" s="22">
        <v>117.28</v>
      </c>
      <c r="I689" s="18">
        <f t="shared" si="116"/>
        <v>117.28</v>
      </c>
      <c r="J689" s="18">
        <f t="shared" si="117"/>
        <v>0</v>
      </c>
      <c r="K689" s="22">
        <v>32.800000000000004</v>
      </c>
      <c r="L689" s="18">
        <f t="shared" si="118"/>
        <v>32.800000000000004</v>
      </c>
      <c r="M689" s="18">
        <f t="shared" si="119"/>
        <v>0</v>
      </c>
      <c r="N689" s="15">
        <f t="shared" si="120"/>
        <v>332.78000000000003</v>
      </c>
      <c r="O689" s="15">
        <f t="shared" si="111"/>
        <v>332.78000000000003</v>
      </c>
      <c r="P689" s="15">
        <f t="shared" si="112"/>
        <v>0</v>
      </c>
      <c r="Q689" s="5">
        <f t="shared" si="113"/>
        <v>0</v>
      </c>
    </row>
    <row r="690" spans="1:17" x14ac:dyDescent="0.25">
      <c r="A690" s="7">
        <v>46294.666666666664</v>
      </c>
      <c r="B690" s="22">
        <v>456.75</v>
      </c>
      <c r="C690" s="22">
        <v>0</v>
      </c>
      <c r="D690" s="18">
        <f t="shared" si="110"/>
        <v>456.75</v>
      </c>
      <c r="E690" s="22">
        <v>182.7</v>
      </c>
      <c r="F690" s="18">
        <f t="shared" si="114"/>
        <v>182.7</v>
      </c>
      <c r="G690" s="18">
        <f t="shared" si="115"/>
        <v>0</v>
      </c>
      <c r="H690" s="22">
        <v>143.19999999999999</v>
      </c>
      <c r="I690" s="18">
        <f t="shared" si="116"/>
        <v>143.19999999999999</v>
      </c>
      <c r="J690" s="18">
        <f t="shared" si="117"/>
        <v>0</v>
      </c>
      <c r="K690" s="22">
        <v>52.12</v>
      </c>
      <c r="L690" s="18">
        <f t="shared" si="118"/>
        <v>52.12</v>
      </c>
      <c r="M690" s="18">
        <f t="shared" si="119"/>
        <v>0</v>
      </c>
      <c r="N690" s="15">
        <f t="shared" si="120"/>
        <v>378.02</v>
      </c>
      <c r="O690" s="15">
        <f t="shared" si="111"/>
        <v>378.02</v>
      </c>
      <c r="P690" s="15">
        <f t="shared" si="112"/>
        <v>0</v>
      </c>
      <c r="Q690" s="5">
        <f t="shared" si="113"/>
        <v>0</v>
      </c>
    </row>
    <row r="691" spans="1:17" x14ac:dyDescent="0.25">
      <c r="A691" s="7">
        <v>46294.708333333336</v>
      </c>
      <c r="B691" s="22">
        <v>0</v>
      </c>
      <c r="C691" s="22">
        <v>0</v>
      </c>
      <c r="D691" s="18">
        <f t="shared" si="110"/>
        <v>0</v>
      </c>
      <c r="E691" s="22">
        <v>702.45</v>
      </c>
      <c r="F691" s="18">
        <f t="shared" si="114"/>
        <v>0</v>
      </c>
      <c r="G691" s="18">
        <f t="shared" si="115"/>
        <v>702.45</v>
      </c>
      <c r="H691" s="22">
        <v>90.52000000000001</v>
      </c>
      <c r="I691" s="18">
        <f t="shared" si="116"/>
        <v>0</v>
      </c>
      <c r="J691" s="18">
        <f t="shared" si="117"/>
        <v>90.52000000000001</v>
      </c>
      <c r="K691" s="22">
        <v>25.457000000000001</v>
      </c>
      <c r="L691" s="18">
        <f t="shared" si="118"/>
        <v>0</v>
      </c>
      <c r="M691" s="18">
        <f t="shared" si="119"/>
        <v>25.457000000000001</v>
      </c>
      <c r="N691" s="15">
        <f t="shared" si="120"/>
        <v>818.42700000000002</v>
      </c>
      <c r="O691" s="15">
        <f t="shared" si="111"/>
        <v>0</v>
      </c>
      <c r="P691" s="15">
        <f t="shared" si="112"/>
        <v>818.42700000000002</v>
      </c>
      <c r="Q691" s="5">
        <f t="shared" si="113"/>
        <v>1</v>
      </c>
    </row>
    <row r="692" spans="1:17" x14ac:dyDescent="0.25">
      <c r="A692" s="7">
        <v>46294.75</v>
      </c>
      <c r="B692" s="22">
        <v>0</v>
      </c>
      <c r="C692" s="22">
        <v>0</v>
      </c>
      <c r="D692" s="18">
        <f t="shared" si="110"/>
        <v>0</v>
      </c>
      <c r="E692" s="22">
        <v>195.3</v>
      </c>
      <c r="F692" s="18">
        <f t="shared" si="114"/>
        <v>0</v>
      </c>
      <c r="G692" s="18">
        <f t="shared" si="115"/>
        <v>195.3</v>
      </c>
      <c r="H692" s="22">
        <v>46.6</v>
      </c>
      <c r="I692" s="18">
        <f t="shared" si="116"/>
        <v>0</v>
      </c>
      <c r="J692" s="18">
        <f t="shared" si="117"/>
        <v>46.6</v>
      </c>
      <c r="K692" s="22">
        <v>21.684999999999999</v>
      </c>
      <c r="L692" s="18">
        <f t="shared" si="118"/>
        <v>0</v>
      </c>
      <c r="M692" s="18">
        <f t="shared" si="119"/>
        <v>21.684999999999999</v>
      </c>
      <c r="N692" s="15">
        <f t="shared" si="120"/>
        <v>263.58499999999998</v>
      </c>
      <c r="O692" s="15">
        <f t="shared" si="111"/>
        <v>0</v>
      </c>
      <c r="P692" s="15">
        <f t="shared" si="112"/>
        <v>263.58499999999998</v>
      </c>
      <c r="Q692" s="5">
        <f t="shared" si="113"/>
        <v>1</v>
      </c>
    </row>
    <row r="693" spans="1:17" x14ac:dyDescent="0.25">
      <c r="A693" s="7">
        <v>46294.791666666664</v>
      </c>
      <c r="B693" s="22">
        <v>0</v>
      </c>
      <c r="C693" s="22">
        <v>0</v>
      </c>
      <c r="D693" s="18">
        <f t="shared" si="110"/>
        <v>0</v>
      </c>
      <c r="E693" s="22">
        <v>72.45</v>
      </c>
      <c r="F693" s="18">
        <f t="shared" si="114"/>
        <v>0</v>
      </c>
      <c r="G693" s="18">
        <f t="shared" si="115"/>
        <v>72.45</v>
      </c>
      <c r="H693" s="22">
        <v>44.44</v>
      </c>
      <c r="I693" s="18">
        <f t="shared" si="116"/>
        <v>0</v>
      </c>
      <c r="J693" s="18">
        <f t="shared" si="117"/>
        <v>44.44</v>
      </c>
      <c r="K693" s="22">
        <v>22.172000000000001</v>
      </c>
      <c r="L693" s="18">
        <f t="shared" si="118"/>
        <v>0</v>
      </c>
      <c r="M693" s="18">
        <f t="shared" si="119"/>
        <v>22.172000000000001</v>
      </c>
      <c r="N693" s="15">
        <f t="shared" si="120"/>
        <v>139.06200000000001</v>
      </c>
      <c r="O693" s="15">
        <f t="shared" si="111"/>
        <v>0</v>
      </c>
      <c r="P693" s="15">
        <f t="shared" si="112"/>
        <v>139.06200000000001</v>
      </c>
      <c r="Q693" s="5">
        <f t="shared" si="113"/>
        <v>1</v>
      </c>
    </row>
    <row r="694" spans="1:17" x14ac:dyDescent="0.25">
      <c r="A694" s="7">
        <v>46294.833333333336</v>
      </c>
      <c r="B694" s="22">
        <v>0</v>
      </c>
      <c r="C694" s="22">
        <v>0</v>
      </c>
      <c r="D694" s="18">
        <f t="shared" si="110"/>
        <v>0</v>
      </c>
      <c r="E694" s="22">
        <v>740.25</v>
      </c>
      <c r="F694" s="18">
        <f t="shared" si="114"/>
        <v>0</v>
      </c>
      <c r="G694" s="18">
        <f t="shared" si="115"/>
        <v>740.25</v>
      </c>
      <c r="H694" s="22">
        <v>38.68</v>
      </c>
      <c r="I694" s="18">
        <f t="shared" si="116"/>
        <v>0</v>
      </c>
      <c r="J694" s="18">
        <f t="shared" si="117"/>
        <v>38.68</v>
      </c>
      <c r="K694" s="22">
        <v>3.1890000000000001</v>
      </c>
      <c r="L694" s="18">
        <f t="shared" si="118"/>
        <v>0</v>
      </c>
      <c r="M694" s="18">
        <f t="shared" si="119"/>
        <v>3.1890000000000001</v>
      </c>
      <c r="N694" s="15">
        <f t="shared" si="120"/>
        <v>782.11899999999991</v>
      </c>
      <c r="O694" s="15">
        <f t="shared" si="111"/>
        <v>0</v>
      </c>
      <c r="P694" s="15">
        <f t="shared" si="112"/>
        <v>782.11899999999991</v>
      </c>
      <c r="Q694" s="5">
        <f t="shared" si="113"/>
        <v>1</v>
      </c>
    </row>
    <row r="695" spans="1:17" x14ac:dyDescent="0.25">
      <c r="A695" s="7">
        <v>46294.875</v>
      </c>
      <c r="B695" s="22">
        <v>0</v>
      </c>
      <c r="C695" s="22">
        <v>0</v>
      </c>
      <c r="D695" s="18">
        <f t="shared" si="110"/>
        <v>0</v>
      </c>
      <c r="E695" s="22">
        <v>891.44999999999993</v>
      </c>
      <c r="F695" s="18">
        <f t="shared" si="114"/>
        <v>0</v>
      </c>
      <c r="G695" s="18">
        <f t="shared" si="115"/>
        <v>891.44999999999993</v>
      </c>
      <c r="H695" s="22">
        <v>37.72</v>
      </c>
      <c r="I695" s="18">
        <f t="shared" si="116"/>
        <v>0</v>
      </c>
      <c r="J695" s="18">
        <f t="shared" si="117"/>
        <v>37.72</v>
      </c>
      <c r="K695" s="22">
        <v>3.1890000000000001</v>
      </c>
      <c r="L695" s="18">
        <f t="shared" si="118"/>
        <v>0</v>
      </c>
      <c r="M695" s="18">
        <f t="shared" si="119"/>
        <v>3.1890000000000001</v>
      </c>
      <c r="N695" s="15">
        <f t="shared" si="120"/>
        <v>932.35899999999992</v>
      </c>
      <c r="O695" s="15">
        <f t="shared" si="111"/>
        <v>0</v>
      </c>
      <c r="P695" s="15">
        <f t="shared" si="112"/>
        <v>932.35899999999992</v>
      </c>
      <c r="Q695" s="5">
        <f t="shared" si="113"/>
        <v>1</v>
      </c>
    </row>
    <row r="696" spans="1:17" x14ac:dyDescent="0.25">
      <c r="A696" s="7">
        <v>46294.916666666664</v>
      </c>
      <c r="B696" s="22">
        <v>0</v>
      </c>
      <c r="C696" s="22">
        <v>0</v>
      </c>
      <c r="D696" s="18">
        <f t="shared" si="110"/>
        <v>0</v>
      </c>
      <c r="E696" s="22">
        <v>856.8</v>
      </c>
      <c r="F696" s="18">
        <f t="shared" si="114"/>
        <v>0</v>
      </c>
      <c r="G696" s="18">
        <f t="shared" si="115"/>
        <v>856.8</v>
      </c>
      <c r="H696" s="22">
        <v>37.36</v>
      </c>
      <c r="I696" s="18">
        <f t="shared" si="116"/>
        <v>0</v>
      </c>
      <c r="J696" s="18">
        <f t="shared" si="117"/>
        <v>37.36</v>
      </c>
      <c r="K696" s="22">
        <v>3.8800000000000003</v>
      </c>
      <c r="L696" s="18">
        <f t="shared" si="118"/>
        <v>0</v>
      </c>
      <c r="M696" s="18">
        <f t="shared" si="119"/>
        <v>3.8800000000000003</v>
      </c>
      <c r="N696" s="15">
        <f t="shared" si="120"/>
        <v>898.04</v>
      </c>
      <c r="O696" s="15">
        <f t="shared" si="111"/>
        <v>0</v>
      </c>
      <c r="P696" s="15">
        <f t="shared" si="112"/>
        <v>898.04</v>
      </c>
      <c r="Q696" s="5">
        <f t="shared" si="113"/>
        <v>1</v>
      </c>
    </row>
    <row r="697" spans="1:17" x14ac:dyDescent="0.25">
      <c r="A697" s="7">
        <v>46294.958333333336</v>
      </c>
      <c r="B697" s="22">
        <v>0</v>
      </c>
      <c r="C697" s="22">
        <v>0</v>
      </c>
      <c r="D697" s="18">
        <f t="shared" si="110"/>
        <v>0</v>
      </c>
      <c r="E697" s="22">
        <v>856.8</v>
      </c>
      <c r="F697" s="18">
        <f t="shared" si="114"/>
        <v>0</v>
      </c>
      <c r="G697" s="18">
        <f t="shared" si="115"/>
        <v>856.8</v>
      </c>
      <c r="H697" s="22">
        <v>37.6</v>
      </c>
      <c r="I697" s="18">
        <f t="shared" si="116"/>
        <v>0</v>
      </c>
      <c r="J697" s="18">
        <f t="shared" si="117"/>
        <v>37.6</v>
      </c>
      <c r="K697" s="22">
        <v>4.84</v>
      </c>
      <c r="L697" s="18">
        <f t="shared" si="118"/>
        <v>0</v>
      </c>
      <c r="M697" s="18">
        <f t="shared" si="119"/>
        <v>4.84</v>
      </c>
      <c r="N697" s="15">
        <f t="shared" si="120"/>
        <v>899.24</v>
      </c>
      <c r="O697" s="15">
        <f t="shared" si="111"/>
        <v>0</v>
      </c>
      <c r="P697" s="15">
        <f t="shared" si="112"/>
        <v>899.24</v>
      </c>
      <c r="Q697" s="5">
        <f t="shared" si="113"/>
        <v>1</v>
      </c>
    </row>
    <row r="698" spans="1:17" x14ac:dyDescent="0.25">
      <c r="A698" s="7">
        <v>46295</v>
      </c>
      <c r="B698" s="22">
        <v>0</v>
      </c>
      <c r="C698" s="22">
        <v>0</v>
      </c>
      <c r="D698" s="18">
        <f t="shared" si="110"/>
        <v>0</v>
      </c>
      <c r="E698" s="22">
        <v>844.19999999999993</v>
      </c>
      <c r="F698" s="18">
        <f t="shared" si="114"/>
        <v>0</v>
      </c>
      <c r="G698" s="18">
        <f t="shared" si="115"/>
        <v>844.19999999999993</v>
      </c>
      <c r="H698" s="22">
        <v>38.32</v>
      </c>
      <c r="I698" s="18">
        <f t="shared" si="116"/>
        <v>0</v>
      </c>
      <c r="J698" s="18">
        <f t="shared" si="117"/>
        <v>38.32</v>
      </c>
      <c r="K698" s="22">
        <v>4.84</v>
      </c>
      <c r="L698" s="18">
        <f t="shared" si="118"/>
        <v>0</v>
      </c>
      <c r="M698" s="18">
        <f t="shared" si="119"/>
        <v>4.84</v>
      </c>
      <c r="N698" s="15">
        <f t="shared" si="120"/>
        <v>887.36</v>
      </c>
      <c r="O698" s="15">
        <f t="shared" si="111"/>
        <v>0</v>
      </c>
      <c r="P698" s="15">
        <f t="shared" si="112"/>
        <v>887.36</v>
      </c>
      <c r="Q698" s="5">
        <f t="shared" si="113"/>
        <v>1</v>
      </c>
    </row>
    <row r="699" spans="1:17" x14ac:dyDescent="0.25">
      <c r="A699" s="7">
        <v>46295.041666666664</v>
      </c>
      <c r="B699" s="22">
        <v>0</v>
      </c>
      <c r="C699" s="22">
        <v>0</v>
      </c>
      <c r="D699" s="18">
        <f t="shared" si="110"/>
        <v>0</v>
      </c>
      <c r="E699" s="22">
        <v>69.3</v>
      </c>
      <c r="F699" s="18">
        <f t="shared" si="114"/>
        <v>0</v>
      </c>
      <c r="G699" s="18">
        <f t="shared" si="115"/>
        <v>69.3</v>
      </c>
      <c r="H699" s="22">
        <v>37.24</v>
      </c>
      <c r="I699" s="18">
        <f t="shared" si="116"/>
        <v>0</v>
      </c>
      <c r="J699" s="18">
        <f t="shared" si="117"/>
        <v>37.24</v>
      </c>
      <c r="K699" s="22">
        <v>4.7200000000000006</v>
      </c>
      <c r="L699" s="18">
        <f t="shared" si="118"/>
        <v>0</v>
      </c>
      <c r="M699" s="18">
        <f t="shared" si="119"/>
        <v>4.7200000000000006</v>
      </c>
      <c r="N699" s="15">
        <f t="shared" si="120"/>
        <v>111.25999999999999</v>
      </c>
      <c r="O699" s="15">
        <f t="shared" si="111"/>
        <v>0</v>
      </c>
      <c r="P699" s="15">
        <f t="shared" si="112"/>
        <v>111.25999999999999</v>
      </c>
      <c r="Q699" s="5">
        <f t="shared" si="113"/>
        <v>1</v>
      </c>
    </row>
    <row r="700" spans="1:17" x14ac:dyDescent="0.25">
      <c r="A700" s="7">
        <v>46295.083333333336</v>
      </c>
      <c r="B700" s="22">
        <v>0</v>
      </c>
      <c r="C700" s="22">
        <v>0</v>
      </c>
      <c r="D700" s="18">
        <f t="shared" si="110"/>
        <v>0</v>
      </c>
      <c r="E700" s="22">
        <v>863.1</v>
      </c>
      <c r="F700" s="18">
        <f t="shared" si="114"/>
        <v>0</v>
      </c>
      <c r="G700" s="18">
        <f t="shared" si="115"/>
        <v>863.1</v>
      </c>
      <c r="H700" s="22">
        <v>35.56</v>
      </c>
      <c r="I700" s="18">
        <f t="shared" si="116"/>
        <v>0</v>
      </c>
      <c r="J700" s="18">
        <f t="shared" si="117"/>
        <v>35.56</v>
      </c>
      <c r="K700" s="22">
        <v>5.92</v>
      </c>
      <c r="L700" s="18">
        <f t="shared" si="118"/>
        <v>0</v>
      </c>
      <c r="M700" s="18">
        <f t="shared" si="119"/>
        <v>5.92</v>
      </c>
      <c r="N700" s="15">
        <f t="shared" si="120"/>
        <v>904.58</v>
      </c>
      <c r="O700" s="15">
        <f t="shared" si="111"/>
        <v>0</v>
      </c>
      <c r="P700" s="15">
        <f t="shared" si="112"/>
        <v>904.58</v>
      </c>
      <c r="Q700" s="5">
        <f t="shared" si="113"/>
        <v>1</v>
      </c>
    </row>
    <row r="701" spans="1:17" x14ac:dyDescent="0.25">
      <c r="A701" s="7">
        <v>46295.125</v>
      </c>
      <c r="B701" s="22">
        <v>0</v>
      </c>
      <c r="C701" s="22">
        <v>0</v>
      </c>
      <c r="D701" s="18">
        <f t="shared" si="110"/>
        <v>0</v>
      </c>
      <c r="E701" s="22">
        <v>834.75</v>
      </c>
      <c r="F701" s="18">
        <f t="shared" si="114"/>
        <v>0</v>
      </c>
      <c r="G701" s="18">
        <f t="shared" si="115"/>
        <v>834.75</v>
      </c>
      <c r="H701" s="22">
        <v>35.56</v>
      </c>
      <c r="I701" s="18">
        <f t="shared" si="116"/>
        <v>0</v>
      </c>
      <c r="J701" s="18">
        <f t="shared" si="117"/>
        <v>35.56</v>
      </c>
      <c r="K701" s="22">
        <v>4.96</v>
      </c>
      <c r="L701" s="18">
        <f t="shared" si="118"/>
        <v>0</v>
      </c>
      <c r="M701" s="18">
        <f t="shared" si="119"/>
        <v>4.96</v>
      </c>
      <c r="N701" s="15">
        <f t="shared" si="120"/>
        <v>875.27</v>
      </c>
      <c r="O701" s="15">
        <f t="shared" si="111"/>
        <v>0</v>
      </c>
      <c r="P701" s="15">
        <f t="shared" si="112"/>
        <v>875.27</v>
      </c>
      <c r="Q701" s="5">
        <f t="shared" si="113"/>
        <v>1</v>
      </c>
    </row>
    <row r="702" spans="1:17" x14ac:dyDescent="0.25">
      <c r="A702" s="7">
        <v>46295.166666666664</v>
      </c>
      <c r="B702" s="22">
        <v>0</v>
      </c>
      <c r="C702" s="22">
        <v>0</v>
      </c>
      <c r="D702" s="18">
        <f t="shared" si="110"/>
        <v>0</v>
      </c>
      <c r="E702" s="22">
        <v>875.7</v>
      </c>
      <c r="F702" s="18">
        <f t="shared" si="114"/>
        <v>0</v>
      </c>
      <c r="G702" s="18">
        <f t="shared" si="115"/>
        <v>875.7</v>
      </c>
      <c r="H702" s="22">
        <v>38.080000000000005</v>
      </c>
      <c r="I702" s="18">
        <f t="shared" si="116"/>
        <v>0</v>
      </c>
      <c r="J702" s="18">
        <f t="shared" si="117"/>
        <v>38.080000000000005</v>
      </c>
      <c r="K702" s="22">
        <v>4.84</v>
      </c>
      <c r="L702" s="18">
        <f t="shared" si="118"/>
        <v>0</v>
      </c>
      <c r="M702" s="18">
        <f t="shared" si="119"/>
        <v>4.84</v>
      </c>
      <c r="N702" s="15">
        <f t="shared" si="120"/>
        <v>918.62000000000012</v>
      </c>
      <c r="O702" s="15">
        <f t="shared" si="111"/>
        <v>0</v>
      </c>
      <c r="P702" s="15">
        <f t="shared" si="112"/>
        <v>918.62000000000012</v>
      </c>
      <c r="Q702" s="5">
        <f t="shared" si="113"/>
        <v>1</v>
      </c>
    </row>
    <row r="703" spans="1:17" x14ac:dyDescent="0.25">
      <c r="A703" s="7">
        <v>46295.208333333336</v>
      </c>
      <c r="B703" s="22">
        <v>0</v>
      </c>
      <c r="C703" s="22">
        <v>0</v>
      </c>
      <c r="D703" s="18">
        <f t="shared" si="110"/>
        <v>0</v>
      </c>
      <c r="E703" s="22">
        <v>828.45</v>
      </c>
      <c r="F703" s="18">
        <f t="shared" si="114"/>
        <v>0</v>
      </c>
      <c r="G703" s="18">
        <f t="shared" si="115"/>
        <v>828.45</v>
      </c>
      <c r="H703" s="22">
        <v>41.8</v>
      </c>
      <c r="I703" s="18">
        <f t="shared" si="116"/>
        <v>0</v>
      </c>
      <c r="J703" s="18">
        <f t="shared" si="117"/>
        <v>41.8</v>
      </c>
      <c r="K703" s="22">
        <v>4.84</v>
      </c>
      <c r="L703" s="18">
        <f t="shared" si="118"/>
        <v>0</v>
      </c>
      <c r="M703" s="18">
        <f t="shared" si="119"/>
        <v>4.84</v>
      </c>
      <c r="N703" s="15">
        <f t="shared" si="120"/>
        <v>875.09</v>
      </c>
      <c r="O703" s="15">
        <f t="shared" si="111"/>
        <v>0</v>
      </c>
      <c r="P703" s="15">
        <f t="shared" si="112"/>
        <v>875.09</v>
      </c>
      <c r="Q703" s="5">
        <f t="shared" si="113"/>
        <v>1</v>
      </c>
    </row>
    <row r="704" spans="1:17" x14ac:dyDescent="0.25">
      <c r="A704" s="7">
        <v>46295.25</v>
      </c>
      <c r="B704" s="22">
        <v>3.15</v>
      </c>
      <c r="C704" s="22">
        <v>0</v>
      </c>
      <c r="D704" s="18">
        <f t="shared" si="110"/>
        <v>3.15</v>
      </c>
      <c r="E704" s="22">
        <v>31.5</v>
      </c>
      <c r="F704" s="18">
        <f t="shared" si="114"/>
        <v>1.1709346235544054</v>
      </c>
      <c r="G704" s="18">
        <f t="shared" si="115"/>
        <v>30.329065376445595</v>
      </c>
      <c r="H704" s="22">
        <v>43.6</v>
      </c>
      <c r="I704" s="18">
        <f t="shared" si="116"/>
        <v>1.6207222091102196</v>
      </c>
      <c r="J704" s="18">
        <f t="shared" si="117"/>
        <v>41.979277790889782</v>
      </c>
      <c r="K704" s="22">
        <v>9.6399999999999988</v>
      </c>
      <c r="L704" s="18">
        <f t="shared" si="118"/>
        <v>0.35834316733537896</v>
      </c>
      <c r="M704" s="18">
        <f t="shared" si="119"/>
        <v>9.2816568326646198</v>
      </c>
      <c r="N704" s="15">
        <f t="shared" si="120"/>
        <v>84.74</v>
      </c>
      <c r="O704" s="15">
        <f t="shared" si="111"/>
        <v>3.1500000000000057</v>
      </c>
      <c r="P704" s="15">
        <f t="shared" si="112"/>
        <v>81.589999999999989</v>
      </c>
      <c r="Q704" s="5">
        <f t="shared" si="113"/>
        <v>0.96282747226811416</v>
      </c>
    </row>
    <row r="705" spans="1:17" x14ac:dyDescent="0.25">
      <c r="A705" s="7">
        <v>46295.291666666664</v>
      </c>
      <c r="B705" s="22">
        <v>135.44999999999999</v>
      </c>
      <c r="C705" s="22">
        <v>0</v>
      </c>
      <c r="D705" s="18">
        <f t="shared" si="110"/>
        <v>135.44999999999999</v>
      </c>
      <c r="E705" s="22">
        <v>0</v>
      </c>
      <c r="F705" s="18">
        <f t="shared" si="114"/>
        <v>0</v>
      </c>
      <c r="G705" s="18">
        <f t="shared" si="115"/>
        <v>0</v>
      </c>
      <c r="H705" s="22">
        <v>60.400000000000006</v>
      </c>
      <c r="I705" s="18">
        <f t="shared" si="116"/>
        <v>60.400000000000006</v>
      </c>
      <c r="J705" s="18">
        <f t="shared" si="117"/>
        <v>0</v>
      </c>
      <c r="K705" s="22">
        <v>12.28</v>
      </c>
      <c r="L705" s="18">
        <f t="shared" si="118"/>
        <v>12.28</v>
      </c>
      <c r="M705" s="18">
        <f t="shared" si="119"/>
        <v>0</v>
      </c>
      <c r="N705" s="15">
        <f t="shared" si="120"/>
        <v>72.680000000000007</v>
      </c>
      <c r="O705" s="15">
        <f t="shared" si="111"/>
        <v>72.680000000000007</v>
      </c>
      <c r="P705" s="15">
        <f t="shared" si="112"/>
        <v>0</v>
      </c>
      <c r="Q705" s="5">
        <f t="shared" si="113"/>
        <v>0</v>
      </c>
    </row>
    <row r="706" spans="1:17" x14ac:dyDescent="0.25">
      <c r="A706" s="7">
        <v>46295.333333333336</v>
      </c>
      <c r="B706" s="22">
        <v>431.55</v>
      </c>
      <c r="C706" s="22">
        <v>0</v>
      </c>
      <c r="D706" s="18">
        <f t="shared" ref="D706:D745" si="121">+B706+C706</f>
        <v>431.55</v>
      </c>
      <c r="E706" s="22">
        <v>6.3</v>
      </c>
      <c r="F706" s="18">
        <f t="shared" si="114"/>
        <v>6.3</v>
      </c>
      <c r="G706" s="18">
        <f t="shared" si="115"/>
        <v>0</v>
      </c>
      <c r="H706" s="22">
        <v>174.16</v>
      </c>
      <c r="I706" s="18">
        <f t="shared" si="116"/>
        <v>174.16</v>
      </c>
      <c r="J706" s="18">
        <f t="shared" si="117"/>
        <v>0</v>
      </c>
      <c r="K706" s="22">
        <v>10</v>
      </c>
      <c r="L706" s="18">
        <f t="shared" si="118"/>
        <v>10</v>
      </c>
      <c r="M706" s="18">
        <f t="shared" si="119"/>
        <v>0</v>
      </c>
      <c r="N706" s="15">
        <f t="shared" si="120"/>
        <v>190.46</v>
      </c>
      <c r="O706" s="15">
        <f t="shared" ref="O706:O745" si="122">+N706-P706</f>
        <v>190.46</v>
      </c>
      <c r="P706" s="15">
        <f t="shared" ref="P706:P745" si="123">+IF(N706&gt;D706,N706-D706,0)</f>
        <v>0</v>
      </c>
      <c r="Q706" s="5">
        <f t="shared" ref="Q706:Q745" si="124">+IF(P706=0,P706,P706/N706)</f>
        <v>0</v>
      </c>
    </row>
    <row r="707" spans="1:17" x14ac:dyDescent="0.25">
      <c r="A707" s="7">
        <v>46295.375</v>
      </c>
      <c r="B707" s="22">
        <v>1168.6499999999999</v>
      </c>
      <c r="C707" s="22">
        <v>0</v>
      </c>
      <c r="D707" s="18">
        <f t="shared" si="121"/>
        <v>1168.6499999999999</v>
      </c>
      <c r="E707" s="22">
        <v>0</v>
      </c>
      <c r="F707" s="18">
        <f t="shared" ref="F707:F745" si="125">+E707-G707</f>
        <v>0</v>
      </c>
      <c r="G707" s="18">
        <f t="shared" ref="G707:G745" si="126">+E707*Q707</f>
        <v>0</v>
      </c>
      <c r="H707" s="22">
        <v>79.600000000000009</v>
      </c>
      <c r="I707" s="18">
        <f t="shared" ref="I707:I745" si="127">+H707-J707</f>
        <v>79.600000000000009</v>
      </c>
      <c r="J707" s="18">
        <f t="shared" ref="J707:J745" si="128">+H707*Q707</f>
        <v>0</v>
      </c>
      <c r="K707" s="22">
        <v>60.519999999999996</v>
      </c>
      <c r="L707" s="18">
        <f t="shared" ref="L707:L745" si="129">+K707-M707</f>
        <v>60.519999999999996</v>
      </c>
      <c r="M707" s="18">
        <f t="shared" ref="M707:M745" si="130">+K707*Q707</f>
        <v>0</v>
      </c>
      <c r="N707" s="15">
        <f t="shared" ref="N707:N745" si="131">+E707+H707+K707</f>
        <v>140.12</v>
      </c>
      <c r="O707" s="15">
        <f t="shared" si="122"/>
        <v>140.12</v>
      </c>
      <c r="P707" s="15">
        <f t="shared" si="123"/>
        <v>0</v>
      </c>
      <c r="Q707" s="5">
        <f t="shared" si="124"/>
        <v>0</v>
      </c>
    </row>
    <row r="708" spans="1:17" x14ac:dyDescent="0.25">
      <c r="A708" s="7">
        <v>46295.416666666664</v>
      </c>
      <c r="B708" s="22">
        <v>1609.65</v>
      </c>
      <c r="C708" s="22">
        <v>3.72</v>
      </c>
      <c r="D708" s="18">
        <f t="shared" si="121"/>
        <v>1613.3700000000001</v>
      </c>
      <c r="E708" s="22">
        <v>0</v>
      </c>
      <c r="F708" s="18">
        <f t="shared" si="125"/>
        <v>0</v>
      </c>
      <c r="G708" s="18">
        <f t="shared" si="126"/>
        <v>0</v>
      </c>
      <c r="H708" s="22">
        <v>55.120000000000005</v>
      </c>
      <c r="I708" s="18">
        <f t="shared" si="127"/>
        <v>55.120000000000005</v>
      </c>
      <c r="J708" s="18">
        <f t="shared" si="128"/>
        <v>0</v>
      </c>
      <c r="K708" s="22">
        <v>45.64</v>
      </c>
      <c r="L708" s="18">
        <f t="shared" si="129"/>
        <v>45.64</v>
      </c>
      <c r="M708" s="18">
        <f t="shared" si="130"/>
        <v>0</v>
      </c>
      <c r="N708" s="15">
        <f t="shared" si="131"/>
        <v>100.76</v>
      </c>
      <c r="O708" s="15">
        <f t="shared" si="122"/>
        <v>100.76</v>
      </c>
      <c r="P708" s="15">
        <f t="shared" si="123"/>
        <v>0</v>
      </c>
      <c r="Q708" s="5">
        <f t="shared" si="124"/>
        <v>0</v>
      </c>
    </row>
    <row r="709" spans="1:17" x14ac:dyDescent="0.25">
      <c r="A709" s="7">
        <v>46295.458333333336</v>
      </c>
      <c r="B709" s="22">
        <v>1836.4499999999998</v>
      </c>
      <c r="C709" s="22">
        <v>9.84</v>
      </c>
      <c r="D709" s="18">
        <f t="shared" si="121"/>
        <v>1846.2899999999997</v>
      </c>
      <c r="E709" s="22">
        <v>0</v>
      </c>
      <c r="F709" s="18">
        <f t="shared" si="125"/>
        <v>0</v>
      </c>
      <c r="G709" s="18">
        <f t="shared" si="126"/>
        <v>0</v>
      </c>
      <c r="H709" s="22">
        <v>33.64</v>
      </c>
      <c r="I709" s="18">
        <f t="shared" si="127"/>
        <v>33.64</v>
      </c>
      <c r="J709" s="18">
        <f t="shared" si="128"/>
        <v>0</v>
      </c>
      <c r="K709" s="22">
        <v>42.76</v>
      </c>
      <c r="L709" s="18">
        <f t="shared" si="129"/>
        <v>42.76</v>
      </c>
      <c r="M709" s="18">
        <f t="shared" si="130"/>
        <v>0</v>
      </c>
      <c r="N709" s="15">
        <f t="shared" si="131"/>
        <v>76.400000000000006</v>
      </c>
      <c r="O709" s="15">
        <f t="shared" si="122"/>
        <v>76.400000000000006</v>
      </c>
      <c r="P709" s="15">
        <f t="shared" si="123"/>
        <v>0</v>
      </c>
      <c r="Q709" s="5">
        <f t="shared" si="124"/>
        <v>0</v>
      </c>
    </row>
    <row r="710" spans="1:17" x14ac:dyDescent="0.25">
      <c r="A710" s="7">
        <v>46295.5</v>
      </c>
      <c r="B710" s="22">
        <v>2245.9500000000003</v>
      </c>
      <c r="C710" s="22">
        <v>10.8</v>
      </c>
      <c r="D710" s="18">
        <f t="shared" si="121"/>
        <v>2256.7500000000005</v>
      </c>
      <c r="E710" s="22">
        <v>0</v>
      </c>
      <c r="F710" s="18">
        <f t="shared" si="125"/>
        <v>0</v>
      </c>
      <c r="G710" s="18">
        <f t="shared" si="126"/>
        <v>0</v>
      </c>
      <c r="H710" s="22">
        <v>22.72</v>
      </c>
      <c r="I710" s="18">
        <f t="shared" si="127"/>
        <v>22.72</v>
      </c>
      <c r="J710" s="18">
        <f t="shared" si="128"/>
        <v>0</v>
      </c>
      <c r="K710" s="22">
        <v>29.56</v>
      </c>
      <c r="L710" s="18">
        <f t="shared" si="129"/>
        <v>29.56</v>
      </c>
      <c r="M710" s="18">
        <f t="shared" si="130"/>
        <v>0</v>
      </c>
      <c r="N710" s="15">
        <f t="shared" si="131"/>
        <v>52.28</v>
      </c>
      <c r="O710" s="15">
        <f t="shared" si="122"/>
        <v>52.28</v>
      </c>
      <c r="P710" s="15">
        <f t="shared" si="123"/>
        <v>0</v>
      </c>
      <c r="Q710" s="5">
        <f t="shared" si="124"/>
        <v>0</v>
      </c>
    </row>
    <row r="711" spans="1:17" x14ac:dyDescent="0.25">
      <c r="A711" s="7">
        <v>46295.541666666664</v>
      </c>
      <c r="B711" s="22">
        <v>2579.85</v>
      </c>
      <c r="C711" s="22">
        <v>2.64</v>
      </c>
      <c r="D711" s="18">
        <f t="shared" si="121"/>
        <v>2582.4899999999998</v>
      </c>
      <c r="E711" s="22">
        <v>0</v>
      </c>
      <c r="F711" s="18">
        <f t="shared" si="125"/>
        <v>0</v>
      </c>
      <c r="G711" s="18">
        <f t="shared" si="126"/>
        <v>0</v>
      </c>
      <c r="H711" s="22">
        <v>39.519999999999996</v>
      </c>
      <c r="I711" s="18">
        <f t="shared" si="127"/>
        <v>39.519999999999996</v>
      </c>
      <c r="J711" s="18">
        <f t="shared" si="128"/>
        <v>0</v>
      </c>
      <c r="K711" s="22">
        <v>21.52</v>
      </c>
      <c r="L711" s="18">
        <f t="shared" si="129"/>
        <v>21.52</v>
      </c>
      <c r="M711" s="18">
        <f t="shared" si="130"/>
        <v>0</v>
      </c>
      <c r="N711" s="15">
        <f t="shared" si="131"/>
        <v>61.039999999999992</v>
      </c>
      <c r="O711" s="15">
        <f t="shared" si="122"/>
        <v>61.039999999999992</v>
      </c>
      <c r="P711" s="15">
        <f t="shared" si="123"/>
        <v>0</v>
      </c>
      <c r="Q711" s="5">
        <f t="shared" si="124"/>
        <v>0</v>
      </c>
    </row>
    <row r="712" spans="1:17" x14ac:dyDescent="0.25">
      <c r="A712" s="7">
        <v>46295.583333333336</v>
      </c>
      <c r="B712" s="22">
        <v>1864.8</v>
      </c>
      <c r="C712" s="22">
        <v>0.12000000000000001</v>
      </c>
      <c r="D712" s="18">
        <f t="shared" si="121"/>
        <v>1864.9199999999998</v>
      </c>
      <c r="E712" s="22">
        <v>0</v>
      </c>
      <c r="F712" s="18">
        <f t="shared" si="125"/>
        <v>0</v>
      </c>
      <c r="G712" s="18">
        <f t="shared" si="126"/>
        <v>0</v>
      </c>
      <c r="H712" s="22">
        <v>73.959999999999994</v>
      </c>
      <c r="I712" s="18">
        <f t="shared" si="127"/>
        <v>73.959999999999994</v>
      </c>
      <c r="J712" s="18">
        <f t="shared" si="128"/>
        <v>0</v>
      </c>
      <c r="K712" s="22">
        <v>28.6</v>
      </c>
      <c r="L712" s="18">
        <f t="shared" si="129"/>
        <v>28.6</v>
      </c>
      <c r="M712" s="18">
        <f t="shared" si="130"/>
        <v>0</v>
      </c>
      <c r="N712" s="15">
        <f t="shared" si="131"/>
        <v>102.56</v>
      </c>
      <c r="O712" s="15">
        <f t="shared" si="122"/>
        <v>102.56</v>
      </c>
      <c r="P712" s="15">
        <f t="shared" si="123"/>
        <v>0</v>
      </c>
      <c r="Q712" s="5">
        <f t="shared" si="124"/>
        <v>0</v>
      </c>
    </row>
    <row r="713" spans="1:17" x14ac:dyDescent="0.25">
      <c r="A713" s="7">
        <v>46295.625</v>
      </c>
      <c r="B713" s="22">
        <v>1156.05</v>
      </c>
      <c r="C713" s="22">
        <v>0</v>
      </c>
      <c r="D713" s="18">
        <f t="shared" si="121"/>
        <v>1156.05</v>
      </c>
      <c r="E713" s="22">
        <v>0</v>
      </c>
      <c r="F713" s="18">
        <f t="shared" si="125"/>
        <v>0</v>
      </c>
      <c r="G713" s="18">
        <f t="shared" si="126"/>
        <v>0</v>
      </c>
      <c r="H713" s="22">
        <v>97.600000000000009</v>
      </c>
      <c r="I713" s="18">
        <f t="shared" si="127"/>
        <v>97.600000000000009</v>
      </c>
      <c r="J713" s="18">
        <f t="shared" si="128"/>
        <v>0</v>
      </c>
      <c r="K713" s="22">
        <v>45.400000000000006</v>
      </c>
      <c r="L713" s="18">
        <f t="shared" si="129"/>
        <v>45.400000000000006</v>
      </c>
      <c r="M713" s="18">
        <f t="shared" si="130"/>
        <v>0</v>
      </c>
      <c r="N713" s="15">
        <f t="shared" si="131"/>
        <v>143</v>
      </c>
      <c r="O713" s="15">
        <f t="shared" si="122"/>
        <v>143</v>
      </c>
      <c r="P713" s="15">
        <f t="shared" si="123"/>
        <v>0</v>
      </c>
      <c r="Q713" s="5">
        <f t="shared" si="124"/>
        <v>0</v>
      </c>
    </row>
    <row r="714" spans="1:17" x14ac:dyDescent="0.25">
      <c r="A714" s="7">
        <v>46295.666666666664</v>
      </c>
      <c r="B714" s="22">
        <v>459.9</v>
      </c>
      <c r="C714" s="22">
        <v>0</v>
      </c>
      <c r="D714" s="18">
        <f t="shared" si="121"/>
        <v>459.9</v>
      </c>
      <c r="E714" s="22">
        <v>0</v>
      </c>
      <c r="F714" s="18">
        <f t="shared" si="125"/>
        <v>0</v>
      </c>
      <c r="G714" s="18">
        <f t="shared" si="126"/>
        <v>0</v>
      </c>
      <c r="H714" s="22">
        <v>124.36</v>
      </c>
      <c r="I714" s="18">
        <f t="shared" si="127"/>
        <v>124.36</v>
      </c>
      <c r="J714" s="18">
        <f t="shared" si="128"/>
        <v>0</v>
      </c>
      <c r="K714" s="22">
        <v>57.52</v>
      </c>
      <c r="L714" s="18">
        <f t="shared" si="129"/>
        <v>57.52</v>
      </c>
      <c r="M714" s="18">
        <f t="shared" si="130"/>
        <v>0</v>
      </c>
      <c r="N714" s="15">
        <f t="shared" si="131"/>
        <v>181.88</v>
      </c>
      <c r="O714" s="15">
        <f t="shared" si="122"/>
        <v>181.88</v>
      </c>
      <c r="P714" s="15">
        <f t="shared" si="123"/>
        <v>0</v>
      </c>
      <c r="Q714" s="5">
        <f t="shared" si="124"/>
        <v>0</v>
      </c>
    </row>
    <row r="715" spans="1:17" x14ac:dyDescent="0.25">
      <c r="A715" s="7">
        <v>46295.708333333336</v>
      </c>
      <c r="B715" s="22">
        <v>3.15</v>
      </c>
      <c r="C715" s="22">
        <v>0</v>
      </c>
      <c r="D715" s="18">
        <f t="shared" si="121"/>
        <v>3.15</v>
      </c>
      <c r="E715" s="22">
        <v>330.75</v>
      </c>
      <c r="F715" s="18">
        <f t="shared" si="125"/>
        <v>2.2633390612203357</v>
      </c>
      <c r="G715" s="18">
        <f t="shared" si="126"/>
        <v>328.48666093877966</v>
      </c>
      <c r="H715" s="22">
        <v>93.039999999999992</v>
      </c>
      <c r="I715" s="18">
        <f t="shared" si="127"/>
        <v>0.63667744899754553</v>
      </c>
      <c r="J715" s="18">
        <f t="shared" si="128"/>
        <v>92.403322551002447</v>
      </c>
      <c r="K715" s="22">
        <v>36.530999999999999</v>
      </c>
      <c r="L715" s="18">
        <f t="shared" si="129"/>
        <v>0.24998348978213158</v>
      </c>
      <c r="M715" s="18">
        <f t="shared" si="130"/>
        <v>36.281016510217867</v>
      </c>
      <c r="N715" s="15">
        <f t="shared" si="131"/>
        <v>460.32099999999997</v>
      </c>
      <c r="O715" s="15">
        <f t="shared" si="122"/>
        <v>3.1499999999999773</v>
      </c>
      <c r="P715" s="15">
        <f t="shared" si="123"/>
        <v>457.17099999999999</v>
      </c>
      <c r="Q715" s="5">
        <f t="shared" si="124"/>
        <v>0.99315694917242536</v>
      </c>
    </row>
    <row r="716" spans="1:17" x14ac:dyDescent="0.25">
      <c r="A716" s="7">
        <v>46295.75</v>
      </c>
      <c r="B716" s="22">
        <v>0</v>
      </c>
      <c r="C716" s="22">
        <v>0</v>
      </c>
      <c r="D716" s="18">
        <f t="shared" si="121"/>
        <v>0</v>
      </c>
      <c r="E716" s="22">
        <v>252</v>
      </c>
      <c r="F716" s="18">
        <f t="shared" si="125"/>
        <v>0</v>
      </c>
      <c r="G716" s="18">
        <f t="shared" si="126"/>
        <v>252</v>
      </c>
      <c r="H716" s="22">
        <v>44.08</v>
      </c>
      <c r="I716" s="18">
        <f t="shared" si="127"/>
        <v>0</v>
      </c>
      <c r="J716" s="18">
        <f t="shared" si="128"/>
        <v>44.08</v>
      </c>
      <c r="K716" s="22">
        <v>9.0299999999999994</v>
      </c>
      <c r="L716" s="18">
        <f t="shared" si="129"/>
        <v>0</v>
      </c>
      <c r="M716" s="18">
        <f t="shared" si="130"/>
        <v>9.0299999999999994</v>
      </c>
      <c r="N716" s="15">
        <f t="shared" si="131"/>
        <v>305.10999999999996</v>
      </c>
      <c r="O716" s="15">
        <f t="shared" si="122"/>
        <v>0</v>
      </c>
      <c r="P716" s="15">
        <f t="shared" si="123"/>
        <v>305.10999999999996</v>
      </c>
      <c r="Q716" s="5">
        <f t="shared" si="124"/>
        <v>1</v>
      </c>
    </row>
    <row r="717" spans="1:17" x14ac:dyDescent="0.25">
      <c r="A717" s="7">
        <v>46295.791666666664</v>
      </c>
      <c r="B717" s="22">
        <v>0</v>
      </c>
      <c r="C717" s="22">
        <v>0</v>
      </c>
      <c r="D717" s="18">
        <f t="shared" si="121"/>
        <v>0</v>
      </c>
      <c r="E717" s="22">
        <v>75.599999999999994</v>
      </c>
      <c r="F717" s="18">
        <f t="shared" si="125"/>
        <v>0</v>
      </c>
      <c r="G717" s="18">
        <f t="shared" si="126"/>
        <v>75.599999999999994</v>
      </c>
      <c r="H717" s="22">
        <v>44.68</v>
      </c>
      <c r="I717" s="18">
        <f t="shared" si="127"/>
        <v>0</v>
      </c>
      <c r="J717" s="18">
        <f t="shared" si="128"/>
        <v>44.68</v>
      </c>
      <c r="K717" s="22">
        <v>1.1199999999999999</v>
      </c>
      <c r="L717" s="18">
        <f t="shared" si="129"/>
        <v>0</v>
      </c>
      <c r="M717" s="18">
        <f t="shared" si="130"/>
        <v>1.1199999999999999</v>
      </c>
      <c r="N717" s="15">
        <f t="shared" si="131"/>
        <v>121.4</v>
      </c>
      <c r="O717" s="15">
        <f t="shared" si="122"/>
        <v>0</v>
      </c>
      <c r="P717" s="15">
        <f t="shared" si="123"/>
        <v>121.4</v>
      </c>
      <c r="Q717" s="5">
        <f t="shared" si="124"/>
        <v>1</v>
      </c>
    </row>
    <row r="718" spans="1:17" x14ac:dyDescent="0.25">
      <c r="A718" s="7">
        <v>46295.833333333336</v>
      </c>
      <c r="B718" s="22">
        <v>0</v>
      </c>
      <c r="C718" s="22">
        <v>0</v>
      </c>
      <c r="D718" s="18">
        <f t="shared" si="121"/>
        <v>0</v>
      </c>
      <c r="E718" s="22">
        <v>888.3</v>
      </c>
      <c r="F718" s="18">
        <f t="shared" si="125"/>
        <v>0</v>
      </c>
      <c r="G718" s="18">
        <f t="shared" si="126"/>
        <v>888.3</v>
      </c>
      <c r="H718" s="22">
        <v>37.6</v>
      </c>
      <c r="I718" s="18">
        <f t="shared" si="127"/>
        <v>0</v>
      </c>
      <c r="J718" s="18">
        <f t="shared" si="128"/>
        <v>37.6</v>
      </c>
      <c r="K718" s="22">
        <v>1.1199999999999999</v>
      </c>
      <c r="L718" s="18">
        <f t="shared" si="129"/>
        <v>0</v>
      </c>
      <c r="M718" s="18">
        <f t="shared" si="130"/>
        <v>1.1199999999999999</v>
      </c>
      <c r="N718" s="15">
        <f t="shared" si="131"/>
        <v>927.02</v>
      </c>
      <c r="O718" s="15">
        <f t="shared" si="122"/>
        <v>0</v>
      </c>
      <c r="P718" s="15">
        <f t="shared" si="123"/>
        <v>927.02</v>
      </c>
      <c r="Q718" s="5">
        <f t="shared" si="124"/>
        <v>1</v>
      </c>
    </row>
    <row r="719" spans="1:17" x14ac:dyDescent="0.25">
      <c r="A719" s="7">
        <v>46295.875</v>
      </c>
      <c r="B719" s="22">
        <v>0</v>
      </c>
      <c r="C719" s="22">
        <v>0</v>
      </c>
      <c r="D719" s="18">
        <f t="shared" si="121"/>
        <v>0</v>
      </c>
      <c r="E719" s="22">
        <v>891.44999999999993</v>
      </c>
      <c r="F719" s="18">
        <f t="shared" si="125"/>
        <v>0</v>
      </c>
      <c r="G719" s="18">
        <f t="shared" si="126"/>
        <v>891.44999999999993</v>
      </c>
      <c r="H719" s="22">
        <v>36.519999999999996</v>
      </c>
      <c r="I719" s="18">
        <f t="shared" si="127"/>
        <v>0</v>
      </c>
      <c r="J719" s="18">
        <f t="shared" si="128"/>
        <v>36.519999999999996</v>
      </c>
      <c r="K719" s="22">
        <v>1.1199999999999999</v>
      </c>
      <c r="L719" s="18">
        <f t="shared" si="129"/>
        <v>0</v>
      </c>
      <c r="M719" s="18">
        <f t="shared" si="130"/>
        <v>1.1199999999999999</v>
      </c>
      <c r="N719" s="15">
        <f t="shared" si="131"/>
        <v>929.08999999999992</v>
      </c>
      <c r="O719" s="15">
        <f t="shared" si="122"/>
        <v>0</v>
      </c>
      <c r="P719" s="15">
        <f t="shared" si="123"/>
        <v>929.08999999999992</v>
      </c>
      <c r="Q719" s="5">
        <f t="shared" si="124"/>
        <v>1</v>
      </c>
    </row>
    <row r="720" spans="1:17" x14ac:dyDescent="0.25">
      <c r="A720" s="7">
        <v>46295.916666666664</v>
      </c>
      <c r="B720" s="22">
        <v>0</v>
      </c>
      <c r="C720" s="22">
        <v>0</v>
      </c>
      <c r="D720" s="18">
        <f t="shared" si="121"/>
        <v>0</v>
      </c>
      <c r="E720" s="22">
        <v>907.2</v>
      </c>
      <c r="F720" s="18">
        <f t="shared" si="125"/>
        <v>0</v>
      </c>
      <c r="G720" s="18">
        <f t="shared" si="126"/>
        <v>907.2</v>
      </c>
      <c r="H720" s="22">
        <v>35.08</v>
      </c>
      <c r="I720" s="18">
        <f t="shared" si="127"/>
        <v>0</v>
      </c>
      <c r="J720" s="18">
        <f t="shared" si="128"/>
        <v>35.08</v>
      </c>
      <c r="K720" s="22">
        <v>1.1199999999999999</v>
      </c>
      <c r="L720" s="18">
        <f t="shared" si="129"/>
        <v>0</v>
      </c>
      <c r="M720" s="18">
        <f t="shared" si="130"/>
        <v>1.1199999999999999</v>
      </c>
      <c r="N720" s="15">
        <f t="shared" si="131"/>
        <v>943.40000000000009</v>
      </c>
      <c r="O720" s="15">
        <f t="shared" si="122"/>
        <v>0</v>
      </c>
      <c r="P720" s="15">
        <f t="shared" si="123"/>
        <v>943.40000000000009</v>
      </c>
      <c r="Q720" s="5">
        <f t="shared" si="124"/>
        <v>1</v>
      </c>
    </row>
    <row r="721" spans="1:17" x14ac:dyDescent="0.25">
      <c r="A721" s="7">
        <v>46295.958333333336</v>
      </c>
      <c r="B721" s="22">
        <v>0</v>
      </c>
      <c r="C721" s="22">
        <v>0</v>
      </c>
      <c r="D721" s="18">
        <f t="shared" si="121"/>
        <v>0</v>
      </c>
      <c r="E721" s="22">
        <v>878.85</v>
      </c>
      <c r="F721" s="18">
        <f t="shared" si="125"/>
        <v>0</v>
      </c>
      <c r="G721" s="18">
        <f t="shared" si="126"/>
        <v>878.85</v>
      </c>
      <c r="H721" s="22">
        <v>34.96</v>
      </c>
      <c r="I721" s="18">
        <f t="shared" si="127"/>
        <v>0</v>
      </c>
      <c r="J721" s="18">
        <f t="shared" si="128"/>
        <v>34.96</v>
      </c>
      <c r="K721" s="22">
        <v>4.96</v>
      </c>
      <c r="L721" s="18">
        <f t="shared" si="129"/>
        <v>0</v>
      </c>
      <c r="M721" s="18">
        <f t="shared" si="130"/>
        <v>4.96</v>
      </c>
      <c r="N721" s="15">
        <f t="shared" si="131"/>
        <v>918.7700000000001</v>
      </c>
      <c r="O721" s="15">
        <f t="shared" si="122"/>
        <v>0</v>
      </c>
      <c r="P721" s="15">
        <f t="shared" si="123"/>
        <v>918.7700000000001</v>
      </c>
      <c r="Q721" s="5">
        <f t="shared" si="124"/>
        <v>1</v>
      </c>
    </row>
    <row r="722" spans="1:17" x14ac:dyDescent="0.25">
      <c r="A722" s="7" t="s">
        <v>17</v>
      </c>
      <c r="B722" s="13">
        <v>0</v>
      </c>
      <c r="C722" s="13">
        <v>0</v>
      </c>
      <c r="D722" s="18">
        <f t="shared" si="121"/>
        <v>0</v>
      </c>
      <c r="E722" s="14"/>
      <c r="F722" s="18">
        <f t="shared" si="125"/>
        <v>0</v>
      </c>
      <c r="G722" s="18">
        <f t="shared" si="126"/>
        <v>0</v>
      </c>
      <c r="H722" s="14"/>
      <c r="I722" s="18">
        <f t="shared" si="127"/>
        <v>0</v>
      </c>
      <c r="J722" s="18">
        <f t="shared" si="128"/>
        <v>0</v>
      </c>
      <c r="K722" s="14"/>
      <c r="L722" s="18">
        <f t="shared" si="129"/>
        <v>0</v>
      </c>
      <c r="M722" s="18">
        <f t="shared" si="130"/>
        <v>0</v>
      </c>
      <c r="N722" s="15">
        <f t="shared" si="131"/>
        <v>0</v>
      </c>
      <c r="O722" s="15">
        <f t="shared" si="122"/>
        <v>0</v>
      </c>
      <c r="P722" s="15">
        <f t="shared" si="123"/>
        <v>0</v>
      </c>
      <c r="Q722" s="5">
        <f t="shared" si="124"/>
        <v>0</v>
      </c>
    </row>
    <row r="723" spans="1:17" x14ac:dyDescent="0.25">
      <c r="A723" s="7" t="s">
        <v>18</v>
      </c>
      <c r="B723" s="13">
        <v>0</v>
      </c>
      <c r="C723" s="13">
        <v>0</v>
      </c>
      <c r="D723" s="18">
        <f t="shared" si="121"/>
        <v>0</v>
      </c>
      <c r="E723" s="14"/>
      <c r="F723" s="18">
        <f t="shared" si="125"/>
        <v>0</v>
      </c>
      <c r="G723" s="18">
        <f t="shared" si="126"/>
        <v>0</v>
      </c>
      <c r="H723" s="14"/>
      <c r="I723" s="18">
        <f t="shared" si="127"/>
        <v>0</v>
      </c>
      <c r="J723" s="18">
        <f t="shared" si="128"/>
        <v>0</v>
      </c>
      <c r="K723" s="14"/>
      <c r="L723" s="18">
        <f t="shared" si="129"/>
        <v>0</v>
      </c>
      <c r="M723" s="18">
        <f t="shared" si="130"/>
        <v>0</v>
      </c>
      <c r="N723" s="15">
        <f t="shared" si="131"/>
        <v>0</v>
      </c>
      <c r="O723" s="15">
        <f t="shared" si="122"/>
        <v>0</v>
      </c>
      <c r="P723" s="15">
        <f t="shared" si="123"/>
        <v>0</v>
      </c>
      <c r="Q723" s="5">
        <f t="shared" si="124"/>
        <v>0</v>
      </c>
    </row>
    <row r="724" spans="1:17" x14ac:dyDescent="0.25">
      <c r="A724" s="7" t="s">
        <v>19</v>
      </c>
      <c r="B724" s="13">
        <v>0</v>
      </c>
      <c r="C724" s="13">
        <v>0</v>
      </c>
      <c r="D724" s="18">
        <f t="shared" si="121"/>
        <v>0</v>
      </c>
      <c r="E724" s="14"/>
      <c r="F724" s="18">
        <f t="shared" si="125"/>
        <v>0</v>
      </c>
      <c r="G724" s="18">
        <f t="shared" si="126"/>
        <v>0</v>
      </c>
      <c r="H724" s="14"/>
      <c r="I724" s="18">
        <f t="shared" si="127"/>
        <v>0</v>
      </c>
      <c r="J724" s="18">
        <f t="shared" si="128"/>
        <v>0</v>
      </c>
      <c r="K724" s="14"/>
      <c r="L724" s="18">
        <f t="shared" si="129"/>
        <v>0</v>
      </c>
      <c r="M724" s="18">
        <f t="shared" si="130"/>
        <v>0</v>
      </c>
      <c r="N724" s="15">
        <f t="shared" si="131"/>
        <v>0</v>
      </c>
      <c r="O724" s="15">
        <f t="shared" si="122"/>
        <v>0</v>
      </c>
      <c r="P724" s="15">
        <f t="shared" si="123"/>
        <v>0</v>
      </c>
      <c r="Q724" s="5">
        <f t="shared" si="124"/>
        <v>0</v>
      </c>
    </row>
    <row r="725" spans="1:17" x14ac:dyDescent="0.25">
      <c r="A725" s="7" t="s">
        <v>20</v>
      </c>
      <c r="B725" s="13">
        <v>0</v>
      </c>
      <c r="C725" s="13">
        <v>0</v>
      </c>
      <c r="D725" s="18">
        <f t="shared" si="121"/>
        <v>0</v>
      </c>
      <c r="E725" s="14"/>
      <c r="F725" s="18">
        <f t="shared" si="125"/>
        <v>0</v>
      </c>
      <c r="G725" s="18">
        <f t="shared" si="126"/>
        <v>0</v>
      </c>
      <c r="H725" s="14"/>
      <c r="I725" s="18">
        <f t="shared" si="127"/>
        <v>0</v>
      </c>
      <c r="J725" s="18">
        <f t="shared" si="128"/>
        <v>0</v>
      </c>
      <c r="K725" s="14"/>
      <c r="L725" s="18">
        <f t="shared" si="129"/>
        <v>0</v>
      </c>
      <c r="M725" s="18">
        <f t="shared" si="130"/>
        <v>0</v>
      </c>
      <c r="N725" s="15">
        <f t="shared" si="131"/>
        <v>0</v>
      </c>
      <c r="O725" s="15">
        <f t="shared" si="122"/>
        <v>0</v>
      </c>
      <c r="P725" s="15">
        <f t="shared" si="123"/>
        <v>0</v>
      </c>
      <c r="Q725" s="5">
        <f t="shared" si="124"/>
        <v>0</v>
      </c>
    </row>
    <row r="726" spans="1:17" x14ac:dyDescent="0.25">
      <c r="A726" s="7" t="s">
        <v>21</v>
      </c>
      <c r="B726" s="13">
        <v>0</v>
      </c>
      <c r="C726" s="13">
        <v>0</v>
      </c>
      <c r="D726" s="18">
        <f t="shared" si="121"/>
        <v>0</v>
      </c>
      <c r="E726" s="14"/>
      <c r="F726" s="18">
        <f t="shared" si="125"/>
        <v>0</v>
      </c>
      <c r="G726" s="18">
        <f t="shared" si="126"/>
        <v>0</v>
      </c>
      <c r="H726" s="14"/>
      <c r="I726" s="18">
        <f t="shared" si="127"/>
        <v>0</v>
      </c>
      <c r="J726" s="18">
        <f t="shared" si="128"/>
        <v>0</v>
      </c>
      <c r="K726" s="14"/>
      <c r="L726" s="18">
        <f t="shared" si="129"/>
        <v>0</v>
      </c>
      <c r="M726" s="18">
        <f t="shared" si="130"/>
        <v>0</v>
      </c>
      <c r="N726" s="15">
        <f t="shared" si="131"/>
        <v>0</v>
      </c>
      <c r="O726" s="15">
        <f t="shared" si="122"/>
        <v>0</v>
      </c>
      <c r="P726" s="15">
        <f t="shared" si="123"/>
        <v>0</v>
      </c>
      <c r="Q726" s="5">
        <f t="shared" si="124"/>
        <v>0</v>
      </c>
    </row>
    <row r="727" spans="1:17" x14ac:dyDescent="0.25">
      <c r="A727" s="7" t="s">
        <v>22</v>
      </c>
      <c r="B727" s="13">
        <v>0</v>
      </c>
      <c r="C727" s="13">
        <v>0</v>
      </c>
      <c r="D727" s="18">
        <f t="shared" si="121"/>
        <v>0</v>
      </c>
      <c r="E727" s="14"/>
      <c r="F727" s="18">
        <f t="shared" si="125"/>
        <v>0</v>
      </c>
      <c r="G727" s="18">
        <f t="shared" si="126"/>
        <v>0</v>
      </c>
      <c r="H727" s="14"/>
      <c r="I727" s="18">
        <f t="shared" si="127"/>
        <v>0</v>
      </c>
      <c r="J727" s="18">
        <f t="shared" si="128"/>
        <v>0</v>
      </c>
      <c r="K727" s="14"/>
      <c r="L727" s="18">
        <f t="shared" si="129"/>
        <v>0</v>
      </c>
      <c r="M727" s="18">
        <f t="shared" si="130"/>
        <v>0</v>
      </c>
      <c r="N727" s="15">
        <f t="shared" si="131"/>
        <v>0</v>
      </c>
      <c r="O727" s="15">
        <f t="shared" si="122"/>
        <v>0</v>
      </c>
      <c r="P727" s="15">
        <f t="shared" si="123"/>
        <v>0</v>
      </c>
      <c r="Q727" s="5">
        <f t="shared" si="124"/>
        <v>0</v>
      </c>
    </row>
    <row r="728" spans="1:17" x14ac:dyDescent="0.25">
      <c r="A728" s="7" t="s">
        <v>23</v>
      </c>
      <c r="B728" s="13">
        <v>0</v>
      </c>
      <c r="C728" s="13">
        <v>0</v>
      </c>
      <c r="D728" s="18">
        <f t="shared" si="121"/>
        <v>0</v>
      </c>
      <c r="E728" s="14"/>
      <c r="F728" s="18">
        <f t="shared" si="125"/>
        <v>0</v>
      </c>
      <c r="G728" s="18">
        <f t="shared" si="126"/>
        <v>0</v>
      </c>
      <c r="H728" s="14"/>
      <c r="I728" s="18">
        <f t="shared" si="127"/>
        <v>0</v>
      </c>
      <c r="J728" s="18">
        <f t="shared" si="128"/>
        <v>0</v>
      </c>
      <c r="K728" s="14"/>
      <c r="L728" s="18">
        <f t="shared" si="129"/>
        <v>0</v>
      </c>
      <c r="M728" s="18">
        <f t="shared" si="130"/>
        <v>0</v>
      </c>
      <c r="N728" s="15">
        <f t="shared" si="131"/>
        <v>0</v>
      </c>
      <c r="O728" s="15">
        <f t="shared" si="122"/>
        <v>0</v>
      </c>
      <c r="P728" s="15">
        <f t="shared" si="123"/>
        <v>0</v>
      </c>
      <c r="Q728" s="5">
        <f t="shared" si="124"/>
        <v>0</v>
      </c>
    </row>
    <row r="729" spans="1:17" x14ac:dyDescent="0.25">
      <c r="A729" s="7" t="s">
        <v>24</v>
      </c>
      <c r="B729" s="13">
        <v>0</v>
      </c>
      <c r="C729" s="13">
        <v>0</v>
      </c>
      <c r="D729" s="18">
        <f t="shared" si="121"/>
        <v>0</v>
      </c>
      <c r="E729" s="14"/>
      <c r="F729" s="18">
        <f t="shared" si="125"/>
        <v>0</v>
      </c>
      <c r="G729" s="18">
        <f t="shared" si="126"/>
        <v>0</v>
      </c>
      <c r="H729" s="14"/>
      <c r="I729" s="18">
        <f t="shared" si="127"/>
        <v>0</v>
      </c>
      <c r="J729" s="18">
        <f t="shared" si="128"/>
        <v>0</v>
      </c>
      <c r="K729" s="14"/>
      <c r="L729" s="18">
        <f t="shared" si="129"/>
        <v>0</v>
      </c>
      <c r="M729" s="18">
        <f t="shared" si="130"/>
        <v>0</v>
      </c>
      <c r="N729" s="15">
        <f t="shared" si="131"/>
        <v>0</v>
      </c>
      <c r="O729" s="15">
        <f t="shared" si="122"/>
        <v>0</v>
      </c>
      <c r="P729" s="15">
        <f t="shared" si="123"/>
        <v>0</v>
      </c>
      <c r="Q729" s="5">
        <f t="shared" si="124"/>
        <v>0</v>
      </c>
    </row>
    <row r="730" spans="1:17" x14ac:dyDescent="0.25">
      <c r="A730" s="7" t="s">
        <v>25</v>
      </c>
      <c r="B730" s="13">
        <v>0</v>
      </c>
      <c r="C730" s="13">
        <v>0</v>
      </c>
      <c r="D730" s="18">
        <f t="shared" si="121"/>
        <v>0</v>
      </c>
      <c r="E730" s="14"/>
      <c r="F730" s="18">
        <f t="shared" si="125"/>
        <v>0</v>
      </c>
      <c r="G730" s="18">
        <f t="shared" si="126"/>
        <v>0</v>
      </c>
      <c r="H730" s="14"/>
      <c r="I730" s="18">
        <f t="shared" si="127"/>
        <v>0</v>
      </c>
      <c r="J730" s="18">
        <f t="shared" si="128"/>
        <v>0</v>
      </c>
      <c r="K730" s="14"/>
      <c r="L730" s="18">
        <f t="shared" si="129"/>
        <v>0</v>
      </c>
      <c r="M730" s="18">
        <f t="shared" si="130"/>
        <v>0</v>
      </c>
      <c r="N730" s="15">
        <f t="shared" si="131"/>
        <v>0</v>
      </c>
      <c r="O730" s="15">
        <f t="shared" si="122"/>
        <v>0</v>
      </c>
      <c r="P730" s="15">
        <f t="shared" si="123"/>
        <v>0</v>
      </c>
      <c r="Q730" s="5">
        <f t="shared" si="124"/>
        <v>0</v>
      </c>
    </row>
    <row r="731" spans="1:17" x14ac:dyDescent="0.25">
      <c r="A731" s="7" t="s">
        <v>26</v>
      </c>
      <c r="B731" s="13">
        <v>0</v>
      </c>
      <c r="C731" s="13">
        <v>0</v>
      </c>
      <c r="D731" s="18">
        <f t="shared" si="121"/>
        <v>0</v>
      </c>
      <c r="E731" s="14"/>
      <c r="F731" s="18">
        <f t="shared" si="125"/>
        <v>0</v>
      </c>
      <c r="G731" s="18">
        <f t="shared" si="126"/>
        <v>0</v>
      </c>
      <c r="H731" s="14"/>
      <c r="I731" s="18">
        <f t="shared" si="127"/>
        <v>0</v>
      </c>
      <c r="J731" s="18">
        <f t="shared" si="128"/>
        <v>0</v>
      </c>
      <c r="K731" s="14"/>
      <c r="L731" s="18">
        <f t="shared" si="129"/>
        <v>0</v>
      </c>
      <c r="M731" s="18">
        <f t="shared" si="130"/>
        <v>0</v>
      </c>
      <c r="N731" s="15">
        <f t="shared" si="131"/>
        <v>0</v>
      </c>
      <c r="O731" s="15">
        <f t="shared" si="122"/>
        <v>0</v>
      </c>
      <c r="P731" s="15">
        <f t="shared" si="123"/>
        <v>0</v>
      </c>
      <c r="Q731" s="5">
        <f t="shared" si="124"/>
        <v>0</v>
      </c>
    </row>
    <row r="732" spans="1:17" x14ac:dyDescent="0.25">
      <c r="A732" s="7" t="s">
        <v>27</v>
      </c>
      <c r="B732" s="13">
        <v>0</v>
      </c>
      <c r="C732" s="13">
        <v>0</v>
      </c>
      <c r="D732" s="18">
        <f t="shared" si="121"/>
        <v>0</v>
      </c>
      <c r="E732" s="14"/>
      <c r="F732" s="18">
        <f t="shared" si="125"/>
        <v>0</v>
      </c>
      <c r="G732" s="18">
        <f t="shared" si="126"/>
        <v>0</v>
      </c>
      <c r="H732" s="14"/>
      <c r="I732" s="18">
        <f t="shared" si="127"/>
        <v>0</v>
      </c>
      <c r="J732" s="18">
        <f t="shared" si="128"/>
        <v>0</v>
      </c>
      <c r="K732" s="14"/>
      <c r="L732" s="18">
        <f t="shared" si="129"/>
        <v>0</v>
      </c>
      <c r="M732" s="18">
        <f t="shared" si="130"/>
        <v>0</v>
      </c>
      <c r="N732" s="15">
        <f t="shared" si="131"/>
        <v>0</v>
      </c>
      <c r="O732" s="15">
        <f t="shared" si="122"/>
        <v>0</v>
      </c>
      <c r="P732" s="15">
        <f t="shared" si="123"/>
        <v>0</v>
      </c>
      <c r="Q732" s="5">
        <f t="shared" si="124"/>
        <v>0</v>
      </c>
    </row>
    <row r="733" spans="1:17" x14ac:dyDescent="0.25">
      <c r="A733" s="7" t="s">
        <v>28</v>
      </c>
      <c r="B733" s="13">
        <v>0</v>
      </c>
      <c r="C733" s="13">
        <v>0</v>
      </c>
      <c r="D733" s="18">
        <f t="shared" si="121"/>
        <v>0</v>
      </c>
      <c r="E733" s="14"/>
      <c r="F733" s="18">
        <f t="shared" si="125"/>
        <v>0</v>
      </c>
      <c r="G733" s="18">
        <f t="shared" si="126"/>
        <v>0</v>
      </c>
      <c r="H733" s="14"/>
      <c r="I733" s="18">
        <f t="shared" si="127"/>
        <v>0</v>
      </c>
      <c r="J733" s="18">
        <f t="shared" si="128"/>
        <v>0</v>
      </c>
      <c r="K733" s="14"/>
      <c r="L733" s="18">
        <f t="shared" si="129"/>
        <v>0</v>
      </c>
      <c r="M733" s="18">
        <f t="shared" si="130"/>
        <v>0</v>
      </c>
      <c r="N733" s="15">
        <f t="shared" si="131"/>
        <v>0</v>
      </c>
      <c r="O733" s="15">
        <f t="shared" si="122"/>
        <v>0</v>
      </c>
      <c r="P733" s="15">
        <f t="shared" si="123"/>
        <v>0</v>
      </c>
      <c r="Q733" s="5">
        <f t="shared" si="124"/>
        <v>0</v>
      </c>
    </row>
    <row r="734" spans="1:17" x14ac:dyDescent="0.25">
      <c r="A734" s="7" t="s">
        <v>29</v>
      </c>
      <c r="B734" s="13">
        <v>0</v>
      </c>
      <c r="C734" s="13">
        <v>0</v>
      </c>
      <c r="D734" s="18">
        <f t="shared" si="121"/>
        <v>0</v>
      </c>
      <c r="E734" s="14"/>
      <c r="F734" s="18">
        <f t="shared" si="125"/>
        <v>0</v>
      </c>
      <c r="G734" s="18">
        <f t="shared" si="126"/>
        <v>0</v>
      </c>
      <c r="H734" s="14"/>
      <c r="I734" s="18">
        <f t="shared" si="127"/>
        <v>0</v>
      </c>
      <c r="J734" s="18">
        <f t="shared" si="128"/>
        <v>0</v>
      </c>
      <c r="K734" s="14"/>
      <c r="L734" s="18">
        <f t="shared" si="129"/>
        <v>0</v>
      </c>
      <c r="M734" s="18">
        <f t="shared" si="130"/>
        <v>0</v>
      </c>
      <c r="N734" s="15">
        <f t="shared" si="131"/>
        <v>0</v>
      </c>
      <c r="O734" s="15">
        <f t="shared" si="122"/>
        <v>0</v>
      </c>
      <c r="P734" s="15">
        <f t="shared" si="123"/>
        <v>0</v>
      </c>
      <c r="Q734" s="5">
        <f t="shared" si="124"/>
        <v>0</v>
      </c>
    </row>
    <row r="735" spans="1:17" x14ac:dyDescent="0.25">
      <c r="A735" s="7" t="s">
        <v>30</v>
      </c>
      <c r="B735" s="13">
        <v>0</v>
      </c>
      <c r="C735" s="13">
        <v>0</v>
      </c>
      <c r="D735" s="18">
        <f t="shared" si="121"/>
        <v>0</v>
      </c>
      <c r="E735" s="14"/>
      <c r="F735" s="18">
        <f t="shared" si="125"/>
        <v>0</v>
      </c>
      <c r="G735" s="18">
        <f t="shared" si="126"/>
        <v>0</v>
      </c>
      <c r="H735" s="14"/>
      <c r="I735" s="18">
        <f t="shared" si="127"/>
        <v>0</v>
      </c>
      <c r="J735" s="18">
        <f t="shared" si="128"/>
        <v>0</v>
      </c>
      <c r="K735" s="14"/>
      <c r="L735" s="18">
        <f t="shared" si="129"/>
        <v>0</v>
      </c>
      <c r="M735" s="18">
        <f t="shared" si="130"/>
        <v>0</v>
      </c>
      <c r="N735" s="15">
        <f t="shared" si="131"/>
        <v>0</v>
      </c>
      <c r="O735" s="15">
        <f t="shared" si="122"/>
        <v>0</v>
      </c>
      <c r="P735" s="15">
        <f t="shared" si="123"/>
        <v>0</v>
      </c>
      <c r="Q735" s="5">
        <f t="shared" si="124"/>
        <v>0</v>
      </c>
    </row>
    <row r="736" spans="1:17" x14ac:dyDescent="0.25">
      <c r="A736" s="7" t="s">
        <v>31</v>
      </c>
      <c r="B736" s="13">
        <v>0</v>
      </c>
      <c r="C736" s="13">
        <v>0</v>
      </c>
      <c r="D736" s="18">
        <f t="shared" si="121"/>
        <v>0</v>
      </c>
      <c r="E736" s="14"/>
      <c r="F736" s="18">
        <f t="shared" si="125"/>
        <v>0</v>
      </c>
      <c r="G736" s="18">
        <f t="shared" si="126"/>
        <v>0</v>
      </c>
      <c r="H736" s="14"/>
      <c r="I736" s="18">
        <f t="shared" si="127"/>
        <v>0</v>
      </c>
      <c r="J736" s="18">
        <f t="shared" si="128"/>
        <v>0</v>
      </c>
      <c r="K736" s="14"/>
      <c r="L736" s="18">
        <f t="shared" si="129"/>
        <v>0</v>
      </c>
      <c r="M736" s="18">
        <f t="shared" si="130"/>
        <v>0</v>
      </c>
      <c r="N736" s="15">
        <f t="shared" si="131"/>
        <v>0</v>
      </c>
      <c r="O736" s="15">
        <f t="shared" si="122"/>
        <v>0</v>
      </c>
      <c r="P736" s="15">
        <f t="shared" si="123"/>
        <v>0</v>
      </c>
      <c r="Q736" s="5">
        <f t="shared" si="124"/>
        <v>0</v>
      </c>
    </row>
    <row r="737" spans="1:17" x14ac:dyDescent="0.25">
      <c r="A737" s="7" t="s">
        <v>32</v>
      </c>
      <c r="B737" s="13">
        <v>0</v>
      </c>
      <c r="C737" s="13">
        <v>0</v>
      </c>
      <c r="D737" s="18">
        <f t="shared" si="121"/>
        <v>0</v>
      </c>
      <c r="E737" s="14"/>
      <c r="F737" s="18">
        <f t="shared" si="125"/>
        <v>0</v>
      </c>
      <c r="G737" s="18">
        <f t="shared" si="126"/>
        <v>0</v>
      </c>
      <c r="H737" s="14"/>
      <c r="I737" s="18">
        <f t="shared" si="127"/>
        <v>0</v>
      </c>
      <c r="J737" s="18">
        <f t="shared" si="128"/>
        <v>0</v>
      </c>
      <c r="K737" s="14"/>
      <c r="L737" s="18">
        <f t="shared" si="129"/>
        <v>0</v>
      </c>
      <c r="M737" s="18">
        <f t="shared" si="130"/>
        <v>0</v>
      </c>
      <c r="N737" s="15">
        <f t="shared" si="131"/>
        <v>0</v>
      </c>
      <c r="O737" s="15">
        <f t="shared" si="122"/>
        <v>0</v>
      </c>
      <c r="P737" s="15">
        <f t="shared" si="123"/>
        <v>0</v>
      </c>
      <c r="Q737" s="5">
        <f t="shared" si="124"/>
        <v>0</v>
      </c>
    </row>
    <row r="738" spans="1:17" x14ac:dyDescent="0.25">
      <c r="A738" s="7" t="s">
        <v>33</v>
      </c>
      <c r="B738" s="13">
        <v>0</v>
      </c>
      <c r="C738" s="13">
        <v>0</v>
      </c>
      <c r="D738" s="18">
        <f t="shared" si="121"/>
        <v>0</v>
      </c>
      <c r="E738" s="14"/>
      <c r="F738" s="18">
        <f t="shared" si="125"/>
        <v>0</v>
      </c>
      <c r="G738" s="18">
        <f t="shared" si="126"/>
        <v>0</v>
      </c>
      <c r="H738" s="14"/>
      <c r="I738" s="18">
        <f t="shared" si="127"/>
        <v>0</v>
      </c>
      <c r="J738" s="18">
        <f t="shared" si="128"/>
        <v>0</v>
      </c>
      <c r="K738" s="14"/>
      <c r="L738" s="18">
        <f t="shared" si="129"/>
        <v>0</v>
      </c>
      <c r="M738" s="18">
        <f t="shared" si="130"/>
        <v>0</v>
      </c>
      <c r="N738" s="15">
        <f t="shared" si="131"/>
        <v>0</v>
      </c>
      <c r="O738" s="15">
        <f t="shared" si="122"/>
        <v>0</v>
      </c>
      <c r="P738" s="15">
        <f t="shared" si="123"/>
        <v>0</v>
      </c>
      <c r="Q738" s="5">
        <f t="shared" si="124"/>
        <v>0</v>
      </c>
    </row>
    <row r="739" spans="1:17" x14ac:dyDescent="0.25">
      <c r="A739" s="7" t="s">
        <v>34</v>
      </c>
      <c r="B739" s="13">
        <v>0</v>
      </c>
      <c r="C739" s="13">
        <v>0</v>
      </c>
      <c r="D739" s="18">
        <f t="shared" si="121"/>
        <v>0</v>
      </c>
      <c r="E739" s="14"/>
      <c r="F739" s="18">
        <f t="shared" si="125"/>
        <v>0</v>
      </c>
      <c r="G739" s="18">
        <f t="shared" si="126"/>
        <v>0</v>
      </c>
      <c r="H739" s="14"/>
      <c r="I739" s="18">
        <f t="shared" si="127"/>
        <v>0</v>
      </c>
      <c r="J739" s="18">
        <f t="shared" si="128"/>
        <v>0</v>
      </c>
      <c r="K739" s="14"/>
      <c r="L739" s="18">
        <f t="shared" si="129"/>
        <v>0</v>
      </c>
      <c r="M739" s="18">
        <f t="shared" si="130"/>
        <v>0</v>
      </c>
      <c r="N739" s="15">
        <f t="shared" si="131"/>
        <v>0</v>
      </c>
      <c r="O739" s="15">
        <f t="shared" si="122"/>
        <v>0</v>
      </c>
      <c r="P739" s="15">
        <f t="shared" si="123"/>
        <v>0</v>
      </c>
      <c r="Q739" s="5">
        <f t="shared" si="124"/>
        <v>0</v>
      </c>
    </row>
    <row r="740" spans="1:17" x14ac:dyDescent="0.25">
      <c r="A740" s="7" t="s">
        <v>35</v>
      </c>
      <c r="B740" s="13">
        <v>0</v>
      </c>
      <c r="C740" s="13">
        <v>0</v>
      </c>
      <c r="D740" s="18">
        <f t="shared" si="121"/>
        <v>0</v>
      </c>
      <c r="E740" s="14"/>
      <c r="F740" s="18">
        <f t="shared" si="125"/>
        <v>0</v>
      </c>
      <c r="G740" s="18">
        <f t="shared" si="126"/>
        <v>0</v>
      </c>
      <c r="H740" s="14"/>
      <c r="I740" s="18">
        <f t="shared" si="127"/>
        <v>0</v>
      </c>
      <c r="J740" s="18">
        <f t="shared" si="128"/>
        <v>0</v>
      </c>
      <c r="K740" s="14"/>
      <c r="L740" s="18">
        <f t="shared" si="129"/>
        <v>0</v>
      </c>
      <c r="M740" s="18">
        <f t="shared" si="130"/>
        <v>0</v>
      </c>
      <c r="N740" s="15">
        <f t="shared" si="131"/>
        <v>0</v>
      </c>
      <c r="O740" s="15">
        <f t="shared" si="122"/>
        <v>0</v>
      </c>
      <c r="P740" s="15">
        <f t="shared" si="123"/>
        <v>0</v>
      </c>
      <c r="Q740" s="5">
        <f t="shared" si="124"/>
        <v>0</v>
      </c>
    </row>
    <row r="741" spans="1:17" x14ac:dyDescent="0.25">
      <c r="A741" s="7" t="s">
        <v>36</v>
      </c>
      <c r="B741" s="13">
        <v>0</v>
      </c>
      <c r="C741" s="13">
        <v>0</v>
      </c>
      <c r="D741" s="18">
        <f t="shared" si="121"/>
        <v>0</v>
      </c>
      <c r="E741" s="14"/>
      <c r="F741" s="18">
        <f t="shared" si="125"/>
        <v>0</v>
      </c>
      <c r="G741" s="18">
        <f t="shared" si="126"/>
        <v>0</v>
      </c>
      <c r="H741" s="14"/>
      <c r="I741" s="18">
        <f t="shared" si="127"/>
        <v>0</v>
      </c>
      <c r="J741" s="18">
        <f t="shared" si="128"/>
        <v>0</v>
      </c>
      <c r="K741" s="14"/>
      <c r="L741" s="18">
        <f t="shared" si="129"/>
        <v>0</v>
      </c>
      <c r="M741" s="18">
        <f t="shared" si="130"/>
        <v>0</v>
      </c>
      <c r="N741" s="15">
        <f t="shared" si="131"/>
        <v>0</v>
      </c>
      <c r="O741" s="15">
        <f t="shared" si="122"/>
        <v>0</v>
      </c>
      <c r="P741" s="15">
        <f t="shared" si="123"/>
        <v>0</v>
      </c>
      <c r="Q741" s="5">
        <f t="shared" si="124"/>
        <v>0</v>
      </c>
    </row>
    <row r="742" spans="1:17" x14ac:dyDescent="0.25">
      <c r="A742" s="7" t="s">
        <v>37</v>
      </c>
      <c r="B742" s="13">
        <v>0</v>
      </c>
      <c r="C742" s="13">
        <v>0</v>
      </c>
      <c r="D742" s="18">
        <f t="shared" si="121"/>
        <v>0</v>
      </c>
      <c r="E742" s="14"/>
      <c r="F742" s="18">
        <f t="shared" si="125"/>
        <v>0</v>
      </c>
      <c r="G742" s="18">
        <f t="shared" si="126"/>
        <v>0</v>
      </c>
      <c r="H742" s="14"/>
      <c r="I742" s="18">
        <f t="shared" si="127"/>
        <v>0</v>
      </c>
      <c r="J742" s="18">
        <f t="shared" si="128"/>
        <v>0</v>
      </c>
      <c r="K742" s="14"/>
      <c r="L742" s="18">
        <f t="shared" si="129"/>
        <v>0</v>
      </c>
      <c r="M742" s="18">
        <f t="shared" si="130"/>
        <v>0</v>
      </c>
      <c r="N742" s="15">
        <f t="shared" si="131"/>
        <v>0</v>
      </c>
      <c r="O742" s="15">
        <f t="shared" si="122"/>
        <v>0</v>
      </c>
      <c r="P742" s="15">
        <f t="shared" si="123"/>
        <v>0</v>
      </c>
      <c r="Q742" s="5">
        <f t="shared" si="124"/>
        <v>0</v>
      </c>
    </row>
    <row r="743" spans="1:17" x14ac:dyDescent="0.25">
      <c r="A743" s="7" t="s">
        <v>38</v>
      </c>
      <c r="B743" s="13">
        <v>0</v>
      </c>
      <c r="C743" s="13">
        <v>0</v>
      </c>
      <c r="D743" s="18">
        <f t="shared" si="121"/>
        <v>0</v>
      </c>
      <c r="E743" s="14"/>
      <c r="F743" s="18">
        <f t="shared" si="125"/>
        <v>0</v>
      </c>
      <c r="G743" s="18">
        <f t="shared" si="126"/>
        <v>0</v>
      </c>
      <c r="H743" s="14"/>
      <c r="I743" s="18">
        <f t="shared" si="127"/>
        <v>0</v>
      </c>
      <c r="J743" s="18">
        <f t="shared" si="128"/>
        <v>0</v>
      </c>
      <c r="K743" s="14"/>
      <c r="L743" s="18">
        <f t="shared" si="129"/>
        <v>0</v>
      </c>
      <c r="M743" s="18">
        <f t="shared" si="130"/>
        <v>0</v>
      </c>
      <c r="N743" s="15">
        <f t="shared" si="131"/>
        <v>0</v>
      </c>
      <c r="O743" s="15">
        <f t="shared" si="122"/>
        <v>0</v>
      </c>
      <c r="P743" s="15">
        <f t="shared" si="123"/>
        <v>0</v>
      </c>
      <c r="Q743" s="5">
        <f t="shared" si="124"/>
        <v>0</v>
      </c>
    </row>
    <row r="744" spans="1:17" x14ac:dyDescent="0.25">
      <c r="A744" s="7" t="s">
        <v>39</v>
      </c>
      <c r="B744" s="13">
        <v>0</v>
      </c>
      <c r="C744" s="13">
        <v>0</v>
      </c>
      <c r="D744" s="18">
        <f t="shared" si="121"/>
        <v>0</v>
      </c>
      <c r="E744" s="14"/>
      <c r="F744" s="18">
        <f t="shared" si="125"/>
        <v>0</v>
      </c>
      <c r="G744" s="18">
        <f t="shared" si="126"/>
        <v>0</v>
      </c>
      <c r="H744" s="14"/>
      <c r="I744" s="18">
        <f t="shared" si="127"/>
        <v>0</v>
      </c>
      <c r="J744" s="18">
        <f t="shared" si="128"/>
        <v>0</v>
      </c>
      <c r="K744" s="14"/>
      <c r="L744" s="18">
        <f t="shared" si="129"/>
        <v>0</v>
      </c>
      <c r="M744" s="18">
        <f t="shared" si="130"/>
        <v>0</v>
      </c>
      <c r="N744" s="15">
        <f t="shared" si="131"/>
        <v>0</v>
      </c>
      <c r="O744" s="15">
        <f t="shared" si="122"/>
        <v>0</v>
      </c>
      <c r="P744" s="15">
        <f t="shared" si="123"/>
        <v>0</v>
      </c>
      <c r="Q744" s="5">
        <f t="shared" si="124"/>
        <v>0</v>
      </c>
    </row>
    <row r="745" spans="1:17" x14ac:dyDescent="0.25">
      <c r="A745" s="7" t="s">
        <v>40</v>
      </c>
      <c r="B745" s="13">
        <v>0</v>
      </c>
      <c r="C745" s="13">
        <v>0</v>
      </c>
      <c r="D745" s="18">
        <f t="shared" si="121"/>
        <v>0</v>
      </c>
      <c r="E745" s="14"/>
      <c r="F745" s="18">
        <f t="shared" si="125"/>
        <v>0</v>
      </c>
      <c r="G745" s="18">
        <f t="shared" si="126"/>
        <v>0</v>
      </c>
      <c r="H745" s="14"/>
      <c r="I745" s="18">
        <f t="shared" si="127"/>
        <v>0</v>
      </c>
      <c r="J745" s="18">
        <f t="shared" si="128"/>
        <v>0</v>
      </c>
      <c r="K745" s="14"/>
      <c r="L745" s="18">
        <f t="shared" si="129"/>
        <v>0</v>
      </c>
      <c r="M745" s="18">
        <f t="shared" si="130"/>
        <v>0</v>
      </c>
      <c r="N745" s="15">
        <f t="shared" si="131"/>
        <v>0</v>
      </c>
      <c r="O745" s="15">
        <f t="shared" si="122"/>
        <v>0</v>
      </c>
      <c r="P745" s="15">
        <f t="shared" si="123"/>
        <v>0</v>
      </c>
      <c r="Q745" s="5">
        <f t="shared" si="124"/>
        <v>0</v>
      </c>
    </row>
    <row r="746" spans="1:17" x14ac:dyDescent="0.25">
      <c r="A746" s="4"/>
      <c r="B746" s="16">
        <f>SUM(B2:B745)</f>
        <v>416571.75000000023</v>
      </c>
      <c r="C746" s="16">
        <f>SUM(C2:C745)</f>
        <v>4373.2799999999961</v>
      </c>
      <c r="D746" s="15">
        <f>SUM(D2:D745)</f>
        <v>420945.0299999998</v>
      </c>
      <c r="E746" s="16">
        <f t="shared" ref="E746:M746" si="132">SUM(E2:E745)</f>
        <v>177896.24999999988</v>
      </c>
      <c r="F746" s="15">
        <f t="shared" si="132"/>
        <v>2248.9545321737965</v>
      </c>
      <c r="G746" s="15">
        <f t="shared" si="132"/>
        <v>175647.29546782604</v>
      </c>
      <c r="H746" s="16">
        <f t="shared" si="132"/>
        <v>40078.320000000036</v>
      </c>
      <c r="I746" s="15">
        <f t="shared" si="132"/>
        <v>16917.839939259797</v>
      </c>
      <c r="J746" s="15">
        <f t="shared" si="132"/>
        <v>23160.480060740214</v>
      </c>
      <c r="K746" s="16">
        <f t="shared" si="132"/>
        <v>13416.120000000035</v>
      </c>
      <c r="L746" s="15">
        <f t="shared" si="132"/>
        <v>10152.885528566405</v>
      </c>
      <c r="M746" s="15">
        <f t="shared" si="132"/>
        <v>3263.2344714335904</v>
      </c>
      <c r="N746" s="15">
        <f>SUM(N2:N745)</f>
        <v>231390.69000000006</v>
      </c>
      <c r="O746" s="15">
        <f>SUM(O2:O745)</f>
        <v>29319.680000000011</v>
      </c>
      <c r="P746" s="15">
        <f>SUM(P2:P745)</f>
        <v>202071.01000000004</v>
      </c>
      <c r="Q746" s="3">
        <f>SUM(Q2:Q745)</f>
        <v>409.24820739928276</v>
      </c>
    </row>
    <row r="747" spans="1:17" x14ac:dyDescent="0.25">
      <c r="O747" s="2"/>
    </row>
    <row r="749" spans="1:17" x14ac:dyDescent="0.25">
      <c r="H749" s="12" t="s">
        <v>41</v>
      </c>
      <c r="K749" s="12" t="s">
        <v>41</v>
      </c>
    </row>
    <row r="750" spans="1:17" x14ac:dyDescent="0.25">
      <c r="H750" s="1" t="s">
        <v>42</v>
      </c>
      <c r="K750" s="1" t="s">
        <v>42</v>
      </c>
      <c r="O750" s="20"/>
    </row>
    <row r="751" spans="1:17" x14ac:dyDescent="0.25">
      <c r="H751" s="12">
        <v>1.1200000000000001</v>
      </c>
      <c r="K751" s="12">
        <v>1.1200000000000001</v>
      </c>
      <c r="O751" s="20"/>
    </row>
    <row r="752" spans="1:17" x14ac:dyDescent="0.25">
      <c r="O752" s="20"/>
    </row>
    <row r="753" spans="15:16" x14ac:dyDescent="0.25">
      <c r="O753" s="21"/>
      <c r="P753" s="21"/>
    </row>
  </sheetData>
  <autoFilter ref="A1:Q746" xr:uid="{8CC65E0F-C2C1-4373-AD6E-5B5D47F47B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NİĞDE AS BETON</vt:lpstr>
      <vt:lpstr>Sayfa1</vt:lpstr>
      <vt:lpstr>Eylül Olması Gereken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Sağdıç</dc:creator>
  <cp:lastModifiedBy>Fatih Sağdıç</cp:lastModifiedBy>
  <dcterms:created xsi:type="dcterms:W3CDTF">2026-09-30T10:54:44Z</dcterms:created>
  <dcterms:modified xsi:type="dcterms:W3CDTF">2026-10-13T11:28:13Z</dcterms:modified>
</cp:coreProperties>
</file>